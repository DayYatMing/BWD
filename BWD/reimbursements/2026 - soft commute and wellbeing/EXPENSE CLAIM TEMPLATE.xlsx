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hawaiki-my.sharepoint.com/personal/oyip_bw-digital_com/Documents/BWD/reimbursements/2026 - soft commute and wellbeing/"/>
    </mc:Choice>
  </mc:AlternateContent>
  <xr:revisionPtr revIDLastSave="1105" documentId="13_ncr:1_{C54C7D1A-1A73-4A7E-8932-405E40D668B1}" xr6:coauthVersionLast="47" xr6:coauthVersionMax="47" xr10:uidLastSave="{B682F8A8-4EFB-432B-8701-D36B1D7C2490}"/>
  <bookViews>
    <workbookView xWindow="28680" yWindow="-120" windowWidth="29040" windowHeight="15720" activeTab="2" xr2:uid="{00000000-000D-0000-FFFF-FFFF00000000}"/>
  </bookViews>
  <sheets>
    <sheet name="1) NZD" sheetId="21" r:id="rId1"/>
    <sheet name="2) AUD" sheetId="25" r:id="rId2"/>
    <sheet name="3) SCAN INVOICES" sheetId="27" r:id="rId3"/>
    <sheet name="EXCHANGE RATES" sheetId="26" r:id="rId4"/>
  </sheets>
  <definedNames>
    <definedName name="_Order1" hidden="1">255</definedName>
    <definedName name="AUD">#REF!</definedName>
    <definedName name="EUR">#REF!</definedName>
    <definedName name="GBP">#REF!</definedName>
    <definedName name="HKD">#REF!</definedName>
    <definedName name="ListCurrency">#REF!</definedName>
    <definedName name="_xlnm.Print_Area" localSheetId="0">'1) NZD'!$B$1:$H$16</definedName>
    <definedName name="_xlnm.Print_Area" localSheetId="1">'2) AUD'!$B$1:$H$16</definedName>
    <definedName name="_xlnm.Print_Area" localSheetId="2">'3) SCAN INVOICES'!$A$1:$H$184</definedName>
    <definedName name="TabCurrency">#REF!</definedName>
    <definedName name="USD">#REF!</definedName>
    <definedName name="wrn.PRINTING._.REPORT." localSheetId="0" hidden="1">{#N/A,#N/A,FALSE,"JOURNAL1";#N/A,#N/A,FALSE,"JOURNAL2";#N/A,#N/A,FALSE,"RECONCIL";#N/A,#N/A,FALSE,"REQUEST";#N/A,#N/A,FALSE,"EXPENSES"}</definedName>
    <definedName name="wrn.PRINTING._.REPORT." localSheetId="1" hidden="1">{#N/A,#N/A,FALSE,"JOURNAL1";#N/A,#N/A,FALSE,"JOURNAL2";#N/A,#N/A,FALSE,"RECONCIL";#N/A,#N/A,FALSE,"REQUEST";#N/A,#N/A,FALSE,"EXPENSES"}</definedName>
    <definedName name="wrn.PRINTING._.REPORT." hidden="1">{#N/A,#N/A,FALSE,"JOURNAL1";#N/A,#N/A,FALSE,"JOURNAL2";#N/A,#N/A,FALSE,"RECONCIL";#N/A,#N/A,FALSE,"REQUEST";#N/A,#N/A,FALSE,"EXPENSES"}</definedName>
    <definedName name="XPF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5" i="25" l="1"/>
  <c r="H6" i="25"/>
  <c r="H7" i="25"/>
  <c r="H8" i="25"/>
  <c r="H9" i="25"/>
  <c r="H10" i="25"/>
  <c r="H11" i="25"/>
  <c r="H12" i="25"/>
  <c r="H13" i="25"/>
  <c r="H14" i="25" l="1"/>
  <c r="H14" i="21" l="1"/>
</calcChain>
</file>

<file path=xl/sharedStrings.xml><?xml version="1.0" encoding="utf-8"?>
<sst xmlns="http://schemas.openxmlformats.org/spreadsheetml/2006/main" count="66" uniqueCount="33">
  <si>
    <t>DATE</t>
  </si>
  <si>
    <t>TOTAL</t>
  </si>
  <si>
    <t>USD</t>
  </si>
  <si>
    <t>EUR</t>
  </si>
  <si>
    <t>NZD</t>
  </si>
  <si>
    <t>AUD</t>
  </si>
  <si>
    <t>HKD</t>
  </si>
  <si>
    <t>GBP</t>
  </si>
  <si>
    <t>EXPENSE REPORT</t>
  </si>
  <si>
    <t>COMPANY</t>
  </si>
  <si>
    <t>EMPLOYEE SIGNATURE</t>
  </si>
  <si>
    <t>MANAGEMENT SIGNATURE</t>
  </si>
  <si>
    <t>DESCRIPTION</t>
  </si>
  <si>
    <t>CURRENCY</t>
  </si>
  <si>
    <t>AMOUNT</t>
  </si>
  <si>
    <t>EMPLOYEE</t>
  </si>
  <si>
    <t>LOCATION</t>
  </si>
  <si>
    <t>XPF</t>
  </si>
  <si>
    <t>WST</t>
  </si>
  <si>
    <t>FJD</t>
  </si>
  <si>
    <t>SGD</t>
  </si>
  <si>
    <t>CAD</t>
  </si>
  <si>
    <t>ITEM</t>
  </si>
  <si>
    <t>INTERNATIONAL CONNECTIVITY SERVICES LIMITED</t>
  </si>
  <si>
    <t>INTERNATIONAL CONNECTIVITY SERVICES (AUSTRALIA) PTY. LTD</t>
  </si>
  <si>
    <t>ICSAU</t>
  </si>
  <si>
    <t>ICS</t>
  </si>
  <si>
    <t>IDR</t>
  </si>
  <si>
    <t>Oscar Yip</t>
  </si>
  <si>
    <t>Auckland</t>
  </si>
  <si>
    <t>Softcommute (bus fares since January 26) + Wellbeing</t>
  </si>
  <si>
    <t>28/08/26</t>
  </si>
  <si>
    <t>4/09/26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</si>
</sst>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2" x14ac:knownFonts="1">
    <font>
      <sz val="12"/>
      <name val="Arial"/>
    </font>
    <font>
      <sz val="24"/>
      <color indexed="13"/>
      <name val="Helv"/>
    </font>
    <font>
      <b/>
      <sz val="12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12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theme="7" tint="-0.24994659260841701"/>
      </left>
      <right style="medium">
        <color theme="7" tint="-0.24994659260841701"/>
      </right>
      <top/>
      <bottom/>
      <diagonal/>
    </border>
    <border>
      <left style="medium">
        <color theme="7" tint="-0.24994659260841701"/>
      </left>
      <right style="medium">
        <color theme="7" tint="-0.24994659260841701"/>
      </right>
      <top style="thin">
        <color indexed="64"/>
      </top>
      <bottom style="thin">
        <color indexed="64"/>
      </bottom>
      <diagonal/>
    </border>
    <border>
      <left style="medium">
        <color theme="7" tint="-0.24994659260841701"/>
      </left>
      <right style="medium">
        <color theme="7" tint="-0.24994659260841701"/>
      </right>
      <top style="thin">
        <color indexed="64"/>
      </top>
      <bottom/>
      <diagonal/>
    </border>
    <border>
      <left style="thick">
        <color theme="7" tint="-0.24994659260841701"/>
      </left>
      <right/>
      <top style="thick">
        <color theme="7" tint="-0.24994659260841701"/>
      </top>
      <bottom/>
      <diagonal/>
    </border>
    <border>
      <left/>
      <right/>
      <top style="thick">
        <color theme="7" tint="-0.24994659260841701"/>
      </top>
      <bottom/>
      <diagonal/>
    </border>
    <border>
      <left/>
      <right style="thick">
        <color theme="7" tint="-0.24994659260841701"/>
      </right>
      <top style="thick">
        <color theme="7" tint="-0.24994659260841701"/>
      </top>
      <bottom/>
      <diagonal/>
    </border>
    <border>
      <left style="thick">
        <color theme="7" tint="-0.24994659260841701"/>
      </left>
      <right/>
      <top/>
      <bottom/>
      <diagonal/>
    </border>
    <border>
      <left/>
      <right style="thick">
        <color theme="7" tint="-0.24994659260841701"/>
      </right>
      <top/>
      <bottom/>
      <diagonal/>
    </border>
    <border>
      <left style="thick">
        <color theme="7" tint="-0.24994659260841701"/>
      </left>
      <right/>
      <top style="thin">
        <color indexed="64"/>
      </top>
      <bottom style="thin">
        <color indexed="64"/>
      </bottom>
      <diagonal/>
    </border>
    <border>
      <left/>
      <right style="thick">
        <color theme="7" tint="-0.24994659260841701"/>
      </right>
      <top style="thin">
        <color indexed="64"/>
      </top>
      <bottom style="thin">
        <color indexed="64"/>
      </bottom>
      <diagonal/>
    </border>
    <border>
      <left style="thick">
        <color theme="7" tint="-0.24994659260841701"/>
      </left>
      <right/>
      <top/>
      <bottom style="thick">
        <color theme="7" tint="-0.24994659260841701"/>
      </bottom>
      <diagonal/>
    </border>
    <border>
      <left/>
      <right/>
      <top/>
      <bottom style="thick">
        <color theme="7" tint="-0.24994659260841701"/>
      </bottom>
      <diagonal/>
    </border>
    <border>
      <left/>
      <right style="thick">
        <color theme="7" tint="-0.24994659260841701"/>
      </right>
      <top/>
      <bottom style="thick">
        <color theme="7" tint="-0.24994659260841701"/>
      </bottom>
      <diagonal/>
    </border>
    <border>
      <left style="medium">
        <color theme="7" tint="-0.24994659260841701"/>
      </left>
      <right/>
      <top/>
      <bottom style="thick">
        <color theme="7" tint="-0.24994659260841701"/>
      </bottom>
      <diagonal/>
    </border>
    <border>
      <left style="medium">
        <color theme="7" tint="-0.24994659260841701"/>
      </left>
      <right/>
      <top/>
      <bottom/>
      <diagonal/>
    </border>
  </borders>
  <cellStyleXfs count="5">
    <xf numFmtId="0" fontId="0" fillId="0" borderId="0"/>
    <xf numFmtId="0" fontId="4" fillId="0" borderId="0"/>
    <xf numFmtId="0" fontId="3" fillId="0" borderId="0"/>
    <xf numFmtId="0" fontId="1" fillId="2" borderId="0"/>
    <xf numFmtId="0" fontId="2" fillId="0" borderId="0"/>
  </cellStyleXfs>
  <cellXfs count="49">
    <xf numFmtId="0" fontId="0" fillId="0" borderId="0" xfId="0"/>
    <xf numFmtId="0" fontId="5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quotePrefix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top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left" vertical="center"/>
    </xf>
    <xf numFmtId="0" fontId="8" fillId="4" borderId="5" xfId="0" quotePrefix="1" applyFont="1" applyFill="1" applyBorder="1" applyAlignment="1" applyProtection="1">
      <alignment vertical="center"/>
      <protection locked="0"/>
    </xf>
    <xf numFmtId="0" fontId="8" fillId="4" borderId="5" xfId="0" quotePrefix="1" applyFont="1" applyFill="1" applyBorder="1" applyAlignment="1" applyProtection="1">
      <alignment horizontal="center" vertical="center"/>
      <protection locked="0"/>
    </xf>
    <xf numFmtId="0" fontId="8" fillId="4" borderId="5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164" fontId="9" fillId="0" borderId="9" xfId="0" applyNumberFormat="1" applyFont="1" applyBorder="1" applyAlignment="1" applyProtection="1">
      <alignment horizontal="center" vertical="center"/>
      <protection locked="0"/>
    </xf>
    <xf numFmtId="0" fontId="7" fillId="4" borderId="7" xfId="0" applyFont="1" applyFill="1" applyBorder="1" applyAlignment="1">
      <alignment horizontal="left" vertical="center"/>
    </xf>
    <xf numFmtId="0" fontId="10" fillId="0" borderId="11" xfId="0" applyFont="1" applyBorder="1" applyAlignment="1">
      <alignment horizontal="left" vertical="top"/>
    </xf>
    <xf numFmtId="0" fontId="10" fillId="0" borderId="12" xfId="0" applyFont="1" applyBorder="1" applyAlignment="1">
      <alignment horizontal="center" vertical="top"/>
    </xf>
    <xf numFmtId="0" fontId="9" fillId="0" borderId="13" xfId="0" applyFont="1" applyBorder="1" applyAlignment="1">
      <alignment horizontal="center" vertical="top"/>
    </xf>
    <xf numFmtId="0" fontId="7" fillId="4" borderId="15" xfId="0" applyFont="1" applyFill="1" applyBorder="1" applyAlignment="1">
      <alignment vertical="center"/>
    </xf>
    <xf numFmtId="0" fontId="9" fillId="0" borderId="12" xfId="0" applyFont="1" applyBorder="1" applyAlignment="1">
      <alignment horizontal="left" vertical="top"/>
    </xf>
    <xf numFmtId="0" fontId="9" fillId="3" borderId="0" xfId="0" applyFont="1" applyFill="1" applyAlignment="1">
      <alignment vertical="center"/>
    </xf>
    <xf numFmtId="0" fontId="9" fillId="3" borderId="8" xfId="0" applyFont="1" applyFill="1" applyBorder="1" applyAlignment="1">
      <alignment horizontal="center" vertical="center"/>
    </xf>
    <xf numFmtId="0" fontId="10" fillId="3" borderId="0" xfId="0" applyFont="1" applyFill="1" applyAlignment="1" applyProtection="1">
      <alignment horizontal="left" vertical="center"/>
      <protection locked="0"/>
    </xf>
    <xf numFmtId="0" fontId="10" fillId="3" borderId="0" xfId="0" applyFont="1" applyFill="1" applyAlignment="1">
      <alignment horizontal="left" vertical="center"/>
    </xf>
    <xf numFmtId="14" fontId="10" fillId="3" borderId="8" xfId="0" applyNumberFormat="1" applyFont="1" applyFill="1" applyBorder="1" applyAlignment="1">
      <alignment horizontal="left" vertical="center"/>
    </xf>
    <xf numFmtId="0" fontId="9" fillId="3" borderId="7" xfId="0" applyFont="1" applyFill="1" applyBorder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9" fillId="0" borderId="2" xfId="0" applyFont="1" applyBorder="1" applyAlignment="1" applyProtection="1">
      <alignment horizontal="left" vertical="center"/>
      <protection locked="0"/>
    </xf>
    <xf numFmtId="0" fontId="9" fillId="0" borderId="3" xfId="0" applyFont="1" applyBorder="1" applyAlignment="1" applyProtection="1">
      <alignment horizontal="left" vertical="center"/>
      <protection locked="0"/>
    </xf>
    <xf numFmtId="4" fontId="9" fillId="0" borderId="2" xfId="0" applyNumberFormat="1" applyFont="1" applyBorder="1" applyAlignment="1" applyProtection="1">
      <alignment horizontal="center" vertical="center"/>
      <protection locked="0"/>
    </xf>
    <xf numFmtId="4" fontId="9" fillId="0" borderId="10" xfId="0" applyNumberFormat="1" applyFont="1" applyBorder="1" applyAlignment="1" applyProtection="1">
      <alignment horizontal="center" vertical="center"/>
      <protection locked="0"/>
    </xf>
    <xf numFmtId="4" fontId="7" fillId="4" borderId="1" xfId="0" applyNumberFormat="1" applyFont="1" applyFill="1" applyBorder="1" applyAlignment="1">
      <alignment horizontal="center" vertical="center"/>
    </xf>
    <xf numFmtId="4" fontId="7" fillId="4" borderId="8" xfId="0" applyNumberFormat="1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1" fillId="4" borderId="5" xfId="0" applyFont="1" applyFill="1" applyBorder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10" fillId="0" borderId="12" xfId="0" applyFont="1" applyBorder="1" applyAlignment="1">
      <alignment horizontal="left" vertical="top"/>
    </xf>
    <xf numFmtId="0" fontId="10" fillId="0" borderId="14" xfId="0" applyFont="1" applyBorder="1" applyAlignment="1">
      <alignment horizontal="left" vertical="top"/>
    </xf>
    <xf numFmtId="3" fontId="9" fillId="3" borderId="9" xfId="0" applyNumberFormat="1" applyFont="1" applyFill="1" applyBorder="1" applyAlignment="1" applyProtection="1">
      <alignment horizontal="center" vertical="center"/>
      <protection locked="0"/>
    </xf>
    <xf numFmtId="0" fontId="8" fillId="4" borderId="0" xfId="0" quotePrefix="1" applyFont="1" applyFill="1" applyAlignment="1" applyProtection="1">
      <alignment vertical="center"/>
      <protection locked="0"/>
    </xf>
    <xf numFmtId="0" fontId="6" fillId="4" borderId="0" xfId="0" quotePrefix="1" applyFont="1" applyFill="1" applyAlignment="1" applyProtection="1">
      <alignment horizontal="center" vertical="center"/>
      <protection locked="0"/>
    </xf>
    <xf numFmtId="0" fontId="8" fillId="4" borderId="5" xfId="0" applyFont="1" applyFill="1" applyBorder="1" applyAlignment="1" applyProtection="1">
      <alignment vertical="center"/>
      <protection locked="0"/>
    </xf>
    <xf numFmtId="14" fontId="10" fillId="3" borderId="8" xfId="0" quotePrefix="1" applyNumberFormat="1" applyFont="1" applyFill="1" applyBorder="1" applyAlignment="1">
      <alignment horizontal="left" vertical="center"/>
    </xf>
    <xf numFmtId="14" fontId="0" fillId="0" borderId="0" xfId="0" applyNumberFormat="1"/>
    <xf numFmtId="0" fontId="0" fillId="0" borderId="0" xfId="0" quotePrefix="1"/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pav24 - Style1" xfId="3" xr:uid="{00000000-0005-0000-0000-000003000000}"/>
    <cellStyle name="STYL1 - Style1" xfId="4" xr:uid="{00000000-0005-0000-0000-000004000000}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7" tint="-0.249977111117893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ck">
          <color theme="7" tint="-0.24994659260841701"/>
        </top>
        <bottom/>
        <vertical/>
        <horizontal/>
      </border>
      <protection locked="0" hidden="0"/>
    </dxf>
    <dxf>
      <border outline="0">
        <top style="thick">
          <color theme="7" tint="-0.2499465926084170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7" tint="-0.249977111117893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ck">
          <color theme="7" tint="-0.24994659260841701"/>
        </top>
        <bottom/>
        <vertical/>
        <horizontal/>
      </border>
      <protection locked="0" hidden="0"/>
    </dxf>
    <dxf>
      <border outline="0">
        <top style="thick">
          <color theme="7" tint="-0.2499465926084170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47</xdr:row>
      <xdr:rowOff>28575</xdr:rowOff>
    </xdr:from>
    <xdr:to>
      <xdr:col>7</xdr:col>
      <xdr:colOff>624540</xdr:colOff>
      <xdr:row>69</xdr:row>
      <xdr:rowOff>104774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F5F881-F999-DB85-53FE-A39548DBD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982075"/>
          <a:ext cx="5958540" cy="4267199"/>
        </a:xfrm>
        <a:prstGeom prst="rect">
          <a:avLst/>
        </a:prstGeom>
      </xdr:spPr>
    </xdr:pic>
    <xdr:clientData/>
  </xdr:twoCellAnchor>
  <xdr:twoCellAnchor editAs="oneCell">
    <xdr:from>
      <xdr:col>2</xdr:col>
      <xdr:colOff>581024</xdr:colOff>
      <xdr:row>0</xdr:row>
      <xdr:rowOff>133350</xdr:rowOff>
    </xdr:from>
    <xdr:to>
      <xdr:col>5</xdr:col>
      <xdr:colOff>209549</xdr:colOff>
      <xdr:row>22</xdr:row>
      <xdr:rowOff>80195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FF98B44-541E-2214-8458-B75E33E68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05024" y="133350"/>
          <a:ext cx="1914525" cy="4137845"/>
        </a:xfrm>
        <a:prstGeom prst="rect">
          <a:avLst/>
        </a:prstGeom>
      </xdr:spPr>
    </xdr:pic>
    <xdr:clientData/>
  </xdr:twoCellAnchor>
  <xdr:twoCellAnchor editAs="oneCell">
    <xdr:from>
      <xdr:col>5</xdr:col>
      <xdr:colOff>304800</xdr:colOff>
      <xdr:row>0</xdr:row>
      <xdr:rowOff>152400</xdr:rowOff>
    </xdr:from>
    <xdr:to>
      <xdr:col>7</xdr:col>
      <xdr:colOff>682237</xdr:colOff>
      <xdr:row>22</xdr:row>
      <xdr:rowOff>33981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6988F51-79C0-9FEF-F9B7-7DC5212FA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14800" y="152400"/>
          <a:ext cx="1901437" cy="4072581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1</xdr:row>
      <xdr:rowOff>0</xdr:rowOff>
    </xdr:from>
    <xdr:to>
      <xdr:col>2</xdr:col>
      <xdr:colOff>481514</xdr:colOff>
      <xdr:row>23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67FF487-EA5F-3C76-0B8A-BCDF66B62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675" y="190500"/>
          <a:ext cx="1938839" cy="4210050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92</xdr:row>
      <xdr:rowOff>104775</xdr:rowOff>
    </xdr:from>
    <xdr:to>
      <xdr:col>7</xdr:col>
      <xdr:colOff>267467</xdr:colOff>
      <xdr:row>134</xdr:row>
      <xdr:rowOff>153523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8A4887-1273-F42B-2817-B0680ACFC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775" y="17630775"/>
          <a:ext cx="5496692" cy="80497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7</xdr:col>
      <xdr:colOff>686640</xdr:colOff>
      <xdr:row>155</xdr:row>
      <xdr:rowOff>38531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1EAFBB-6F29-C0BA-7DDA-8C65C4C20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6479500"/>
          <a:ext cx="6020640" cy="308653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588F67-5194-4B29-9AF4-E4FC3A8A29D4}" name="AUDCUR" displayName="AUDCUR" ref="A1:B13" totalsRowShown="0" tableBorderDxfId="5">
  <autoFilter ref="A1:B13" xr:uid="{89588F67-5194-4B29-9AF4-E4FC3A8A29D4}"/>
  <tableColumns count="2">
    <tableColumn id="1" xr3:uid="{FAB1F7EA-9D12-44BD-AE89-2A7E49FE6AD8}" name="ICSAU" dataDxfId="4"/>
    <tableColumn id="2" xr3:uid="{8ECC5C69-F20B-4958-8355-D5E133B35F56}" name="AUD" dataDxfId="3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75BF24-166D-49D0-B988-FD33BB21A4BB}" name="NZDCUR" displayName="NZDCUR" ref="D1:E13" totalsRowShown="0" tableBorderDxfId="2">
  <autoFilter ref="D1:E13" xr:uid="{CC75BF24-166D-49D0-B988-FD33BB21A4BB}"/>
  <tableColumns count="2">
    <tableColumn id="1" xr3:uid="{8165812F-5D55-437D-A2F8-E2879167FE1D}" name="ICS" dataDxfId="1"/>
    <tableColumn id="2" xr3:uid="{F67333BC-BC73-461D-BE38-8C4A68D34CCA}" name="NZ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LaurentTheme">
  <a:themeElements>
    <a:clrScheme name="Custom 1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1C3BA1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>
    <pageSetUpPr fitToPage="1"/>
  </sheetPr>
  <dimension ref="B1:H16"/>
  <sheetViews>
    <sheetView showGridLines="0" showZeros="0" tabSelected="1" showOutlineSymbols="0" defaultGridColor="0" colorId="63" zoomScale="90" zoomScaleNormal="90" workbookViewId="0">
      <selection sqref="A1:H184"/>
    </sheetView>
  </sheetViews>
  <sheetFormatPr defaultColWidth="21.109375" defaultRowHeight="18" customHeight="1" x14ac:dyDescent="0.2"/>
  <cols>
    <col min="1" max="1" width="6.5546875" style="2" customWidth="1"/>
    <col min="2" max="3" width="14.88671875" style="2" customWidth="1"/>
    <col min="4" max="4" width="41.44140625" style="2" customWidth="1"/>
    <col min="5" max="5" width="16.5546875" style="2" customWidth="1"/>
    <col min="6" max="6" width="16.5546875" style="4" customWidth="1"/>
    <col min="7" max="7" width="9.5546875" style="4" customWidth="1"/>
    <col min="8" max="8" width="16.5546875" style="4" customWidth="1"/>
    <col min="9" max="16384" width="21.109375" style="2"/>
  </cols>
  <sheetData>
    <row r="1" spans="2:8" ht="26.25" customHeight="1" thickTop="1" x14ac:dyDescent="0.2">
      <c r="B1" s="10" t="s">
        <v>8</v>
      </c>
      <c r="C1" s="38"/>
      <c r="D1" s="11"/>
      <c r="E1" s="11"/>
      <c r="F1" s="12"/>
      <c r="G1" s="13"/>
      <c r="H1" s="14"/>
    </row>
    <row r="2" spans="2:8" ht="18" customHeight="1" x14ac:dyDescent="0.2">
      <c r="B2" s="29" t="s">
        <v>15</v>
      </c>
      <c r="C2" s="30" t="s">
        <v>28</v>
      </c>
      <c r="D2" s="26"/>
      <c r="E2" s="26"/>
      <c r="F2" s="37"/>
      <c r="G2" s="30" t="s">
        <v>0</v>
      </c>
      <c r="H2" s="46" t="s">
        <v>32</v>
      </c>
    </row>
    <row r="3" spans="2:8" ht="18" customHeight="1" x14ac:dyDescent="0.2">
      <c r="B3" s="29" t="s">
        <v>9</v>
      </c>
      <c r="C3" s="30" t="s">
        <v>23</v>
      </c>
      <c r="D3" s="27"/>
      <c r="E3" s="27"/>
      <c r="F3" s="37"/>
      <c r="G3" s="24"/>
      <c r="H3" s="25"/>
    </row>
    <row r="4" spans="2:8" ht="24.75" customHeight="1" x14ac:dyDescent="0.2">
      <c r="B4" s="15" t="s">
        <v>22</v>
      </c>
      <c r="C4" s="15" t="s">
        <v>0</v>
      </c>
      <c r="D4" s="8" t="s">
        <v>12</v>
      </c>
      <c r="E4" s="8" t="s">
        <v>16</v>
      </c>
      <c r="F4" s="8" t="s">
        <v>14</v>
      </c>
      <c r="G4" s="9" t="s">
        <v>13</v>
      </c>
      <c r="H4" s="16" t="s">
        <v>4</v>
      </c>
    </row>
    <row r="5" spans="2:8" ht="18" customHeight="1" x14ac:dyDescent="0.2">
      <c r="B5" s="42">
        <v>1</v>
      </c>
      <c r="C5" s="17">
        <v>46269</v>
      </c>
      <c r="D5" s="32" t="s">
        <v>30</v>
      </c>
      <c r="E5" s="32" t="s">
        <v>29</v>
      </c>
      <c r="F5" s="33">
        <v>1000</v>
      </c>
      <c r="G5" s="33" t="s">
        <v>4</v>
      </c>
      <c r="H5" s="33">
        <v>1000</v>
      </c>
    </row>
    <row r="6" spans="2:8" ht="18" customHeight="1" x14ac:dyDescent="0.2">
      <c r="B6" s="42">
        <v>2</v>
      </c>
      <c r="C6" s="17"/>
      <c r="D6" s="32"/>
      <c r="E6" s="32"/>
      <c r="F6" s="33"/>
      <c r="G6" s="33"/>
      <c r="H6" s="34"/>
    </row>
    <row r="7" spans="2:8" ht="18" customHeight="1" x14ac:dyDescent="0.2">
      <c r="B7" s="42">
        <v>3</v>
      </c>
      <c r="C7" s="17"/>
      <c r="D7" s="32"/>
      <c r="E7" s="32"/>
      <c r="F7" s="33"/>
      <c r="G7" s="33"/>
      <c r="H7" s="34"/>
    </row>
    <row r="8" spans="2:8" ht="18" customHeight="1" x14ac:dyDescent="0.2">
      <c r="B8" s="42">
        <v>4</v>
      </c>
      <c r="C8" s="17"/>
      <c r="D8" s="32"/>
      <c r="E8" s="32"/>
      <c r="F8" s="33"/>
      <c r="G8" s="33"/>
      <c r="H8" s="34"/>
    </row>
    <row r="9" spans="2:8" ht="18" customHeight="1" x14ac:dyDescent="0.2">
      <c r="B9" s="42">
        <v>5</v>
      </c>
      <c r="C9" s="17"/>
      <c r="D9" s="31"/>
      <c r="E9" s="31"/>
      <c r="F9" s="33"/>
      <c r="G9" s="33"/>
      <c r="H9" s="34"/>
    </row>
    <row r="10" spans="2:8" ht="18" customHeight="1" x14ac:dyDescent="0.2">
      <c r="B10" s="42">
        <v>6</v>
      </c>
      <c r="C10" s="17"/>
      <c r="D10" s="31"/>
      <c r="E10" s="31"/>
      <c r="F10" s="33"/>
      <c r="G10" s="33"/>
      <c r="H10" s="34"/>
    </row>
    <row r="11" spans="2:8" ht="18" customHeight="1" x14ac:dyDescent="0.2">
      <c r="B11" s="42">
        <v>7</v>
      </c>
      <c r="C11" s="17"/>
      <c r="D11" s="31"/>
      <c r="E11" s="31"/>
      <c r="F11" s="33"/>
      <c r="G11" s="33"/>
      <c r="H11" s="34"/>
    </row>
    <row r="12" spans="2:8" ht="18" customHeight="1" x14ac:dyDescent="0.2">
      <c r="B12" s="42">
        <v>8</v>
      </c>
      <c r="C12" s="17"/>
      <c r="D12" s="31"/>
      <c r="E12" s="31"/>
      <c r="F12" s="33"/>
      <c r="G12" s="33"/>
      <c r="H12" s="34"/>
    </row>
    <row r="13" spans="2:8" ht="18" customHeight="1" x14ac:dyDescent="0.2">
      <c r="B13" s="42">
        <v>9</v>
      </c>
      <c r="C13" s="17"/>
      <c r="D13" s="31"/>
      <c r="E13" s="31"/>
      <c r="F13" s="33"/>
      <c r="G13" s="33"/>
      <c r="H13" s="34"/>
    </row>
    <row r="14" spans="2:8" s="1" customFormat="1" ht="26.25" customHeight="1" x14ac:dyDescent="0.2">
      <c r="B14" s="18" t="s">
        <v>1</v>
      </c>
      <c r="C14" s="39"/>
      <c r="D14" s="22"/>
      <c r="E14" s="22"/>
      <c r="F14" s="35"/>
      <c r="G14" s="35" t="s">
        <v>1</v>
      </c>
      <c r="H14" s="36">
        <f>SUM(H5:H13)</f>
        <v>1000</v>
      </c>
    </row>
    <row r="15" spans="2:8" s="7" customFormat="1" ht="78.75" customHeight="1" thickBot="1" x14ac:dyDescent="0.25">
      <c r="B15" s="19" t="s">
        <v>10</v>
      </c>
      <c r="C15" s="40"/>
      <c r="D15" s="23"/>
      <c r="E15" s="23"/>
      <c r="F15" s="41" t="s">
        <v>11</v>
      </c>
      <c r="G15" s="20"/>
      <c r="H15" s="21"/>
    </row>
    <row r="16" spans="2:8" ht="18" customHeight="1" thickTop="1" x14ac:dyDescent="0.2">
      <c r="B16" s="5"/>
      <c r="C16" s="5"/>
      <c r="D16" s="6"/>
      <c r="E16" s="6"/>
      <c r="G16" s="3"/>
    </row>
  </sheetData>
  <dataValidations count="1">
    <dataValidation type="list" allowBlank="1" showInputMessage="1" showErrorMessage="1" sqref="G5:G13" xr:uid="{00000000-0002-0000-0000-000000000000}">
      <formula1>ListCurrency</formula1>
    </dataValidation>
  </dataValidations>
  <printOptions horizontalCentered="1" verticalCentered="1"/>
  <pageMargins left="3.937007874015748E-2" right="3.937007874015748E-2" top="0.31496062992125984" bottom="0" header="0" footer="0"/>
  <pageSetup paperSize="9" scale="95" fitToHeight="0" orientation="landscape" r:id="rId1"/>
  <headerFooter alignWithMargins="0">
    <oddFooter>&amp;L_x000D_&amp;1#&amp;"Aptos"&amp;10&amp;K000000 Internal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27C2-7FA4-4962-81F4-C9CCDCF996FE}">
  <sheetPr transitionEvaluation="1">
    <pageSetUpPr fitToPage="1"/>
  </sheetPr>
  <dimension ref="B1:H16"/>
  <sheetViews>
    <sheetView showGridLines="0" showZeros="0" showOutlineSymbols="0" defaultGridColor="0" colorId="63" zoomScale="90" zoomScaleNormal="90" workbookViewId="0">
      <selection activeCell="F5" sqref="F5"/>
    </sheetView>
  </sheetViews>
  <sheetFormatPr defaultColWidth="21.109375" defaultRowHeight="18" customHeight="1" x14ac:dyDescent="0.2"/>
  <cols>
    <col min="1" max="1" width="6.5546875" style="2" customWidth="1"/>
    <col min="2" max="3" width="14.88671875" style="2" customWidth="1"/>
    <col min="4" max="4" width="41.44140625" style="2" customWidth="1"/>
    <col min="5" max="5" width="16.5546875" style="2" customWidth="1"/>
    <col min="6" max="6" width="16.5546875" style="4" customWidth="1"/>
    <col min="7" max="7" width="9.5546875" style="4" customWidth="1"/>
    <col min="8" max="8" width="16.5546875" style="4" customWidth="1"/>
    <col min="9" max="16384" width="21.109375" style="2"/>
  </cols>
  <sheetData>
    <row r="1" spans="2:8" ht="26.25" customHeight="1" thickTop="1" x14ac:dyDescent="0.2">
      <c r="B1" s="10" t="s">
        <v>8</v>
      </c>
      <c r="C1" s="38"/>
      <c r="D1" s="11"/>
      <c r="E1" s="11"/>
      <c r="F1" s="12"/>
      <c r="G1" s="13"/>
      <c r="H1" s="14"/>
    </row>
    <row r="2" spans="2:8" ht="18" customHeight="1" x14ac:dyDescent="0.2">
      <c r="B2" s="29" t="s">
        <v>15</v>
      </c>
      <c r="C2" s="30"/>
      <c r="D2" s="26"/>
      <c r="E2" s="26"/>
      <c r="F2" s="37"/>
      <c r="G2" s="30" t="s">
        <v>0</v>
      </c>
      <c r="H2" s="28"/>
    </row>
    <row r="3" spans="2:8" ht="18" customHeight="1" x14ac:dyDescent="0.2">
      <c r="B3" s="29" t="s">
        <v>9</v>
      </c>
      <c r="C3" s="30" t="s">
        <v>24</v>
      </c>
      <c r="D3" s="27"/>
      <c r="E3" s="27"/>
      <c r="F3" s="37"/>
      <c r="G3" s="24"/>
      <c r="H3" s="25"/>
    </row>
    <row r="4" spans="2:8" ht="24.75" customHeight="1" x14ac:dyDescent="0.2">
      <c r="B4" s="15" t="s">
        <v>22</v>
      </c>
      <c r="C4" s="15" t="s">
        <v>0</v>
      </c>
      <c r="D4" s="8" t="s">
        <v>12</v>
      </c>
      <c r="E4" s="8" t="s">
        <v>16</v>
      </c>
      <c r="F4" s="8" t="s">
        <v>14</v>
      </c>
      <c r="G4" s="9" t="s">
        <v>13</v>
      </c>
      <c r="H4" s="16" t="s">
        <v>5</v>
      </c>
    </row>
    <row r="5" spans="2:8" ht="18" customHeight="1" x14ac:dyDescent="0.2">
      <c r="B5" s="42">
        <v>1</v>
      </c>
      <c r="C5" s="17"/>
      <c r="D5" s="32"/>
      <c r="E5" s="32"/>
      <c r="F5" s="33"/>
      <c r="G5" s="33"/>
      <c r="H5" s="34">
        <f>IF(G5="",G5,F5*VLOOKUP(G5,AUDCUR[#All],2))</f>
        <v>0</v>
      </c>
    </row>
    <row r="6" spans="2:8" ht="18" customHeight="1" x14ac:dyDescent="0.2">
      <c r="B6" s="42">
        <v>2</v>
      </c>
      <c r="C6" s="17"/>
      <c r="D6" s="32"/>
      <c r="E6" s="32"/>
      <c r="F6" s="33"/>
      <c r="G6" s="33"/>
      <c r="H6" s="34">
        <f>IF(G6="",G6,F6*VLOOKUP(G6,AUDCUR[#All],2))</f>
        <v>0</v>
      </c>
    </row>
    <row r="7" spans="2:8" ht="18" customHeight="1" x14ac:dyDescent="0.2">
      <c r="B7" s="42">
        <v>3</v>
      </c>
      <c r="C7" s="17"/>
      <c r="D7" s="32"/>
      <c r="E7" s="32"/>
      <c r="F7" s="33"/>
      <c r="G7" s="33"/>
      <c r="H7" s="34">
        <f>IF(G7="",G7,F7*VLOOKUP(G7,AUDCUR[#All],2))</f>
        <v>0</v>
      </c>
    </row>
    <row r="8" spans="2:8" ht="18" customHeight="1" x14ac:dyDescent="0.2">
      <c r="B8" s="42">
        <v>4</v>
      </c>
      <c r="C8" s="17"/>
      <c r="D8" s="31"/>
      <c r="E8" s="31"/>
      <c r="F8" s="33"/>
      <c r="G8" s="33"/>
      <c r="H8" s="34">
        <f>IF(G8="",G8,F8*VLOOKUP(G8,AUDCUR[#All],2))</f>
        <v>0</v>
      </c>
    </row>
    <row r="9" spans="2:8" ht="18" customHeight="1" x14ac:dyDescent="0.2">
      <c r="B9" s="42">
        <v>5</v>
      </c>
      <c r="C9" s="17"/>
      <c r="D9" s="31"/>
      <c r="E9" s="31"/>
      <c r="F9" s="33"/>
      <c r="G9" s="33"/>
      <c r="H9" s="34">
        <f>IF(G9="",G9,F9*VLOOKUP(G9,AUDCUR[#All],2))</f>
        <v>0</v>
      </c>
    </row>
    <row r="10" spans="2:8" ht="18" customHeight="1" x14ac:dyDescent="0.2">
      <c r="B10" s="42">
        <v>6</v>
      </c>
      <c r="C10" s="17"/>
      <c r="D10" s="31"/>
      <c r="E10" s="31"/>
      <c r="F10" s="33"/>
      <c r="G10" s="33"/>
      <c r="H10" s="34">
        <f>IF(G10="",G10,F10*VLOOKUP(G10,AUDCUR[#All],2))</f>
        <v>0</v>
      </c>
    </row>
    <row r="11" spans="2:8" ht="18" customHeight="1" x14ac:dyDescent="0.2">
      <c r="B11" s="42">
        <v>7</v>
      </c>
      <c r="C11" s="17"/>
      <c r="D11" s="31"/>
      <c r="E11" s="31"/>
      <c r="F11" s="33"/>
      <c r="G11" s="33"/>
      <c r="H11" s="34">
        <f>IF(G11="",G11,F11*VLOOKUP(G11,AUDCUR[#All],2))</f>
        <v>0</v>
      </c>
    </row>
    <row r="12" spans="2:8" ht="18" customHeight="1" x14ac:dyDescent="0.2">
      <c r="B12" s="42">
        <v>8</v>
      </c>
      <c r="C12" s="17"/>
      <c r="D12" s="31"/>
      <c r="E12" s="31"/>
      <c r="F12" s="33"/>
      <c r="G12" s="33"/>
      <c r="H12" s="34">
        <f>IF(G12="",G12,F12*VLOOKUP(G12,AUDCUR[#All],2))</f>
        <v>0</v>
      </c>
    </row>
    <row r="13" spans="2:8" ht="18" customHeight="1" x14ac:dyDescent="0.2">
      <c r="B13" s="42">
        <v>9</v>
      </c>
      <c r="C13" s="17"/>
      <c r="D13" s="31"/>
      <c r="E13" s="31"/>
      <c r="F13" s="33"/>
      <c r="G13" s="33"/>
      <c r="H13" s="34">
        <f>IF(G13="",G13,F13*VLOOKUP(G13,AUDCUR[#All],2))</f>
        <v>0</v>
      </c>
    </row>
    <row r="14" spans="2:8" s="1" customFormat="1" ht="26.25" customHeight="1" x14ac:dyDescent="0.2">
      <c r="B14" s="18" t="s">
        <v>1</v>
      </c>
      <c r="C14" s="39"/>
      <c r="D14" s="22"/>
      <c r="E14" s="22"/>
      <c r="F14" s="35"/>
      <c r="G14" s="35" t="s">
        <v>1</v>
      </c>
      <c r="H14" s="36">
        <f>SUM(H5:H13)</f>
        <v>0</v>
      </c>
    </row>
    <row r="15" spans="2:8" s="7" customFormat="1" ht="78.75" customHeight="1" thickBot="1" x14ac:dyDescent="0.25">
      <c r="B15" s="19" t="s">
        <v>10</v>
      </c>
      <c r="C15" s="40"/>
      <c r="D15" s="23"/>
      <c r="E15" s="23"/>
      <c r="F15" s="41" t="s">
        <v>11</v>
      </c>
      <c r="G15" s="20"/>
      <c r="H15" s="21"/>
    </row>
    <row r="16" spans="2:8" ht="18" customHeight="1" thickTop="1" x14ac:dyDescent="0.2">
      <c r="B16" s="5"/>
      <c r="C16" s="5"/>
      <c r="D16" s="6"/>
      <c r="E16" s="6"/>
      <c r="G16" s="3"/>
    </row>
  </sheetData>
  <dataValidations count="1">
    <dataValidation type="list" allowBlank="1" showInputMessage="1" showErrorMessage="1" sqref="G5:G13" xr:uid="{AC8E11D5-0307-4D94-97AE-0FBCCEE89DFC}">
      <formula1>ListCurrency</formula1>
    </dataValidation>
  </dataValidations>
  <printOptions horizontalCentered="1" verticalCentered="1"/>
  <pageMargins left="3.937007874015748E-2" right="3.937007874015748E-2" top="0.31496062992125984" bottom="0" header="0" footer="0"/>
  <pageSetup paperSize="9" scale="93" fitToHeight="0" orientation="landscape" r:id="rId1"/>
  <headerFooter alignWithMargins="0">
    <oddFooter>&amp;L_x000D_&amp;1#&amp;"Aptos"&amp;10&amp;K000000 Internal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39D7E-1B51-43AB-A2E1-1A95AE778D88}">
  <dimension ref="C2:H5"/>
  <sheetViews>
    <sheetView showGridLines="0" tabSelected="1" workbookViewId="0">
      <selection sqref="A1:H184"/>
    </sheetView>
  </sheetViews>
  <sheetFormatPr defaultRowHeight="15" x14ac:dyDescent="0.2"/>
  <sheetData>
    <row r="2" spans="3:8" x14ac:dyDescent="0.2">
      <c r="H2" s="48" t="s">
        <v>31</v>
      </c>
    </row>
    <row r="5" spans="3:8" x14ac:dyDescent="0.2">
      <c r="C5" s="47"/>
    </row>
  </sheetData>
  <pageMargins left="0.7" right="0.7" top="0.75" bottom="0.75" header="0.3" footer="0.3"/>
  <pageSetup orientation="portrait" r:id="rId1"/>
  <headerFooter>
    <oddFooter>&amp;L_x000D_&amp;1#&amp;"Aptos"&amp;10&amp;K000000 Internal - Confidential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4CBE7-6FBE-47CC-8868-C926A4CBA99A}">
  <dimension ref="A1:E13"/>
  <sheetViews>
    <sheetView workbookViewId="0">
      <selection activeCell="B14" sqref="B14"/>
    </sheetView>
  </sheetViews>
  <sheetFormatPr defaultRowHeight="15" x14ac:dyDescent="0.2"/>
  <sheetData>
    <row r="1" spans="1:5" ht="15.75" thickBot="1" x14ac:dyDescent="0.25">
      <c r="A1" s="43" t="s">
        <v>25</v>
      </c>
      <c r="B1" s="44" t="s">
        <v>5</v>
      </c>
      <c r="D1" s="43" t="s">
        <v>26</v>
      </c>
      <c r="E1" s="44" t="s">
        <v>4</v>
      </c>
    </row>
    <row r="2" spans="1:5" ht="16.5" thickTop="1" thickBot="1" x14ac:dyDescent="0.25">
      <c r="A2" s="11" t="s">
        <v>4</v>
      </c>
      <c r="B2" s="4">
        <v>0.92</v>
      </c>
      <c r="D2" s="11" t="s">
        <v>5</v>
      </c>
      <c r="E2" s="4">
        <v>1.0900000000000001</v>
      </c>
    </row>
    <row r="3" spans="1:5" ht="16.5" thickTop="1" thickBot="1" x14ac:dyDescent="0.25">
      <c r="A3" s="11" t="s">
        <v>3</v>
      </c>
      <c r="B3" s="4">
        <v>1.78</v>
      </c>
      <c r="D3" s="11" t="s">
        <v>3</v>
      </c>
      <c r="E3" s="4">
        <v>1.94</v>
      </c>
    </row>
    <row r="4" spans="1:5" ht="16.5" thickTop="1" thickBot="1" x14ac:dyDescent="0.25">
      <c r="A4" s="11" t="s">
        <v>7</v>
      </c>
      <c r="B4" s="4">
        <v>2</v>
      </c>
      <c r="D4" s="11" t="s">
        <v>7</v>
      </c>
      <c r="E4" s="4">
        <v>2.2400000000000002</v>
      </c>
    </row>
    <row r="5" spans="1:5" ht="16.5" thickTop="1" thickBot="1" x14ac:dyDescent="0.25">
      <c r="A5" s="11" t="s">
        <v>6</v>
      </c>
      <c r="B5" s="4">
        <v>0.2</v>
      </c>
      <c r="D5" s="11" t="s">
        <v>6</v>
      </c>
      <c r="E5" s="4">
        <v>0.21</v>
      </c>
    </row>
    <row r="6" spans="1:5" ht="16.5" thickTop="1" thickBot="1" x14ac:dyDescent="0.25">
      <c r="A6" s="11" t="s">
        <v>2</v>
      </c>
      <c r="B6" s="4">
        <v>1.51</v>
      </c>
      <c r="D6" s="11" t="s">
        <v>2</v>
      </c>
      <c r="E6" s="4">
        <v>1.65</v>
      </c>
    </row>
    <row r="7" spans="1:5" ht="16.5" thickTop="1" thickBot="1" x14ac:dyDescent="0.25">
      <c r="A7" s="11" t="s">
        <v>18</v>
      </c>
      <c r="B7" s="4">
        <v>0.55000000000000004</v>
      </c>
      <c r="D7" s="11" t="s">
        <v>18</v>
      </c>
      <c r="E7" s="4">
        <v>0.6</v>
      </c>
    </row>
    <row r="8" spans="1:5" ht="16.5" thickTop="1" thickBot="1" x14ac:dyDescent="0.25">
      <c r="A8" s="11" t="s">
        <v>19</v>
      </c>
      <c r="B8" s="4">
        <v>0.67</v>
      </c>
      <c r="D8" s="11" t="s">
        <v>19</v>
      </c>
      <c r="E8" s="4">
        <v>0.73</v>
      </c>
    </row>
    <row r="9" spans="1:5" ht="16.5" thickTop="1" thickBot="1" x14ac:dyDescent="0.25">
      <c r="A9" s="11" t="s">
        <v>20</v>
      </c>
      <c r="B9" s="4">
        <v>1.18</v>
      </c>
      <c r="D9" s="11" t="s">
        <v>20</v>
      </c>
      <c r="E9" s="4">
        <v>1.29</v>
      </c>
    </row>
    <row r="10" spans="1:5" ht="16.5" thickTop="1" thickBot="1" x14ac:dyDescent="0.25">
      <c r="A10" s="11" t="s">
        <v>21</v>
      </c>
      <c r="B10" s="4">
        <v>1.1100000000000001</v>
      </c>
      <c r="D10" s="11" t="s">
        <v>21</v>
      </c>
      <c r="E10" s="4">
        <v>1.21</v>
      </c>
    </row>
    <row r="11" spans="1:5" ht="16.5" thickTop="1" thickBot="1" x14ac:dyDescent="0.25">
      <c r="A11" s="11" t="s">
        <v>17</v>
      </c>
      <c r="B11" s="4">
        <v>1.4E-2</v>
      </c>
      <c r="D11" s="11" t="s">
        <v>17</v>
      </c>
      <c r="E11" s="4">
        <v>1.6E-2</v>
      </c>
    </row>
    <row r="12" spans="1:5" ht="16.5" thickTop="1" thickBot="1" x14ac:dyDescent="0.25">
      <c r="A12" s="11" t="s">
        <v>5</v>
      </c>
      <c r="B12" s="4">
        <v>1</v>
      </c>
      <c r="D12" s="11" t="s">
        <v>4</v>
      </c>
      <c r="E12" s="4">
        <v>1</v>
      </c>
    </row>
    <row r="13" spans="1:5" ht="15.75" thickTop="1" x14ac:dyDescent="0.2">
      <c r="A13" s="45" t="s">
        <v>27</v>
      </c>
      <c r="B13" s="4">
        <v>9.0000000000000006E-5</v>
      </c>
      <c r="D13" s="45" t="s">
        <v>27</v>
      </c>
      <c r="E13" s="4">
        <v>1E-4</v>
      </c>
    </row>
  </sheetData>
  <pageMargins left="0.7" right="0.7" top="0.75" bottom="0.75" header="0.3" footer="0.3"/>
  <headerFooter>
    <oddFooter>&amp;L_x000D_&amp;1#&amp;"Aptos"&amp;10&amp;K000000 Internal -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48D9CC5F948243AFA9D785CFC8646D" ma:contentTypeVersion="14" ma:contentTypeDescription="Create a new document." ma:contentTypeScope="" ma:versionID="4283cd38109eec077ae919caf14cf7ea">
  <xsd:schema xmlns:xsd="http://www.w3.org/2001/XMLSchema" xmlns:xs="http://www.w3.org/2001/XMLSchema" xmlns:p="http://schemas.microsoft.com/office/2006/metadata/properties" xmlns:ns2="a52fc808-2eb6-4a2f-916b-273efd66095c" xmlns:ns3="76b96def-cc82-407d-b5f5-f76f6e3e5b4f" targetNamespace="http://schemas.microsoft.com/office/2006/metadata/properties" ma:root="true" ma:fieldsID="77050b1aef697c787c1bf5fa5bb3cd8f" ns2:_="" ns3:_="">
    <xsd:import namespace="a52fc808-2eb6-4a2f-916b-273efd66095c"/>
    <xsd:import namespace="76b96def-cc82-407d-b5f5-f76f6e3e5b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2fc808-2eb6-4a2f-916b-273efd6609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3e22b673-33ea-4156-aa29-692a5fdc78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b96def-cc82-407d-b5f5-f76f6e3e5b4f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bedd12e8-fd8f-4879-b4ab-ef2defbbc6ec}" ma:internalName="TaxCatchAll" ma:showField="CatchAllData" ma:web="76b96def-cc82-407d-b5f5-f76f6e3e5b4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6b96def-cc82-407d-b5f5-f76f6e3e5b4f" xsi:nil="true"/>
    <lcf76f155ced4ddcb4097134ff3c332f xmlns="a52fc808-2eb6-4a2f-916b-273efd66095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1D1B72-C283-44D4-A987-B415E459564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354A0B-7571-4B00-93DF-961044D67F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2fc808-2eb6-4a2f-916b-273efd66095c"/>
    <ds:schemaRef ds:uri="76b96def-cc82-407d-b5f5-f76f6e3e5b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72B6373-E599-4DC9-81BE-C166740E48C5}">
  <ds:schemaRefs>
    <ds:schemaRef ds:uri="http://schemas.openxmlformats.org/package/2006/metadata/core-properties"/>
    <ds:schemaRef ds:uri="a52fc808-2eb6-4a2f-916b-273efd66095c"/>
    <ds:schemaRef ds:uri="http://purl.org/dc/dcmitype/"/>
    <ds:schemaRef ds:uri="http://schemas.microsoft.com/office/2006/documentManagement/types"/>
    <ds:schemaRef ds:uri="76b96def-cc82-407d-b5f5-f76f6e3e5b4f"/>
    <ds:schemaRef ds:uri="http://schemas.microsoft.com/office/infopath/2007/PartnerControls"/>
    <ds:schemaRef ds:uri="http://purl.org/dc/elements/1.1/"/>
    <ds:schemaRef ds:uri="http://www.w3.org/XML/1998/namespace"/>
    <ds:schemaRef ds:uri="http://schemas.microsoft.com/office/2006/metadata/properties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42c0a836-49bd-4190-870b-b9e8a5ace9f6}" enabled="1" method="Privileged" siteId="{11168e9d-8339-4497-a4a0-a9213624f2c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1) NZD</vt:lpstr>
      <vt:lpstr>2) AUD</vt:lpstr>
      <vt:lpstr>3) SCAN INVOICES</vt:lpstr>
      <vt:lpstr>EXCHANGE RATES</vt:lpstr>
      <vt:lpstr>'1) NZD'!Print_Area</vt:lpstr>
      <vt:lpstr>'2) AUD'!Print_Area</vt:lpstr>
      <vt:lpstr>'3) SCAN INVOICES'!Print_Area</vt:lpstr>
    </vt:vector>
  </TitlesOfParts>
  <Company>ALCATEL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nathalie.olive</dc:creator>
  <cp:lastModifiedBy>Oscar Yip</cp:lastModifiedBy>
  <cp:lastPrinted>2026-09-03T23:42:47Z</cp:lastPrinted>
  <dcterms:created xsi:type="dcterms:W3CDTF">2005-01-11T02:31:41Z</dcterms:created>
  <dcterms:modified xsi:type="dcterms:W3CDTF">2026-09-03T23:42:49Z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0x010100C948D9CC5F948243AFA9D785CFC8646D</vt:lpwstr>
  </property>
</Properties>
</file>