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cs-oscyip\Downloads\"/>
    </mc:Choice>
  </mc:AlternateContent>
  <xr:revisionPtr revIDLastSave="0" documentId="13_ncr:1_{4E71D9F1-BDF2-484A-AE7C-9381AC6ACC1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ustomer transaction report" sheetId="1" r:id="rId1"/>
  </sheets>
  <definedNames>
    <definedName name="_xlnm.Print_Area" localSheetId="0">'Customer transaction report'!$A$1:$O$351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37" i="1" l="1"/>
  <c r="N339" i="1" s="1"/>
  <c r="N326" i="1"/>
  <c r="L335" i="1"/>
  <c r="M334" i="1"/>
  <c r="L333" i="1"/>
  <c r="M333" i="1" s="1"/>
  <c r="L334" i="1" s="1"/>
  <c r="N318" i="1"/>
  <c r="N320" i="1" s="1"/>
  <c r="N322" i="1" s="1"/>
  <c r="N324" i="1" s="1"/>
  <c r="N306" i="1"/>
  <c r="N308" i="1" s="1"/>
  <c r="N310" i="1" s="1"/>
  <c r="N312" i="1" s="1"/>
  <c r="N314" i="1" s="1"/>
  <c r="N316" i="1" s="1"/>
  <c r="N294" i="1"/>
  <c r="N296" i="1" s="1"/>
  <c r="N298" i="1" s="1"/>
  <c r="N300" i="1" s="1"/>
  <c r="N302" i="1" s="1"/>
  <c r="N304" i="1" s="1"/>
  <c r="N282" i="1"/>
  <c r="N284" i="1" s="1"/>
  <c r="N286" i="1" s="1"/>
  <c r="N288" i="1" s="1"/>
  <c r="N290" i="1" s="1"/>
  <c r="N292" i="1" s="1"/>
  <c r="N270" i="1"/>
  <c r="N272" i="1" s="1"/>
  <c r="N274" i="1" s="1"/>
  <c r="N276" i="1" s="1"/>
  <c r="N278" i="1" s="1"/>
  <c r="N280" i="1" s="1"/>
  <c r="N252" i="1" l="1"/>
  <c r="N254" i="1" s="1"/>
  <c r="N256" i="1" s="1"/>
  <c r="N258" i="1" s="1"/>
  <c r="N260" i="1" s="1"/>
  <c r="N268" i="1" s="1"/>
  <c r="N240" i="1"/>
  <c r="N242" i="1" s="1"/>
  <c r="N244" i="1" s="1"/>
  <c r="N246" i="1" s="1"/>
  <c r="N248" i="1" s="1"/>
  <c r="N250" i="1" s="1"/>
  <c r="N231" i="1"/>
  <c r="N233" i="1" s="1"/>
  <c r="N236" i="1" s="1"/>
  <c r="N238" i="1" s="1"/>
  <c r="N137" i="1"/>
  <c r="N139" i="1" s="1"/>
  <c r="N141" i="1" s="1"/>
  <c r="N143" i="1" s="1"/>
  <c r="N145" i="1"/>
  <c r="N147" i="1" s="1"/>
  <c r="N149" i="1" s="1"/>
  <c r="N151" i="1" s="1"/>
  <c r="N153" i="1" s="1"/>
  <c r="N155" i="1" s="1"/>
  <c r="N157" i="1"/>
  <c r="N159" i="1" s="1"/>
  <c r="N161" i="1" s="1"/>
  <c r="N163" i="1" s="1"/>
  <c r="N165" i="1" s="1"/>
  <c r="N167" i="1" s="1"/>
  <c r="N169" i="1"/>
  <c r="N171" i="1" s="1"/>
  <c r="N173" i="1" s="1"/>
  <c r="N175" i="1" s="1"/>
  <c r="N219" i="1"/>
  <c r="N221" i="1" s="1"/>
  <c r="N223" i="1" s="1"/>
  <c r="N225" i="1" s="1"/>
  <c r="N227" i="1" s="1"/>
  <c r="N229" i="1" s="1"/>
  <c r="N207" i="1"/>
  <c r="N209" i="1" s="1"/>
  <c r="N211" i="1" s="1"/>
  <c r="N213" i="1" s="1"/>
  <c r="N215" i="1" s="1"/>
  <c r="N217" i="1" s="1"/>
  <c r="N189" i="1"/>
  <c r="N191" i="1" s="1"/>
  <c r="N193" i="1" s="1"/>
  <c r="N201" i="1" s="1"/>
  <c r="N203" i="1" s="1"/>
  <c r="N205" i="1" s="1"/>
  <c r="N177" i="1"/>
  <c r="N179" i="1" s="1"/>
  <c r="N181" i="1" s="1"/>
  <c r="N183" i="1" s="1"/>
  <c r="N185" i="1" s="1"/>
  <c r="N187" i="1" s="1"/>
  <c r="N120" i="1"/>
  <c r="N122" i="1" s="1"/>
  <c r="N124" i="1" s="1"/>
  <c r="N126" i="1" s="1"/>
  <c r="N128" i="1" s="1"/>
  <c r="N135" i="1" s="1"/>
  <c r="N108" i="1"/>
  <c r="N110" i="1" s="1"/>
  <c r="N112" i="1" s="1"/>
  <c r="N114" i="1" s="1"/>
  <c r="N116" i="1" s="1"/>
  <c r="N118" i="1" s="1"/>
  <c r="N96" i="1"/>
  <c r="N98" i="1" s="1"/>
  <c r="N100" i="1" s="1"/>
  <c r="N102" i="1" s="1"/>
  <c r="N104" i="1" s="1"/>
  <c r="N106" i="1" s="1"/>
  <c r="N84" i="1"/>
  <c r="N86" i="1" s="1"/>
  <c r="N88" i="1" s="1"/>
  <c r="N90" i="1" s="1"/>
  <c r="N92" i="1" s="1"/>
  <c r="N94" i="1" s="1"/>
  <c r="N72" i="1"/>
  <c r="N74" i="1" s="1"/>
  <c r="N76" i="1" s="1"/>
  <c r="N78" i="1" s="1"/>
  <c r="N80" i="1" s="1"/>
  <c r="N82" i="1" s="1"/>
  <c r="N55" i="1"/>
  <c r="N57" i="1" s="1"/>
  <c r="N59" i="1" s="1"/>
  <c r="N61" i="1" s="1"/>
  <c r="N63" i="1" s="1"/>
  <c r="N70" i="1" s="1"/>
  <c r="N43" i="1"/>
  <c r="N45" i="1" s="1"/>
  <c r="N47" i="1" s="1"/>
  <c r="N49" i="1" s="1"/>
  <c r="N51" i="1" s="1"/>
  <c r="N53" i="1" s="1"/>
  <c r="N31" i="1"/>
  <c r="N33" i="1" s="1"/>
  <c r="N35" i="1" s="1"/>
  <c r="N37" i="1" s="1"/>
  <c r="N39" i="1" s="1"/>
  <c r="N41" i="1" s="1"/>
  <c r="N19" i="1"/>
  <c r="N21" i="1" s="1"/>
  <c r="N23" i="1" s="1"/>
  <c r="N25" i="1" s="1"/>
  <c r="N27" i="1" s="1"/>
  <c r="N29" i="1" s="1"/>
  <c r="N6" i="1"/>
  <c r="N8" i="1" s="1"/>
  <c r="N10" i="1" s="1"/>
  <c r="N12" i="1" s="1"/>
  <c r="N14" i="1" s="1"/>
  <c r="N16" i="1" s="1"/>
  <c r="M5" i="1"/>
  <c r="L6" i="1" s="1"/>
  <c r="M6" i="1" s="1"/>
  <c r="L7" i="1" s="1"/>
  <c r="M7" i="1" s="1"/>
  <c r="L8" i="1" s="1"/>
  <c r="M8" i="1" s="1"/>
  <c r="L9" i="1" s="1"/>
  <c r="M9" i="1" s="1"/>
  <c r="L10" i="1" s="1"/>
  <c r="M10" i="1" s="1"/>
  <c r="L11" i="1" s="1"/>
  <c r="M11" i="1" s="1"/>
  <c r="L12" i="1" s="1"/>
  <c r="M12" i="1" s="1"/>
  <c r="L13" i="1" s="1"/>
  <c r="M13" i="1" s="1"/>
  <c r="L14" i="1" s="1"/>
  <c r="M14" i="1" s="1"/>
  <c r="L15" i="1" s="1"/>
  <c r="M15" i="1" s="1"/>
  <c r="L16" i="1" s="1"/>
  <c r="M16" i="1" s="1"/>
  <c r="L17" i="1" s="1"/>
  <c r="M17" i="1" s="1"/>
  <c r="L18" i="1" s="1"/>
  <c r="M18" i="1" s="1"/>
  <c r="L19" i="1" s="1"/>
  <c r="M19" i="1" s="1"/>
  <c r="L20" i="1" s="1"/>
  <c r="M20" i="1" s="1"/>
  <c r="L21" i="1" s="1"/>
  <c r="M21" i="1" s="1"/>
  <c r="L22" i="1" s="1"/>
  <c r="M22" i="1" s="1"/>
  <c r="L23" i="1" s="1"/>
  <c r="M23" i="1" s="1"/>
  <c r="L24" i="1" s="1"/>
  <c r="M24" i="1" s="1"/>
  <c r="L25" i="1" s="1"/>
  <c r="M25" i="1" s="1"/>
  <c r="L26" i="1" s="1"/>
  <c r="M26" i="1" s="1"/>
  <c r="L27" i="1" s="1"/>
  <c r="M27" i="1" s="1"/>
  <c r="L28" i="1" s="1"/>
  <c r="M28" i="1" s="1"/>
  <c r="L29" i="1" s="1"/>
  <c r="M29" i="1" s="1"/>
  <c r="L30" i="1" s="1"/>
  <c r="M30" i="1" s="1"/>
  <c r="L31" i="1" s="1"/>
  <c r="M31" i="1" s="1"/>
  <c r="L32" i="1" s="1"/>
  <c r="M32" i="1" s="1"/>
  <c r="L33" i="1" s="1"/>
  <c r="M33" i="1" s="1"/>
  <c r="L34" i="1" s="1"/>
  <c r="M34" i="1" s="1"/>
  <c r="L35" i="1" s="1"/>
  <c r="M35" i="1" s="1"/>
  <c r="L36" i="1" s="1"/>
  <c r="M36" i="1" s="1"/>
  <c r="L37" i="1" s="1"/>
  <c r="M37" i="1" s="1"/>
  <c r="L38" i="1" s="1"/>
  <c r="M38" i="1" s="1"/>
  <c r="L39" i="1" s="1"/>
  <c r="M39" i="1" s="1"/>
  <c r="L40" i="1" s="1"/>
  <c r="M40" i="1" s="1"/>
  <c r="L41" i="1" s="1"/>
  <c r="M41" i="1" s="1"/>
  <c r="L42" i="1" s="1"/>
  <c r="M42" i="1" s="1"/>
  <c r="L43" i="1" s="1"/>
  <c r="M43" i="1" s="1"/>
  <c r="L44" i="1" s="1"/>
  <c r="M44" i="1" s="1"/>
  <c r="L45" i="1" s="1"/>
  <c r="M45" i="1" s="1"/>
  <c r="L46" i="1" s="1"/>
  <c r="M46" i="1" s="1"/>
  <c r="L47" i="1" s="1"/>
  <c r="M47" i="1" s="1"/>
  <c r="L48" i="1" s="1"/>
  <c r="M48" i="1" s="1"/>
  <c r="L49" i="1" s="1"/>
  <c r="M49" i="1" s="1"/>
  <c r="L50" i="1" s="1"/>
  <c r="M50" i="1" s="1"/>
  <c r="L51" i="1" s="1"/>
  <c r="M51" i="1" s="1"/>
  <c r="L52" i="1" s="1"/>
  <c r="M52" i="1" s="1"/>
  <c r="L53" i="1" s="1"/>
  <c r="M53" i="1" s="1"/>
  <c r="L54" i="1" s="1"/>
  <c r="M54" i="1" s="1"/>
  <c r="L55" i="1" s="1"/>
  <c r="M55" i="1" s="1"/>
  <c r="L56" i="1" s="1"/>
  <c r="M56" i="1" s="1"/>
  <c r="L57" i="1" s="1"/>
  <c r="M57" i="1" s="1"/>
  <c r="L58" i="1" s="1"/>
  <c r="M58" i="1" s="1"/>
  <c r="L59" i="1" s="1"/>
  <c r="M59" i="1" s="1"/>
  <c r="L60" i="1" s="1"/>
  <c r="M60" i="1" s="1"/>
  <c r="L61" i="1" s="1"/>
  <c r="M61" i="1" s="1"/>
  <c r="L62" i="1" s="1"/>
  <c r="M62" i="1" s="1"/>
  <c r="L63" i="1" s="1"/>
  <c r="M63" i="1" s="1"/>
  <c r="L64" i="1" s="1"/>
  <c r="M64" i="1" s="1"/>
  <c r="L70" i="1" s="1"/>
  <c r="M70" i="1" s="1"/>
  <c r="L71" i="1" s="1"/>
  <c r="M71" i="1" s="1"/>
  <c r="L72" i="1" s="1"/>
  <c r="M72" i="1" s="1"/>
  <c r="L73" i="1" s="1"/>
  <c r="M73" i="1" s="1"/>
  <c r="L74" i="1" s="1"/>
  <c r="M74" i="1" s="1"/>
  <c r="L75" i="1" s="1"/>
  <c r="M75" i="1" s="1"/>
  <c r="L76" i="1" s="1"/>
  <c r="M76" i="1" s="1"/>
  <c r="L77" i="1" s="1"/>
  <c r="M77" i="1" s="1"/>
  <c r="L78" i="1" s="1"/>
  <c r="M78" i="1" s="1"/>
  <c r="L79" i="1" s="1"/>
  <c r="M79" i="1" s="1"/>
  <c r="L80" i="1" s="1"/>
  <c r="M80" i="1" s="1"/>
  <c r="L81" i="1" s="1"/>
  <c r="M81" i="1" s="1"/>
  <c r="L82" i="1" s="1"/>
  <c r="M82" i="1" s="1"/>
  <c r="L83" i="1" s="1"/>
  <c r="M83" i="1" s="1"/>
  <c r="L84" i="1" s="1"/>
  <c r="M84" i="1" s="1"/>
  <c r="L85" i="1" s="1"/>
  <c r="M85" i="1" s="1"/>
  <c r="L86" i="1" s="1"/>
  <c r="M86" i="1" s="1"/>
  <c r="L87" i="1" s="1"/>
  <c r="M87" i="1" s="1"/>
  <c r="L88" i="1" s="1"/>
  <c r="M88" i="1" s="1"/>
  <c r="L89" i="1" s="1"/>
  <c r="M89" i="1" s="1"/>
  <c r="L90" i="1" s="1"/>
  <c r="M90" i="1" s="1"/>
  <c r="L91" i="1" s="1"/>
  <c r="M91" i="1" s="1"/>
  <c r="L92" i="1" s="1"/>
  <c r="M92" i="1" s="1"/>
  <c r="L93" i="1" s="1"/>
  <c r="M93" i="1" s="1"/>
  <c r="L94" i="1" s="1"/>
  <c r="M94" i="1" s="1"/>
  <c r="L95" i="1" s="1"/>
  <c r="M95" i="1" s="1"/>
  <c r="L96" i="1" s="1"/>
  <c r="M96" i="1" s="1"/>
  <c r="L97" i="1" s="1"/>
  <c r="M97" i="1" s="1"/>
  <c r="L98" i="1" s="1"/>
  <c r="M98" i="1" s="1"/>
  <c r="L99" i="1" s="1"/>
  <c r="M99" i="1" s="1"/>
  <c r="L100" i="1" s="1"/>
  <c r="M100" i="1" s="1"/>
  <c r="L101" i="1" s="1"/>
  <c r="M101" i="1" s="1"/>
  <c r="L102" i="1" s="1"/>
  <c r="M102" i="1" s="1"/>
  <c r="L103" i="1" s="1"/>
  <c r="M103" i="1" s="1"/>
  <c r="L104" i="1" s="1"/>
  <c r="M104" i="1" s="1"/>
  <c r="L105" i="1" s="1"/>
  <c r="M105" i="1" s="1"/>
  <c r="L106" i="1" s="1"/>
  <c r="M106" i="1" s="1"/>
  <c r="L107" i="1" s="1"/>
  <c r="M107" i="1" s="1"/>
  <c r="L108" i="1" s="1"/>
  <c r="M108" i="1" s="1"/>
  <c r="L109" i="1" s="1"/>
  <c r="M109" i="1" s="1"/>
  <c r="L110" i="1" s="1"/>
  <c r="M110" i="1" s="1"/>
  <c r="L111" i="1" s="1"/>
  <c r="M111" i="1" s="1"/>
  <c r="L112" i="1" s="1"/>
  <c r="M112" i="1" s="1"/>
  <c r="L113" i="1" s="1"/>
  <c r="M113" i="1" s="1"/>
  <c r="L114" i="1" s="1"/>
  <c r="M114" i="1" s="1"/>
  <c r="L115" i="1" s="1"/>
  <c r="M115" i="1" s="1"/>
  <c r="L116" i="1" s="1"/>
  <c r="M116" i="1" s="1"/>
  <c r="L117" i="1" s="1"/>
  <c r="M117" i="1" s="1"/>
  <c r="L118" i="1" s="1"/>
  <c r="M118" i="1" s="1"/>
  <c r="L119" i="1" s="1"/>
  <c r="M119" i="1" s="1"/>
  <c r="L120" i="1" s="1"/>
  <c r="M120" i="1" s="1"/>
  <c r="L121" i="1" s="1"/>
  <c r="M121" i="1" s="1"/>
  <c r="L122" i="1" s="1"/>
  <c r="M122" i="1" s="1"/>
  <c r="L123" i="1" s="1"/>
  <c r="M123" i="1" s="1"/>
  <c r="L124" i="1" s="1"/>
  <c r="M124" i="1" s="1"/>
  <c r="L125" i="1" s="1"/>
  <c r="M125" i="1" s="1"/>
  <c r="L126" i="1" s="1"/>
  <c r="M126" i="1" s="1"/>
  <c r="L127" i="1" s="1"/>
  <c r="M127" i="1" s="1"/>
  <c r="L128" i="1" s="1"/>
  <c r="M128" i="1" s="1"/>
  <c r="L129" i="1" s="1"/>
  <c r="M129" i="1" s="1"/>
  <c r="L135" i="1" s="1"/>
  <c r="M135" i="1" s="1"/>
  <c r="L136" i="1" s="1"/>
  <c r="M136" i="1" s="1"/>
  <c r="L137" i="1" s="1"/>
  <c r="M137" i="1" s="1"/>
  <c r="L138" i="1" s="1"/>
  <c r="M138" i="1" s="1"/>
  <c r="L139" i="1" s="1"/>
  <c r="M139" i="1" s="1"/>
  <c r="L140" i="1" s="1"/>
  <c r="M140" i="1" s="1"/>
  <c r="M335" i="1" l="1"/>
  <c r="L336" i="1" s="1"/>
  <c r="L141" i="1"/>
  <c r="M336" i="1" l="1"/>
  <c r="L337" i="1" s="1"/>
  <c r="M141" i="1"/>
  <c r="L142" i="1" s="1"/>
  <c r="M337" i="1" l="1"/>
  <c r="L338" i="1" s="1"/>
  <c r="M142" i="1"/>
  <c r="L143" i="1" s="1"/>
  <c r="M143" i="1" s="1"/>
  <c r="L144" i="1" s="1"/>
  <c r="M144" i="1" s="1"/>
  <c r="L145" i="1" s="1"/>
  <c r="M145" i="1" s="1"/>
  <c r="M339" i="1" l="1"/>
  <c r="M338" i="1"/>
  <c r="L339" i="1" s="1"/>
  <c r="L146" i="1"/>
  <c r="M146" i="1" s="1"/>
  <c r="L147" i="1" l="1"/>
  <c r="M147" i="1" s="1"/>
  <c r="L148" i="1" l="1"/>
  <c r="M148" i="1" s="1"/>
  <c r="L149" i="1" l="1"/>
  <c r="M149" i="1" s="1"/>
  <c r="L150" i="1" l="1"/>
  <c r="M150" i="1" s="1"/>
  <c r="L151" i="1" l="1"/>
  <c r="M151" i="1" s="1"/>
  <c r="L152" i="1" l="1"/>
  <c r="M152" i="1" s="1"/>
  <c r="L153" i="1" l="1"/>
  <c r="M153" i="1" s="1"/>
  <c r="L154" i="1" l="1"/>
  <c r="M154" i="1" s="1"/>
  <c r="L155" i="1" l="1"/>
  <c r="M155" i="1" s="1"/>
  <c r="L156" i="1" l="1"/>
  <c r="M156" i="1" s="1"/>
  <c r="L157" i="1" l="1"/>
  <c r="M157" i="1" s="1"/>
  <c r="L158" i="1" l="1"/>
  <c r="M158" i="1" s="1"/>
  <c r="L159" i="1" l="1"/>
  <c r="M159" i="1" s="1"/>
  <c r="L160" i="1" l="1"/>
  <c r="M160" i="1" s="1"/>
  <c r="L161" i="1" l="1"/>
  <c r="M161" i="1" s="1"/>
  <c r="L162" i="1" l="1"/>
  <c r="M162" i="1" s="1"/>
  <c r="L163" i="1" l="1"/>
  <c r="M163" i="1" s="1"/>
  <c r="L164" i="1" l="1"/>
  <c r="M164" i="1" s="1"/>
  <c r="L165" i="1" l="1"/>
  <c r="M165" i="1" s="1"/>
  <c r="L166" i="1" l="1"/>
  <c r="M166" i="1" s="1"/>
  <c r="L167" i="1" l="1"/>
  <c r="M167" i="1" s="1"/>
  <c r="L168" i="1" l="1"/>
  <c r="M168" i="1" s="1"/>
  <c r="L169" i="1" l="1"/>
  <c r="M169" i="1" s="1"/>
  <c r="L170" i="1" l="1"/>
  <c r="M170" i="1" s="1"/>
  <c r="L171" i="1" l="1"/>
  <c r="M171" i="1" s="1"/>
  <c r="L172" i="1" s="1"/>
  <c r="M172" i="1" s="1"/>
  <c r="L173" i="1" l="1"/>
  <c r="M173" i="1" s="1"/>
  <c r="L174" i="1" l="1"/>
  <c r="M174" i="1" s="1"/>
  <c r="L175" i="1" l="1"/>
  <c r="M175" i="1" s="1"/>
  <c r="L176" i="1" l="1"/>
  <c r="M176" i="1" s="1"/>
  <c r="L177" i="1" l="1"/>
  <c r="M177" i="1" s="1"/>
  <c r="L178" i="1" l="1"/>
  <c r="M178" i="1" s="1"/>
  <c r="L179" i="1" l="1"/>
  <c r="M179" i="1" s="1"/>
  <c r="L180" i="1" l="1"/>
  <c r="M180" i="1" s="1"/>
  <c r="L181" i="1" l="1"/>
  <c r="M181" i="1" s="1"/>
  <c r="L182" i="1" l="1"/>
  <c r="M182" i="1" s="1"/>
  <c r="L183" i="1" l="1"/>
  <c r="M183" i="1" s="1"/>
  <c r="L184" i="1" l="1"/>
  <c r="M184" i="1" s="1"/>
  <c r="L185" i="1" l="1"/>
  <c r="M185" i="1" s="1"/>
  <c r="L186" i="1" l="1"/>
  <c r="M186" i="1" s="1"/>
  <c r="L187" i="1" l="1"/>
  <c r="M187" i="1" s="1"/>
  <c r="L188" i="1" s="1"/>
  <c r="M188" i="1" s="1"/>
  <c r="L189" i="1" s="1"/>
  <c r="M189" i="1" s="1"/>
  <c r="L190" i="1" s="1"/>
  <c r="M190" i="1" s="1"/>
  <c r="L191" i="1" s="1"/>
  <c r="M191" i="1" s="1"/>
  <c r="L192" i="1" s="1"/>
  <c r="M192" i="1" s="1"/>
  <c r="L193" i="1" s="1"/>
  <c r="M193" i="1" s="1"/>
  <c r="L194" i="1" s="1"/>
  <c r="M194" i="1" s="1"/>
  <c r="L201" i="1" l="1"/>
  <c r="M201" i="1" s="1"/>
  <c r="L202" i="1" s="1"/>
  <c r="M202" i="1" s="1"/>
  <c r="L203" i="1" s="1"/>
  <c r="M203" i="1" s="1"/>
  <c r="L204" i="1" s="1"/>
  <c r="M204" i="1" s="1"/>
  <c r="L205" i="1" l="1"/>
  <c r="M205" i="1" s="1"/>
  <c r="L206" i="1" l="1"/>
  <c r="M206" i="1" s="1"/>
  <c r="L207" i="1" l="1"/>
  <c r="M207" i="1" s="1"/>
  <c r="L208" i="1" l="1"/>
  <c r="M208" i="1" s="1"/>
  <c r="L209" i="1" l="1"/>
  <c r="M209" i="1" s="1"/>
  <c r="L210" i="1" l="1"/>
  <c r="M210" i="1" s="1"/>
  <c r="L211" i="1" l="1"/>
  <c r="M211" i="1" s="1"/>
  <c r="L212" i="1" l="1"/>
  <c r="M212" i="1" s="1"/>
  <c r="L213" i="1" l="1"/>
  <c r="M213" i="1" s="1"/>
  <c r="L214" i="1" l="1"/>
  <c r="M214" i="1" s="1"/>
  <c r="L215" i="1" l="1"/>
  <c r="M215" i="1" s="1"/>
  <c r="L216" i="1" l="1"/>
  <c r="M216" i="1" s="1"/>
  <c r="L217" i="1" l="1"/>
  <c r="M217" i="1" s="1"/>
  <c r="L218" i="1" l="1"/>
  <c r="M218" i="1" s="1"/>
  <c r="L219" i="1" l="1"/>
  <c r="M219" i="1" s="1"/>
  <c r="L220" i="1" l="1"/>
  <c r="M220" i="1" s="1"/>
  <c r="L221" i="1" l="1"/>
  <c r="M221" i="1" s="1"/>
  <c r="L222" i="1" l="1"/>
  <c r="M222" i="1" s="1"/>
  <c r="L223" i="1" l="1"/>
  <c r="M223" i="1" s="1"/>
  <c r="L224" i="1" l="1"/>
  <c r="M224" i="1" s="1"/>
  <c r="L225" i="1" l="1"/>
  <c r="M225" i="1" s="1"/>
  <c r="L226" i="1" l="1"/>
  <c r="M226" i="1" s="1"/>
  <c r="L227" i="1" l="1"/>
  <c r="M227" i="1" s="1"/>
  <c r="L228" i="1" l="1"/>
  <c r="M228" i="1" s="1"/>
  <c r="L229" i="1" l="1"/>
  <c r="M229" i="1" l="1"/>
  <c r="L230" i="1" s="1"/>
  <c r="M230" i="1" s="1"/>
  <c r="L231" i="1" s="1"/>
  <c r="M231" i="1" s="1"/>
  <c r="L232" i="1" s="1"/>
  <c r="M232" i="1" l="1"/>
  <c r="L233" i="1" s="1"/>
  <c r="M233" i="1" s="1"/>
  <c r="L234" i="1" s="1"/>
  <c r="M234" i="1" s="1"/>
  <c r="L235" i="1" s="1"/>
  <c r="M235" i="1" s="1"/>
  <c r="L236" i="1" l="1"/>
  <c r="M236" i="1" s="1"/>
  <c r="L237" i="1" l="1"/>
  <c r="M237" i="1" s="1"/>
  <c r="L238" i="1" l="1"/>
  <c r="M238" i="1" s="1"/>
  <c r="L239" i="1" l="1"/>
  <c r="M239" i="1" s="1"/>
  <c r="L240" i="1" l="1"/>
  <c r="M240" i="1" s="1"/>
  <c r="L241" i="1" l="1"/>
  <c r="M241" i="1" s="1"/>
  <c r="L242" i="1" l="1"/>
  <c r="M242" i="1" s="1"/>
  <c r="L243" i="1" l="1"/>
  <c r="M243" i="1" s="1"/>
  <c r="L244" i="1" l="1"/>
  <c r="M244" i="1" s="1"/>
  <c r="L245" i="1" l="1"/>
  <c r="M245" i="1" s="1"/>
  <c r="L246" i="1" l="1"/>
  <c r="M246" i="1" s="1"/>
  <c r="L247" i="1" l="1"/>
  <c r="M247" i="1" s="1"/>
  <c r="L248" i="1" l="1"/>
  <c r="M248" i="1" s="1"/>
  <c r="L249" i="1" l="1"/>
  <c r="M249" i="1" s="1"/>
  <c r="L250" i="1" l="1"/>
  <c r="M250" i="1" s="1"/>
  <c r="L251" i="1" l="1"/>
  <c r="M251" i="1" s="1"/>
  <c r="L252" i="1" l="1"/>
  <c r="M252" i="1" s="1"/>
  <c r="L253" i="1" l="1"/>
  <c r="M253" i="1" s="1"/>
  <c r="L254" i="1" l="1"/>
  <c r="M254" i="1" s="1"/>
  <c r="L255" i="1" l="1"/>
  <c r="M255" i="1" s="1"/>
  <c r="L256" i="1" l="1"/>
  <c r="M256" i="1" s="1"/>
  <c r="L257" i="1" l="1"/>
  <c r="M257" i="1" s="1"/>
  <c r="L258" i="1" l="1"/>
  <c r="M258" i="1" s="1"/>
  <c r="L259" i="1" l="1"/>
  <c r="M259" i="1" s="1"/>
  <c r="L260" i="1" l="1"/>
  <c r="M260" i="1" s="1"/>
  <c r="L267" i="1" l="1"/>
  <c r="M267" i="1" s="1"/>
  <c r="L268" i="1" s="1"/>
  <c r="M268" i="1" s="1"/>
  <c r="L269" i="1" s="1"/>
  <c r="M269" i="1" s="1"/>
  <c r="L270" i="1" s="1"/>
  <c r="M270" i="1" s="1"/>
  <c r="L271" i="1" s="1"/>
  <c r="M271" i="1" s="1"/>
  <c r="L272" i="1" s="1"/>
  <c r="M272" i="1" s="1"/>
  <c r="L273" i="1" s="1"/>
  <c r="M273" i="1" s="1"/>
  <c r="L274" i="1" s="1"/>
  <c r="M274" i="1" s="1"/>
  <c r="L275" i="1" s="1"/>
  <c r="M275" i="1" s="1"/>
  <c r="L276" i="1" s="1"/>
  <c r="M276" i="1" s="1"/>
  <c r="L277" i="1" s="1"/>
  <c r="M277" i="1" s="1"/>
  <c r="L278" i="1" s="1"/>
  <c r="M278" i="1" s="1"/>
  <c r="L279" i="1" s="1"/>
  <c r="M279" i="1" s="1"/>
  <c r="L280" i="1" s="1"/>
  <c r="M280" i="1" s="1"/>
  <c r="L281" i="1" s="1"/>
  <c r="M281" i="1" s="1"/>
  <c r="L282" i="1" s="1"/>
  <c r="M282" i="1" s="1"/>
  <c r="L283" i="1" s="1"/>
  <c r="M283" i="1" s="1"/>
  <c r="L284" i="1" s="1"/>
  <c r="M284" i="1" s="1"/>
  <c r="L285" i="1" s="1"/>
  <c r="M285" i="1" s="1"/>
  <c r="L286" i="1" s="1"/>
  <c r="M286" i="1" s="1"/>
  <c r="L287" i="1" s="1"/>
  <c r="M287" i="1" s="1"/>
  <c r="L288" i="1" s="1"/>
  <c r="M288" i="1" s="1"/>
  <c r="L289" i="1" s="1"/>
  <c r="M289" i="1" s="1"/>
  <c r="L290" i="1" s="1"/>
  <c r="M290" i="1" s="1"/>
  <c r="L291" i="1" s="1"/>
  <c r="M291" i="1" s="1"/>
  <c r="L292" i="1" s="1"/>
  <c r="M292" i="1" s="1"/>
  <c r="L293" i="1" s="1"/>
  <c r="M293" i="1" s="1"/>
  <c r="L294" i="1" s="1"/>
  <c r="M294" i="1" s="1"/>
  <c r="L295" i="1" s="1"/>
  <c r="M295" i="1" s="1"/>
  <c r="L296" i="1" s="1"/>
  <c r="M296" i="1" s="1"/>
  <c r="L297" i="1" s="1"/>
  <c r="M297" i="1" s="1"/>
  <c r="L298" i="1" s="1"/>
  <c r="M298" i="1" s="1"/>
  <c r="L299" i="1" s="1"/>
  <c r="M299" i="1" s="1"/>
  <c r="L300" i="1" s="1"/>
  <c r="M300" i="1" s="1"/>
  <c r="L301" i="1" s="1"/>
  <c r="M301" i="1" s="1"/>
  <c r="L302" i="1" s="1"/>
  <c r="M302" i="1" s="1"/>
  <c r="L303" i="1" s="1"/>
  <c r="M303" i="1" s="1"/>
  <c r="L304" i="1" s="1"/>
  <c r="M304" i="1" s="1"/>
  <c r="L305" i="1" s="1"/>
  <c r="M305" i="1" s="1"/>
  <c r="L306" i="1" s="1"/>
  <c r="M306" i="1" s="1"/>
  <c r="L307" i="1" s="1"/>
  <c r="M307" i="1" s="1"/>
  <c r="L308" i="1" s="1"/>
  <c r="M308" i="1" s="1"/>
  <c r="L309" i="1" s="1"/>
  <c r="M309" i="1" s="1"/>
  <c r="L310" i="1" s="1"/>
  <c r="M310" i="1" s="1"/>
  <c r="L311" i="1" s="1"/>
  <c r="M311" i="1" s="1"/>
  <c r="L312" i="1" s="1"/>
  <c r="M312" i="1" s="1"/>
  <c r="L313" i="1" s="1"/>
  <c r="M313" i="1" s="1"/>
  <c r="L314" i="1" s="1"/>
  <c r="M314" i="1" s="1"/>
  <c r="L315" i="1" s="1"/>
  <c r="M315" i="1" s="1"/>
  <c r="L316" i="1" s="1"/>
  <c r="M316" i="1" s="1"/>
  <c r="L317" i="1" s="1"/>
  <c r="M317" i="1" s="1"/>
  <c r="L318" i="1" s="1"/>
  <c r="M318" i="1" s="1"/>
  <c r="L319" i="1" s="1"/>
  <c r="M319" i="1" s="1"/>
  <c r="L320" i="1" s="1"/>
  <c r="M320" i="1" s="1"/>
  <c r="L321" i="1" s="1"/>
  <c r="M321" i="1" s="1"/>
  <c r="L322" i="1" s="1"/>
  <c r="M322" i="1" s="1"/>
  <c r="L323" i="1" s="1"/>
  <c r="M323" i="1" s="1"/>
  <c r="L324" i="1" s="1"/>
  <c r="M324" i="1" s="1"/>
  <c r="L325" i="1" s="1"/>
  <c r="M325" i="1" s="1"/>
  <c r="L326" i="1" s="1"/>
  <c r="M326" i="1" s="1"/>
</calcChain>
</file>

<file path=xl/sharedStrings.xml><?xml version="1.0" encoding="utf-8"?>
<sst xmlns="http://schemas.openxmlformats.org/spreadsheetml/2006/main" count="1860" uniqueCount="32">
  <si>
    <t>Customer Transaction History - Oscar Yip</t>
  </si>
  <si>
    <t>Report Date: 07/08/2026</t>
  </si>
  <si>
    <t>AT HOP Card Number: 7824670200061938578</t>
  </si>
  <si>
    <t>TransNo</t>
  </si>
  <si>
    <t>Mode</t>
  </si>
  <si>
    <t>Product</t>
  </si>
  <si>
    <t>ConcessionType</t>
  </si>
  <si>
    <t>TransactionDateTime</t>
  </si>
  <si>
    <t>TransactionType</t>
  </si>
  <si>
    <t>StationFrom</t>
  </si>
  <si>
    <t>StationTo</t>
  </si>
  <si>
    <t>TripFare</t>
  </si>
  <si>
    <t>TransferDiscount</t>
  </si>
  <si>
    <t>TransactionValue</t>
  </si>
  <si>
    <t>HOPBalanceBefore</t>
  </si>
  <si>
    <t>HOPBalanceAfter</t>
  </si>
  <si>
    <t>FareCapAmount</t>
  </si>
  <si>
    <t>FareCapLastDate</t>
  </si>
  <si>
    <t>Bus</t>
  </si>
  <si>
    <t>HOP Money</t>
  </si>
  <si>
    <t>Adult</t>
  </si>
  <si>
    <t>Tag-On</t>
  </si>
  <si>
    <t xml:space="preserve">Sandringham Shops    </t>
  </si>
  <si>
    <t xml:space="preserve">Unknown   </t>
  </si>
  <si>
    <t>Tag-Off</t>
  </si>
  <si>
    <t>Stop D Auckland Universities</t>
  </si>
  <si>
    <t xml:space="preserve">Stop C Grafton Bridge  </t>
  </si>
  <si>
    <t xml:space="preserve">Sandringham Shops  </t>
  </si>
  <si>
    <t>Unknown</t>
  </si>
  <si>
    <t xml:space="preserve">Stored Value Topup </t>
  </si>
  <si>
    <t xml:space="preserve">Tag-Off   </t>
  </si>
  <si>
    <t xml:space="preserve">Tag-On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</si>
</sst>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&quot;-$&quot;#,##0.00"/>
  </numFmts>
  <fonts count="2" x14ac:knownFonts="1">
    <font>
      <sz val="11"/>
      <color theme="1"/>
      <name val="Aptos Narrow"/>
      <family val="2"/>
      <charset val="1"/>
    </font>
    <font>
      <sz val="4.5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74987029633472702"/>
        <bgColor rgb="FFC0C0C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theme="1" tint="0.49989318521683401"/>
      </right>
      <top style="thin">
        <color rgb="FF808080"/>
      </top>
      <bottom/>
      <diagonal/>
    </border>
    <border>
      <left style="thin">
        <color theme="1" tint="0.49989318521683401"/>
      </left>
      <right style="thin">
        <color theme="1" tint="0.49989318521683401"/>
      </right>
      <top style="thin">
        <color rgb="FF808080"/>
      </top>
      <bottom/>
      <diagonal/>
    </border>
    <border>
      <left style="thin">
        <color theme="1" tint="0.49989318521683401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1" fillId="0" borderId="1" xfId="0" applyFont="1" applyBorder="1"/>
    <xf numFmtId="22" fontId="1" fillId="0" borderId="1" xfId="0" applyNumberFormat="1" applyFont="1" applyBorder="1"/>
    <xf numFmtId="164" fontId="1" fillId="0" borderId="1" xfId="0" applyNumberFormat="1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1" xfId="0" applyFont="1" applyBorder="1" applyAlignment="1">
      <alignment vertical="center"/>
    </xf>
    <xf numFmtId="2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290880</xdr:colOff>
      <xdr:row>0</xdr:row>
      <xdr:rowOff>20880</xdr:rowOff>
    </xdr:from>
    <xdr:to>
      <xdr:col>15</xdr:col>
      <xdr:colOff>905</xdr:colOff>
      <xdr:row>2</xdr:row>
      <xdr:rowOff>57600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931160" y="20880"/>
          <a:ext cx="737280" cy="208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3"/>
  <sheetViews>
    <sheetView tabSelected="1" topLeftCell="A310" zoomScale="171" zoomScaleNormal="171" workbookViewId="0">
      <selection activeCell="L344" sqref="L344"/>
    </sheetView>
  </sheetViews>
  <sheetFormatPr defaultColWidth="9.140625" defaultRowHeight="6.75" x14ac:dyDescent="0.15"/>
  <cols>
    <col min="1" max="1" width="4.28515625" style="1" customWidth="1"/>
    <col min="2" max="2" width="2.85546875" style="1" customWidth="1"/>
    <col min="3" max="3" width="5.7109375" style="1" customWidth="1"/>
    <col min="4" max="4" width="6.85546875" style="1" customWidth="1"/>
    <col min="5" max="5" width="8.140625" style="1" customWidth="1"/>
    <col min="6" max="6" width="7.85546875" style="1" customWidth="1"/>
    <col min="7" max="7" width="13.28515625" style="1" customWidth="1"/>
    <col min="8" max="8" width="12.28515625" style="1" customWidth="1"/>
    <col min="9" max="9" width="4.140625" style="1" customWidth="1"/>
    <col min="10" max="10" width="7.5703125" style="1" customWidth="1"/>
    <col min="11" max="11" width="7.28515625" style="1" customWidth="1"/>
    <col min="12" max="12" width="7.85546875" style="1" customWidth="1"/>
    <col min="13" max="13" width="7.28515625" style="1" customWidth="1"/>
    <col min="14" max="14" width="6.42578125" style="1" customWidth="1"/>
    <col min="15" max="15" width="7.140625" style="1" customWidth="1"/>
    <col min="16" max="16384" width="9.140625" style="1"/>
  </cols>
  <sheetData>
    <row r="1" spans="1:15" x14ac:dyDescent="0.15">
      <c r="A1" s="1" t="s">
        <v>0</v>
      </c>
    </row>
    <row r="2" spans="1:15" x14ac:dyDescent="0.15">
      <c r="A2" s="1" t="s">
        <v>1</v>
      </c>
    </row>
    <row r="3" spans="1:15" x14ac:dyDescent="0.15">
      <c r="A3" s="1" t="s">
        <v>2</v>
      </c>
    </row>
    <row r="4" spans="1:15" ht="7.5" customHeight="1" x14ac:dyDescent="0.15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8" t="s">
        <v>17</v>
      </c>
    </row>
    <row r="5" spans="1:15" ht="7.5" customHeight="1" x14ac:dyDescent="0.15">
      <c r="A5" s="3">
        <v>2385</v>
      </c>
      <c r="B5" s="3" t="s">
        <v>18</v>
      </c>
      <c r="C5" s="3" t="s">
        <v>19</v>
      </c>
      <c r="D5" s="3" t="s">
        <v>20</v>
      </c>
      <c r="E5" s="4">
        <v>46049.361111111102</v>
      </c>
      <c r="F5" s="3" t="s">
        <v>21</v>
      </c>
      <c r="G5" s="3" t="s">
        <v>22</v>
      </c>
      <c r="H5" s="3" t="s">
        <v>23</v>
      </c>
      <c r="I5" s="5">
        <v>0</v>
      </c>
      <c r="J5" s="5">
        <v>0</v>
      </c>
      <c r="K5" s="5">
        <v>-6.5</v>
      </c>
      <c r="L5" s="5">
        <v>30.42</v>
      </c>
      <c r="M5" s="5">
        <f t="shared" ref="M5:M36" si="0">L5+K5</f>
        <v>23.92</v>
      </c>
      <c r="N5" s="5"/>
      <c r="O5" s="4"/>
    </row>
    <row r="6" spans="1:15" ht="7.5" customHeight="1" x14ac:dyDescent="0.15">
      <c r="A6" s="3">
        <v>2386</v>
      </c>
      <c r="B6" s="3" t="s">
        <v>18</v>
      </c>
      <c r="C6" s="3" t="s">
        <v>19</v>
      </c>
      <c r="D6" s="3" t="s">
        <v>20</v>
      </c>
      <c r="E6" s="4">
        <v>46049.372916666704</v>
      </c>
      <c r="F6" s="3" t="s">
        <v>24</v>
      </c>
      <c r="G6" s="3" t="s">
        <v>22</v>
      </c>
      <c r="H6" s="3" t="s">
        <v>25</v>
      </c>
      <c r="I6" s="5">
        <v>4.9000000000000004</v>
      </c>
      <c r="J6" s="5">
        <v>0</v>
      </c>
      <c r="K6" s="5">
        <v>1.6</v>
      </c>
      <c r="L6" s="5">
        <f t="shared" ref="L6:L37" si="1">M5</f>
        <v>23.92</v>
      </c>
      <c r="M6" s="5">
        <f t="shared" si="0"/>
        <v>25.520000000000003</v>
      </c>
      <c r="N6" s="5">
        <f>50-4.9</f>
        <v>45.1</v>
      </c>
      <c r="O6" s="4">
        <v>46052</v>
      </c>
    </row>
    <row r="7" spans="1:15" ht="7.5" customHeight="1" x14ac:dyDescent="0.15">
      <c r="A7" s="3">
        <v>2387</v>
      </c>
      <c r="B7" s="3" t="s">
        <v>18</v>
      </c>
      <c r="C7" s="3" t="s">
        <v>19</v>
      </c>
      <c r="D7" s="3" t="s">
        <v>20</v>
      </c>
      <c r="E7" s="4">
        <v>46049.688888888901</v>
      </c>
      <c r="F7" s="3" t="s">
        <v>21</v>
      </c>
      <c r="G7" s="3" t="s">
        <v>26</v>
      </c>
      <c r="H7" s="3" t="s">
        <v>23</v>
      </c>
      <c r="I7" s="5">
        <v>0</v>
      </c>
      <c r="J7" s="5">
        <v>0</v>
      </c>
      <c r="K7" s="5">
        <v>-6.5</v>
      </c>
      <c r="L7" s="5">
        <f t="shared" si="1"/>
        <v>25.520000000000003</v>
      </c>
      <c r="M7" s="5">
        <f t="shared" si="0"/>
        <v>19.020000000000003</v>
      </c>
      <c r="N7" s="3"/>
      <c r="O7" s="3"/>
    </row>
    <row r="8" spans="1:15" ht="7.5" customHeight="1" x14ac:dyDescent="0.15">
      <c r="A8" s="3">
        <v>2388</v>
      </c>
      <c r="B8" s="3" t="s">
        <v>18</v>
      </c>
      <c r="C8" s="3" t="s">
        <v>19</v>
      </c>
      <c r="D8" s="3" t="s">
        <v>20</v>
      </c>
      <c r="E8" s="4">
        <v>46049.706250000003</v>
      </c>
      <c r="F8" s="3" t="s">
        <v>24</v>
      </c>
      <c r="G8" s="3" t="s">
        <v>26</v>
      </c>
      <c r="H8" s="3" t="s">
        <v>27</v>
      </c>
      <c r="I8" s="5">
        <v>4.9000000000000004</v>
      </c>
      <c r="J8" s="5">
        <v>0</v>
      </c>
      <c r="K8" s="5">
        <v>1.6</v>
      </c>
      <c r="L8" s="5">
        <f t="shared" si="1"/>
        <v>19.020000000000003</v>
      </c>
      <c r="M8" s="5">
        <f t="shared" si="0"/>
        <v>20.620000000000005</v>
      </c>
      <c r="N8" s="5">
        <f>N6-I8</f>
        <v>40.200000000000003</v>
      </c>
      <c r="O8" s="4">
        <v>46052</v>
      </c>
    </row>
    <row r="9" spans="1:15" ht="7.5" customHeight="1" x14ac:dyDescent="0.15">
      <c r="A9" s="3">
        <v>2389</v>
      </c>
      <c r="B9" s="3" t="s">
        <v>18</v>
      </c>
      <c r="C9" s="3" t="s">
        <v>19</v>
      </c>
      <c r="D9" s="3" t="s">
        <v>20</v>
      </c>
      <c r="E9" s="4">
        <v>46050.361111111102</v>
      </c>
      <c r="F9" s="3" t="s">
        <v>21</v>
      </c>
      <c r="G9" s="3" t="s">
        <v>22</v>
      </c>
      <c r="H9" s="3" t="s">
        <v>23</v>
      </c>
      <c r="I9" s="5">
        <v>0</v>
      </c>
      <c r="J9" s="5">
        <v>0</v>
      </c>
      <c r="K9" s="5">
        <v>-6.5</v>
      </c>
      <c r="L9" s="5">
        <f t="shared" si="1"/>
        <v>20.620000000000005</v>
      </c>
      <c r="M9" s="5">
        <f t="shared" si="0"/>
        <v>14.120000000000005</v>
      </c>
      <c r="N9" s="5"/>
      <c r="O9" s="4"/>
    </row>
    <row r="10" spans="1:15" ht="7.5" customHeight="1" x14ac:dyDescent="0.15">
      <c r="A10" s="3">
        <v>2390</v>
      </c>
      <c r="B10" s="3" t="s">
        <v>18</v>
      </c>
      <c r="C10" s="3" t="s">
        <v>19</v>
      </c>
      <c r="D10" s="3" t="s">
        <v>20</v>
      </c>
      <c r="E10" s="4">
        <v>46050.372916666704</v>
      </c>
      <c r="F10" s="3" t="s">
        <v>24</v>
      </c>
      <c r="G10" s="3" t="s">
        <v>22</v>
      </c>
      <c r="H10" s="3" t="s">
        <v>25</v>
      </c>
      <c r="I10" s="5">
        <v>4.9000000000000004</v>
      </c>
      <c r="J10" s="5">
        <v>0</v>
      </c>
      <c r="K10" s="5">
        <v>1.6</v>
      </c>
      <c r="L10" s="5">
        <f t="shared" si="1"/>
        <v>14.120000000000005</v>
      </c>
      <c r="M10" s="5">
        <f t="shared" si="0"/>
        <v>15.720000000000004</v>
      </c>
      <c r="N10" s="5">
        <f>N8-I10</f>
        <v>35.300000000000004</v>
      </c>
      <c r="O10" s="4">
        <v>46052</v>
      </c>
    </row>
    <row r="11" spans="1:15" ht="7.5" customHeight="1" x14ac:dyDescent="0.15">
      <c r="A11" s="3">
        <v>2391</v>
      </c>
      <c r="B11" s="3" t="s">
        <v>18</v>
      </c>
      <c r="C11" s="3" t="s">
        <v>19</v>
      </c>
      <c r="D11" s="3" t="s">
        <v>20</v>
      </c>
      <c r="E11" s="4">
        <v>46050.688888888901</v>
      </c>
      <c r="F11" s="3" t="s">
        <v>21</v>
      </c>
      <c r="G11" s="3" t="s">
        <v>26</v>
      </c>
      <c r="H11" s="3" t="s">
        <v>23</v>
      </c>
      <c r="I11" s="5">
        <v>0</v>
      </c>
      <c r="J11" s="5">
        <v>0</v>
      </c>
      <c r="K11" s="5">
        <v>-6.5</v>
      </c>
      <c r="L11" s="5">
        <f t="shared" si="1"/>
        <v>15.720000000000004</v>
      </c>
      <c r="M11" s="5">
        <f t="shared" si="0"/>
        <v>9.2200000000000042</v>
      </c>
      <c r="N11" s="5"/>
      <c r="O11" s="4"/>
    </row>
    <row r="12" spans="1:15" ht="7.5" customHeight="1" x14ac:dyDescent="0.15">
      <c r="A12" s="3">
        <v>2392</v>
      </c>
      <c r="B12" s="3" t="s">
        <v>18</v>
      </c>
      <c r="C12" s="3" t="s">
        <v>19</v>
      </c>
      <c r="D12" s="3" t="s">
        <v>20</v>
      </c>
      <c r="E12" s="4">
        <v>46050.706250000003</v>
      </c>
      <c r="F12" s="3" t="s">
        <v>24</v>
      </c>
      <c r="G12" s="3" t="s">
        <v>26</v>
      </c>
      <c r="H12" s="3" t="s">
        <v>27</v>
      </c>
      <c r="I12" s="5">
        <v>4.9000000000000004</v>
      </c>
      <c r="J12" s="5">
        <v>0</v>
      </c>
      <c r="K12" s="5">
        <v>1.6</v>
      </c>
      <c r="L12" s="5">
        <f t="shared" si="1"/>
        <v>9.2200000000000042</v>
      </c>
      <c r="M12" s="5">
        <f t="shared" si="0"/>
        <v>10.820000000000004</v>
      </c>
      <c r="N12" s="5">
        <f>N10-I12</f>
        <v>30.400000000000006</v>
      </c>
      <c r="O12" s="4">
        <v>46052</v>
      </c>
    </row>
    <row r="13" spans="1:15" ht="7.5" customHeight="1" x14ac:dyDescent="0.15">
      <c r="A13" s="3">
        <v>2393</v>
      </c>
      <c r="B13" s="3" t="s">
        <v>18</v>
      </c>
      <c r="C13" s="3" t="s">
        <v>19</v>
      </c>
      <c r="D13" s="3" t="s">
        <v>20</v>
      </c>
      <c r="E13" s="4">
        <v>46051.363888888904</v>
      </c>
      <c r="F13" s="3" t="s">
        <v>21</v>
      </c>
      <c r="G13" s="3" t="s">
        <v>22</v>
      </c>
      <c r="H13" s="3" t="s">
        <v>23</v>
      </c>
      <c r="I13" s="5">
        <v>0</v>
      </c>
      <c r="J13" s="5">
        <v>0</v>
      </c>
      <c r="K13" s="5">
        <v>-6.5</v>
      </c>
      <c r="L13" s="5">
        <f t="shared" si="1"/>
        <v>10.820000000000004</v>
      </c>
      <c r="M13" s="5">
        <f t="shared" si="0"/>
        <v>4.3200000000000038</v>
      </c>
      <c r="N13" s="5"/>
      <c r="O13" s="4"/>
    </row>
    <row r="14" spans="1:15" ht="7.5" customHeight="1" x14ac:dyDescent="0.15">
      <c r="A14" s="3">
        <v>2394</v>
      </c>
      <c r="B14" s="3" t="s">
        <v>18</v>
      </c>
      <c r="C14" s="3" t="s">
        <v>19</v>
      </c>
      <c r="D14" s="3" t="s">
        <v>20</v>
      </c>
      <c r="E14" s="4">
        <v>46051.367361111101</v>
      </c>
      <c r="F14" s="3" t="s">
        <v>24</v>
      </c>
      <c r="G14" s="3" t="s">
        <v>22</v>
      </c>
      <c r="H14" s="3" t="s">
        <v>25</v>
      </c>
      <c r="I14" s="5">
        <v>4.9000000000000004</v>
      </c>
      <c r="J14" s="5">
        <v>0</v>
      </c>
      <c r="K14" s="5">
        <v>1.6</v>
      </c>
      <c r="L14" s="5">
        <f t="shared" si="1"/>
        <v>4.3200000000000038</v>
      </c>
      <c r="M14" s="5">
        <f t="shared" si="0"/>
        <v>5.9200000000000035</v>
      </c>
      <c r="N14" s="5">
        <f>N12-I14</f>
        <v>25.500000000000007</v>
      </c>
      <c r="O14" s="4">
        <v>46052</v>
      </c>
    </row>
    <row r="15" spans="1:15" ht="7.5" customHeight="1" x14ac:dyDescent="0.15">
      <c r="A15" s="3">
        <v>2395</v>
      </c>
      <c r="B15" s="3" t="s">
        <v>18</v>
      </c>
      <c r="C15" s="3" t="s">
        <v>19</v>
      </c>
      <c r="D15" s="3" t="s">
        <v>20</v>
      </c>
      <c r="E15" s="4">
        <v>46051.690972222197</v>
      </c>
      <c r="F15" s="3" t="s">
        <v>21</v>
      </c>
      <c r="G15" s="3" t="s">
        <v>26</v>
      </c>
      <c r="H15" s="3" t="s">
        <v>23</v>
      </c>
      <c r="I15" s="5">
        <v>0</v>
      </c>
      <c r="J15" s="5">
        <v>0</v>
      </c>
      <c r="K15" s="5">
        <v>-6.5</v>
      </c>
      <c r="L15" s="5">
        <f t="shared" si="1"/>
        <v>5.9200000000000035</v>
      </c>
      <c r="M15" s="5">
        <f t="shared" si="0"/>
        <v>-0.57999999999999652</v>
      </c>
      <c r="N15" s="5"/>
      <c r="O15" s="4"/>
    </row>
    <row r="16" spans="1:15" ht="7.5" customHeight="1" x14ac:dyDescent="0.15">
      <c r="A16" s="3">
        <v>2396</v>
      </c>
      <c r="B16" s="3" t="s">
        <v>18</v>
      </c>
      <c r="C16" s="3" t="s">
        <v>19</v>
      </c>
      <c r="D16" s="3" t="s">
        <v>20</v>
      </c>
      <c r="E16" s="4">
        <v>46051.701388888898</v>
      </c>
      <c r="F16" s="3" t="s">
        <v>24</v>
      </c>
      <c r="G16" s="3" t="s">
        <v>26</v>
      </c>
      <c r="H16" s="3" t="s">
        <v>27</v>
      </c>
      <c r="I16" s="5">
        <v>4.9000000000000004</v>
      </c>
      <c r="J16" s="5">
        <v>0</v>
      </c>
      <c r="K16" s="5">
        <v>1.6</v>
      </c>
      <c r="L16" s="5">
        <f t="shared" si="1"/>
        <v>-0.57999999999999652</v>
      </c>
      <c r="M16" s="5">
        <f t="shared" si="0"/>
        <v>1.0200000000000036</v>
      </c>
      <c r="N16" s="5">
        <f>N14-I16</f>
        <v>20.600000000000009</v>
      </c>
      <c r="O16" s="4">
        <v>46052</v>
      </c>
    </row>
    <row r="17" spans="1:15" ht="7.5" customHeight="1" x14ac:dyDescent="0.15">
      <c r="A17" s="3">
        <v>2397</v>
      </c>
      <c r="B17" s="3" t="s">
        <v>18</v>
      </c>
      <c r="C17" s="3" t="s">
        <v>19</v>
      </c>
      <c r="D17" s="3" t="s">
        <v>20</v>
      </c>
      <c r="E17" s="4">
        <v>46056.358333333301</v>
      </c>
      <c r="F17" s="3" t="s">
        <v>21</v>
      </c>
      <c r="G17" s="3" t="s">
        <v>22</v>
      </c>
      <c r="H17" s="3" t="s">
        <v>23</v>
      </c>
      <c r="I17" s="5">
        <v>0</v>
      </c>
      <c r="J17" s="5">
        <v>0</v>
      </c>
      <c r="K17" s="5">
        <v>-6.5</v>
      </c>
      <c r="L17" s="5">
        <f t="shared" si="1"/>
        <v>1.0200000000000036</v>
      </c>
      <c r="M17" s="5">
        <f t="shared" si="0"/>
        <v>-5.4799999999999969</v>
      </c>
      <c r="N17" s="5"/>
      <c r="O17" s="4"/>
    </row>
    <row r="18" spans="1:15" ht="7.5" customHeight="1" x14ac:dyDescent="0.15">
      <c r="A18" s="3">
        <v>2398</v>
      </c>
      <c r="B18" s="3" t="s">
        <v>18</v>
      </c>
      <c r="C18" s="3" t="s">
        <v>28</v>
      </c>
      <c r="D18" s="3" t="s">
        <v>28</v>
      </c>
      <c r="E18" s="4">
        <v>46056.358344907399</v>
      </c>
      <c r="F18" s="3" t="s">
        <v>29</v>
      </c>
      <c r="G18" s="3" t="s">
        <v>22</v>
      </c>
      <c r="H18" s="3" t="s">
        <v>23</v>
      </c>
      <c r="I18" s="5">
        <v>0</v>
      </c>
      <c r="J18" s="5">
        <v>0</v>
      </c>
      <c r="K18" s="5">
        <v>500</v>
      </c>
      <c r="L18" s="5">
        <f t="shared" si="1"/>
        <v>-5.4799999999999969</v>
      </c>
      <c r="M18" s="5">
        <f t="shared" si="0"/>
        <v>494.52</v>
      </c>
      <c r="N18" s="3"/>
      <c r="O18" s="3"/>
    </row>
    <row r="19" spans="1:15" ht="7.5" customHeight="1" x14ac:dyDescent="0.15">
      <c r="A19" s="3">
        <v>2399</v>
      </c>
      <c r="B19" s="3" t="s">
        <v>18</v>
      </c>
      <c r="C19" s="3" t="s">
        <v>19</v>
      </c>
      <c r="D19" s="3" t="s">
        <v>20</v>
      </c>
      <c r="E19" s="4">
        <v>46056.368055555598</v>
      </c>
      <c r="F19" s="3" t="s">
        <v>24</v>
      </c>
      <c r="G19" s="3" t="s">
        <v>22</v>
      </c>
      <c r="H19" s="3" t="s">
        <v>25</v>
      </c>
      <c r="I19" s="5">
        <v>4.9000000000000004</v>
      </c>
      <c r="J19" s="5">
        <v>0</v>
      </c>
      <c r="K19" s="5">
        <v>1.6</v>
      </c>
      <c r="L19" s="5">
        <f t="shared" si="1"/>
        <v>494.52</v>
      </c>
      <c r="M19" s="5">
        <f t="shared" si="0"/>
        <v>496.12</v>
      </c>
      <c r="N19" s="5">
        <f>50-4.9</f>
        <v>45.1</v>
      </c>
      <c r="O19" s="4">
        <v>46059</v>
      </c>
    </row>
    <row r="20" spans="1:15" ht="7.5" customHeight="1" x14ac:dyDescent="0.15">
      <c r="A20" s="3">
        <v>2400</v>
      </c>
      <c r="B20" s="3" t="s">
        <v>18</v>
      </c>
      <c r="C20" s="3" t="s">
        <v>19</v>
      </c>
      <c r="D20" s="3" t="s">
        <v>20</v>
      </c>
      <c r="E20" s="4">
        <v>46056.695138888899</v>
      </c>
      <c r="F20" s="3" t="s">
        <v>21</v>
      </c>
      <c r="G20" s="3" t="s">
        <v>26</v>
      </c>
      <c r="H20" s="3" t="s">
        <v>23</v>
      </c>
      <c r="I20" s="5">
        <v>0</v>
      </c>
      <c r="J20" s="5">
        <v>0</v>
      </c>
      <c r="K20" s="5">
        <v>-6.5</v>
      </c>
      <c r="L20" s="5">
        <f t="shared" si="1"/>
        <v>496.12</v>
      </c>
      <c r="M20" s="5">
        <f t="shared" si="0"/>
        <v>489.62</v>
      </c>
      <c r="N20" s="3"/>
      <c r="O20" s="3"/>
    </row>
    <row r="21" spans="1:15" ht="7.5" customHeight="1" x14ac:dyDescent="0.15">
      <c r="A21" s="3">
        <v>2401</v>
      </c>
      <c r="B21" s="3" t="s">
        <v>18</v>
      </c>
      <c r="C21" s="3" t="s">
        <v>19</v>
      </c>
      <c r="D21" s="3" t="s">
        <v>20</v>
      </c>
      <c r="E21" s="4">
        <v>46056.6965277778</v>
      </c>
      <c r="F21" s="3" t="s">
        <v>24</v>
      </c>
      <c r="G21" s="3" t="s">
        <v>26</v>
      </c>
      <c r="H21" s="3" t="s">
        <v>27</v>
      </c>
      <c r="I21" s="5">
        <v>4.9000000000000004</v>
      </c>
      <c r="J21" s="5">
        <v>0</v>
      </c>
      <c r="K21" s="5">
        <v>1.6</v>
      </c>
      <c r="L21" s="5">
        <f t="shared" si="1"/>
        <v>489.62</v>
      </c>
      <c r="M21" s="5">
        <f t="shared" si="0"/>
        <v>491.22</v>
      </c>
      <c r="N21" s="5">
        <f>N19-I21</f>
        <v>40.200000000000003</v>
      </c>
      <c r="O21" s="4">
        <v>46059</v>
      </c>
    </row>
    <row r="22" spans="1:15" ht="7.5" customHeight="1" x14ac:dyDescent="0.15">
      <c r="A22" s="3">
        <v>2402</v>
      </c>
      <c r="B22" s="3" t="s">
        <v>18</v>
      </c>
      <c r="C22" s="3" t="s">
        <v>19</v>
      </c>
      <c r="D22" s="3" t="s">
        <v>20</v>
      </c>
      <c r="E22" s="4">
        <v>46057.363194444399</v>
      </c>
      <c r="F22" s="3" t="s">
        <v>21</v>
      </c>
      <c r="G22" s="3" t="s">
        <v>22</v>
      </c>
      <c r="H22" s="3" t="s">
        <v>23</v>
      </c>
      <c r="I22" s="5">
        <v>0</v>
      </c>
      <c r="J22" s="5">
        <v>0</v>
      </c>
      <c r="K22" s="5">
        <v>-6.5</v>
      </c>
      <c r="L22" s="5">
        <f t="shared" si="1"/>
        <v>491.22</v>
      </c>
      <c r="M22" s="5">
        <f t="shared" si="0"/>
        <v>484.72</v>
      </c>
      <c r="N22" s="5"/>
      <c r="O22" s="3"/>
    </row>
    <row r="23" spans="1:15" ht="7.5" customHeight="1" x14ac:dyDescent="0.15">
      <c r="A23" s="3">
        <v>2403</v>
      </c>
      <c r="B23" s="3" t="s">
        <v>18</v>
      </c>
      <c r="C23" s="3" t="s">
        <v>19</v>
      </c>
      <c r="D23" s="3" t="s">
        <v>20</v>
      </c>
      <c r="E23" s="4">
        <v>46057.367361111101</v>
      </c>
      <c r="F23" s="3" t="s">
        <v>24</v>
      </c>
      <c r="G23" s="3" t="s">
        <v>22</v>
      </c>
      <c r="H23" s="3" t="s">
        <v>25</v>
      </c>
      <c r="I23" s="5">
        <v>4.9000000000000004</v>
      </c>
      <c r="J23" s="5">
        <v>0</v>
      </c>
      <c r="K23" s="5">
        <v>1.6</v>
      </c>
      <c r="L23" s="5">
        <f t="shared" si="1"/>
        <v>484.72</v>
      </c>
      <c r="M23" s="5">
        <f t="shared" si="0"/>
        <v>486.32000000000005</v>
      </c>
      <c r="N23" s="5">
        <f>N21-I23</f>
        <v>35.300000000000004</v>
      </c>
      <c r="O23" s="4">
        <v>46059</v>
      </c>
    </row>
    <row r="24" spans="1:15" ht="7.5" customHeight="1" x14ac:dyDescent="0.15">
      <c r="A24" s="3">
        <v>2404</v>
      </c>
      <c r="B24" s="3" t="s">
        <v>18</v>
      </c>
      <c r="C24" s="3" t="s">
        <v>19</v>
      </c>
      <c r="D24" s="3" t="s">
        <v>20</v>
      </c>
      <c r="E24" s="4">
        <v>46057.688194444498</v>
      </c>
      <c r="F24" s="3" t="s">
        <v>21</v>
      </c>
      <c r="G24" s="3" t="s">
        <v>26</v>
      </c>
      <c r="H24" s="3" t="s">
        <v>23</v>
      </c>
      <c r="I24" s="5">
        <v>0</v>
      </c>
      <c r="J24" s="5">
        <v>0</v>
      </c>
      <c r="K24" s="5">
        <v>-6.5</v>
      </c>
      <c r="L24" s="5">
        <f t="shared" si="1"/>
        <v>486.32000000000005</v>
      </c>
      <c r="M24" s="5">
        <f t="shared" si="0"/>
        <v>479.82000000000005</v>
      </c>
      <c r="N24" s="5"/>
      <c r="O24" s="3"/>
    </row>
    <row r="25" spans="1:15" ht="7.5" customHeight="1" x14ac:dyDescent="0.15">
      <c r="A25" s="3">
        <v>2405</v>
      </c>
      <c r="B25" s="3" t="s">
        <v>18</v>
      </c>
      <c r="C25" s="3" t="s">
        <v>19</v>
      </c>
      <c r="D25" s="3" t="s">
        <v>20</v>
      </c>
      <c r="E25" s="4">
        <v>46057.706944444399</v>
      </c>
      <c r="F25" s="3" t="s">
        <v>24</v>
      </c>
      <c r="G25" s="3" t="s">
        <v>26</v>
      </c>
      <c r="H25" s="3" t="s">
        <v>27</v>
      </c>
      <c r="I25" s="5">
        <v>4.9000000000000004</v>
      </c>
      <c r="J25" s="5">
        <v>0</v>
      </c>
      <c r="K25" s="5">
        <v>1.6</v>
      </c>
      <c r="L25" s="5">
        <f t="shared" si="1"/>
        <v>479.82000000000005</v>
      </c>
      <c r="M25" s="5">
        <f t="shared" si="0"/>
        <v>481.42000000000007</v>
      </c>
      <c r="N25" s="5">
        <f>N23-I25</f>
        <v>30.400000000000006</v>
      </c>
      <c r="O25" s="4">
        <v>46059</v>
      </c>
    </row>
    <row r="26" spans="1:15" ht="7.5" customHeight="1" x14ac:dyDescent="0.15">
      <c r="A26" s="3">
        <v>2406</v>
      </c>
      <c r="B26" s="3" t="s">
        <v>18</v>
      </c>
      <c r="C26" s="3" t="s">
        <v>19</v>
      </c>
      <c r="D26" s="3" t="s">
        <v>20</v>
      </c>
      <c r="E26" s="4">
        <v>46058.359027777798</v>
      </c>
      <c r="F26" s="3" t="s">
        <v>21</v>
      </c>
      <c r="G26" s="3" t="s">
        <v>22</v>
      </c>
      <c r="H26" s="3" t="s">
        <v>23</v>
      </c>
      <c r="I26" s="5">
        <v>0</v>
      </c>
      <c r="J26" s="5">
        <v>0</v>
      </c>
      <c r="K26" s="5">
        <v>-6.5</v>
      </c>
      <c r="L26" s="5">
        <f t="shared" si="1"/>
        <v>481.42000000000007</v>
      </c>
      <c r="M26" s="5">
        <f t="shared" si="0"/>
        <v>474.92000000000007</v>
      </c>
      <c r="N26" s="5"/>
      <c r="O26" s="3"/>
    </row>
    <row r="27" spans="1:15" ht="7.5" customHeight="1" x14ac:dyDescent="0.15">
      <c r="A27" s="3">
        <v>2407</v>
      </c>
      <c r="B27" s="3" t="s">
        <v>18</v>
      </c>
      <c r="C27" s="3" t="s">
        <v>19</v>
      </c>
      <c r="D27" s="3" t="s">
        <v>20</v>
      </c>
      <c r="E27" s="4">
        <v>46058.371527777803</v>
      </c>
      <c r="F27" s="3" t="s">
        <v>24</v>
      </c>
      <c r="G27" s="3" t="s">
        <v>22</v>
      </c>
      <c r="H27" s="3" t="s">
        <v>25</v>
      </c>
      <c r="I27" s="5">
        <v>4.9000000000000004</v>
      </c>
      <c r="J27" s="5">
        <v>0</v>
      </c>
      <c r="K27" s="5">
        <v>1.6</v>
      </c>
      <c r="L27" s="5">
        <f t="shared" si="1"/>
        <v>474.92000000000007</v>
      </c>
      <c r="M27" s="5">
        <f t="shared" si="0"/>
        <v>476.5200000000001</v>
      </c>
      <c r="N27" s="5">
        <f>N25-I27</f>
        <v>25.500000000000007</v>
      </c>
      <c r="O27" s="4">
        <v>46059</v>
      </c>
    </row>
    <row r="28" spans="1:15" ht="7.5" customHeight="1" x14ac:dyDescent="0.15">
      <c r="A28" s="3">
        <v>2408</v>
      </c>
      <c r="B28" s="3" t="s">
        <v>18</v>
      </c>
      <c r="C28" s="3" t="s">
        <v>19</v>
      </c>
      <c r="D28" s="3" t="s">
        <v>20</v>
      </c>
      <c r="E28" s="4">
        <v>46058.695833333302</v>
      </c>
      <c r="F28" s="3" t="s">
        <v>21</v>
      </c>
      <c r="G28" s="3" t="s">
        <v>26</v>
      </c>
      <c r="H28" s="3" t="s">
        <v>23</v>
      </c>
      <c r="I28" s="5">
        <v>0</v>
      </c>
      <c r="J28" s="5">
        <v>0</v>
      </c>
      <c r="K28" s="5">
        <v>-6.5</v>
      </c>
      <c r="L28" s="5">
        <f t="shared" si="1"/>
        <v>476.5200000000001</v>
      </c>
      <c r="M28" s="5">
        <f t="shared" si="0"/>
        <v>470.0200000000001</v>
      </c>
      <c r="N28" s="5"/>
      <c r="O28" s="3"/>
    </row>
    <row r="29" spans="1:15" ht="7.5" customHeight="1" x14ac:dyDescent="0.15">
      <c r="A29" s="3">
        <v>2409</v>
      </c>
      <c r="B29" s="3" t="s">
        <v>18</v>
      </c>
      <c r="C29" s="3" t="s">
        <v>19</v>
      </c>
      <c r="D29" s="3" t="s">
        <v>20</v>
      </c>
      <c r="E29" s="4">
        <v>46058.7</v>
      </c>
      <c r="F29" s="3" t="s">
        <v>24</v>
      </c>
      <c r="G29" s="3" t="s">
        <v>26</v>
      </c>
      <c r="H29" s="3" t="s">
        <v>27</v>
      </c>
      <c r="I29" s="5">
        <v>4.9000000000000004</v>
      </c>
      <c r="J29" s="5">
        <v>0</v>
      </c>
      <c r="K29" s="5">
        <v>1.6</v>
      </c>
      <c r="L29" s="5">
        <f t="shared" si="1"/>
        <v>470.0200000000001</v>
      </c>
      <c r="M29" s="5">
        <f t="shared" si="0"/>
        <v>471.62000000000012</v>
      </c>
      <c r="N29" s="5">
        <f>N27-I29</f>
        <v>20.600000000000009</v>
      </c>
      <c r="O29" s="4">
        <v>46059</v>
      </c>
    </row>
    <row r="30" spans="1:15" ht="7.5" customHeight="1" x14ac:dyDescent="0.15">
      <c r="A30" s="3">
        <v>2410</v>
      </c>
      <c r="B30" s="3" t="s">
        <v>18</v>
      </c>
      <c r="C30" s="3" t="s">
        <v>19</v>
      </c>
      <c r="D30" s="3" t="s">
        <v>20</v>
      </c>
      <c r="E30" s="4">
        <v>46063.359027777798</v>
      </c>
      <c r="F30" s="3" t="s">
        <v>21</v>
      </c>
      <c r="G30" s="3" t="s">
        <v>22</v>
      </c>
      <c r="H30" s="3" t="s">
        <v>23</v>
      </c>
      <c r="I30" s="5">
        <v>0</v>
      </c>
      <c r="J30" s="5">
        <v>0</v>
      </c>
      <c r="K30" s="5">
        <v>-6.5</v>
      </c>
      <c r="L30" s="5">
        <f t="shared" si="1"/>
        <v>471.62000000000012</v>
      </c>
      <c r="M30" s="5">
        <f t="shared" si="0"/>
        <v>465.12000000000012</v>
      </c>
      <c r="N30" s="3"/>
      <c r="O30" s="3"/>
    </row>
    <row r="31" spans="1:15" ht="7.5" customHeight="1" x14ac:dyDescent="0.15">
      <c r="A31" s="3">
        <v>2411</v>
      </c>
      <c r="B31" s="3" t="s">
        <v>18</v>
      </c>
      <c r="C31" s="3" t="s">
        <v>19</v>
      </c>
      <c r="D31" s="3" t="s">
        <v>20</v>
      </c>
      <c r="E31" s="4">
        <v>46063.368750000001</v>
      </c>
      <c r="F31" s="3" t="s">
        <v>24</v>
      </c>
      <c r="G31" s="3" t="s">
        <v>22</v>
      </c>
      <c r="H31" s="3" t="s">
        <v>25</v>
      </c>
      <c r="I31" s="5">
        <v>4.9000000000000004</v>
      </c>
      <c r="J31" s="5">
        <v>0</v>
      </c>
      <c r="K31" s="5">
        <v>1.6</v>
      </c>
      <c r="L31" s="5">
        <f t="shared" si="1"/>
        <v>465.12000000000012</v>
      </c>
      <c r="M31" s="5">
        <f t="shared" si="0"/>
        <v>466.72000000000014</v>
      </c>
      <c r="N31" s="5">
        <f>50-4.9</f>
        <v>45.1</v>
      </c>
      <c r="O31" s="4">
        <v>46066</v>
      </c>
    </row>
    <row r="32" spans="1:15" ht="7.5" customHeight="1" x14ac:dyDescent="0.15">
      <c r="A32" s="3">
        <v>2412</v>
      </c>
      <c r="B32" s="3" t="s">
        <v>18</v>
      </c>
      <c r="C32" s="3" t="s">
        <v>19</v>
      </c>
      <c r="D32" s="3" t="s">
        <v>20</v>
      </c>
      <c r="E32" s="4">
        <v>46063.694444444503</v>
      </c>
      <c r="F32" s="3" t="s">
        <v>21</v>
      </c>
      <c r="G32" s="3" t="s">
        <v>26</v>
      </c>
      <c r="H32" s="3" t="s">
        <v>23</v>
      </c>
      <c r="I32" s="5">
        <v>0</v>
      </c>
      <c r="J32" s="5">
        <v>0</v>
      </c>
      <c r="K32" s="5">
        <v>-6.5</v>
      </c>
      <c r="L32" s="5">
        <f t="shared" si="1"/>
        <v>466.72000000000014</v>
      </c>
      <c r="M32" s="5">
        <f t="shared" si="0"/>
        <v>460.22000000000014</v>
      </c>
      <c r="N32" s="3"/>
      <c r="O32" s="3"/>
    </row>
    <row r="33" spans="1:15" ht="7.5" customHeight="1" x14ac:dyDescent="0.15">
      <c r="A33" s="3">
        <v>2413</v>
      </c>
      <c r="B33" s="3" t="s">
        <v>18</v>
      </c>
      <c r="C33" s="3" t="s">
        <v>19</v>
      </c>
      <c r="D33" s="3" t="s">
        <v>20</v>
      </c>
      <c r="E33" s="4">
        <v>46063.702083333301</v>
      </c>
      <c r="F33" s="3" t="s">
        <v>24</v>
      </c>
      <c r="G33" s="3" t="s">
        <v>26</v>
      </c>
      <c r="H33" s="3" t="s">
        <v>27</v>
      </c>
      <c r="I33" s="5">
        <v>4.9000000000000004</v>
      </c>
      <c r="J33" s="5">
        <v>0</v>
      </c>
      <c r="K33" s="5">
        <v>1.6</v>
      </c>
      <c r="L33" s="5">
        <f t="shared" si="1"/>
        <v>460.22000000000014</v>
      </c>
      <c r="M33" s="5">
        <f t="shared" si="0"/>
        <v>461.82000000000016</v>
      </c>
      <c r="N33" s="5">
        <f>N31-I33</f>
        <v>40.200000000000003</v>
      </c>
      <c r="O33" s="4">
        <v>46066</v>
      </c>
    </row>
    <row r="34" spans="1:15" ht="7.5" customHeight="1" x14ac:dyDescent="0.15">
      <c r="A34" s="3">
        <v>2414</v>
      </c>
      <c r="B34" s="3" t="s">
        <v>18</v>
      </c>
      <c r="C34" s="3" t="s">
        <v>19</v>
      </c>
      <c r="D34" s="3" t="s">
        <v>20</v>
      </c>
      <c r="E34" s="4">
        <v>46064.358333333301</v>
      </c>
      <c r="F34" s="3" t="s">
        <v>21</v>
      </c>
      <c r="G34" s="3" t="s">
        <v>22</v>
      </c>
      <c r="H34" s="3" t="s">
        <v>23</v>
      </c>
      <c r="I34" s="5">
        <v>0</v>
      </c>
      <c r="J34" s="5">
        <v>0</v>
      </c>
      <c r="K34" s="5">
        <v>-6.5</v>
      </c>
      <c r="L34" s="5">
        <f t="shared" si="1"/>
        <v>461.82000000000016</v>
      </c>
      <c r="M34" s="5">
        <f t="shared" si="0"/>
        <v>455.32000000000016</v>
      </c>
      <c r="N34" s="5"/>
      <c r="O34" s="3"/>
    </row>
    <row r="35" spans="1:15" ht="7.5" customHeight="1" x14ac:dyDescent="0.15">
      <c r="A35" s="3">
        <v>2415</v>
      </c>
      <c r="B35" s="3" t="s">
        <v>18</v>
      </c>
      <c r="C35" s="3" t="s">
        <v>19</v>
      </c>
      <c r="D35" s="3" t="s">
        <v>20</v>
      </c>
      <c r="E35" s="4">
        <v>46064.368750000001</v>
      </c>
      <c r="F35" s="3" t="s">
        <v>24</v>
      </c>
      <c r="G35" s="3" t="s">
        <v>22</v>
      </c>
      <c r="H35" s="3" t="s">
        <v>25</v>
      </c>
      <c r="I35" s="5">
        <v>4.9000000000000004</v>
      </c>
      <c r="J35" s="5">
        <v>0</v>
      </c>
      <c r="K35" s="5">
        <v>1.6</v>
      </c>
      <c r="L35" s="5">
        <f t="shared" si="1"/>
        <v>455.32000000000016</v>
      </c>
      <c r="M35" s="5">
        <f t="shared" si="0"/>
        <v>456.92000000000019</v>
      </c>
      <c r="N35" s="5">
        <f>N33-I35</f>
        <v>35.300000000000004</v>
      </c>
      <c r="O35" s="4">
        <v>46066</v>
      </c>
    </row>
    <row r="36" spans="1:15" ht="7.5" customHeight="1" x14ac:dyDescent="0.15">
      <c r="A36" s="3">
        <v>2416</v>
      </c>
      <c r="B36" s="3" t="s">
        <v>18</v>
      </c>
      <c r="C36" s="3" t="s">
        <v>19</v>
      </c>
      <c r="D36" s="3" t="s">
        <v>20</v>
      </c>
      <c r="E36" s="4">
        <v>46064.692361111098</v>
      </c>
      <c r="F36" s="3" t="s">
        <v>21</v>
      </c>
      <c r="G36" s="3" t="s">
        <v>26</v>
      </c>
      <c r="H36" s="3" t="s">
        <v>23</v>
      </c>
      <c r="I36" s="5">
        <v>0</v>
      </c>
      <c r="J36" s="5">
        <v>0</v>
      </c>
      <c r="K36" s="5">
        <v>-6.5</v>
      </c>
      <c r="L36" s="5">
        <f t="shared" si="1"/>
        <v>456.92000000000019</v>
      </c>
      <c r="M36" s="5">
        <f t="shared" si="0"/>
        <v>450.42000000000019</v>
      </c>
      <c r="N36" s="5"/>
      <c r="O36" s="3"/>
    </row>
    <row r="37" spans="1:15" ht="7.5" customHeight="1" x14ac:dyDescent="0.15">
      <c r="A37" s="3">
        <v>2417</v>
      </c>
      <c r="B37" s="3" t="s">
        <v>18</v>
      </c>
      <c r="C37" s="3" t="s">
        <v>19</v>
      </c>
      <c r="D37" s="3" t="s">
        <v>20</v>
      </c>
      <c r="E37" s="4">
        <v>46064.702777777798</v>
      </c>
      <c r="F37" s="3" t="s">
        <v>24</v>
      </c>
      <c r="G37" s="3" t="s">
        <v>26</v>
      </c>
      <c r="H37" s="3" t="s">
        <v>27</v>
      </c>
      <c r="I37" s="5">
        <v>4.9000000000000004</v>
      </c>
      <c r="J37" s="5">
        <v>0</v>
      </c>
      <c r="K37" s="5">
        <v>1.6</v>
      </c>
      <c r="L37" s="5">
        <f t="shared" si="1"/>
        <v>450.42000000000019</v>
      </c>
      <c r="M37" s="5">
        <f t="shared" ref="M37:M64" si="2">L37+K37</f>
        <v>452.02000000000021</v>
      </c>
      <c r="N37" s="5">
        <f>N35-I37</f>
        <v>30.400000000000006</v>
      </c>
      <c r="O37" s="4">
        <v>46066</v>
      </c>
    </row>
    <row r="38" spans="1:15" ht="7.5" customHeight="1" x14ac:dyDescent="0.15">
      <c r="A38" s="3">
        <v>2418</v>
      </c>
      <c r="B38" s="3" t="s">
        <v>18</v>
      </c>
      <c r="C38" s="3" t="s">
        <v>19</v>
      </c>
      <c r="D38" s="3" t="s">
        <v>20</v>
      </c>
      <c r="E38" s="4">
        <v>46065.358333333301</v>
      </c>
      <c r="F38" s="3" t="s">
        <v>21</v>
      </c>
      <c r="G38" s="3" t="s">
        <v>22</v>
      </c>
      <c r="H38" s="3" t="s">
        <v>23</v>
      </c>
      <c r="I38" s="5">
        <v>0</v>
      </c>
      <c r="J38" s="5">
        <v>0</v>
      </c>
      <c r="K38" s="5">
        <v>-6.5</v>
      </c>
      <c r="L38" s="5">
        <f t="shared" ref="L38:L64" si="3">M37</f>
        <v>452.02000000000021</v>
      </c>
      <c r="M38" s="5">
        <f t="shared" si="2"/>
        <v>445.52000000000021</v>
      </c>
      <c r="N38" s="5"/>
      <c r="O38" s="3"/>
    </row>
    <row r="39" spans="1:15" ht="7.5" customHeight="1" x14ac:dyDescent="0.15">
      <c r="A39" s="3">
        <v>2419</v>
      </c>
      <c r="B39" s="3" t="s">
        <v>18</v>
      </c>
      <c r="C39" s="3" t="s">
        <v>19</v>
      </c>
      <c r="D39" s="3" t="s">
        <v>20</v>
      </c>
      <c r="E39" s="4">
        <v>46065.367361111101</v>
      </c>
      <c r="F39" s="3" t="s">
        <v>24</v>
      </c>
      <c r="G39" s="3" t="s">
        <v>22</v>
      </c>
      <c r="H39" s="3" t="s">
        <v>25</v>
      </c>
      <c r="I39" s="5">
        <v>4.9000000000000004</v>
      </c>
      <c r="J39" s="5">
        <v>0</v>
      </c>
      <c r="K39" s="5">
        <v>1.6</v>
      </c>
      <c r="L39" s="5">
        <f t="shared" si="3"/>
        <v>445.52000000000021</v>
      </c>
      <c r="M39" s="5">
        <f t="shared" si="2"/>
        <v>447.12000000000023</v>
      </c>
      <c r="N39" s="5">
        <f>N37-I39</f>
        <v>25.500000000000007</v>
      </c>
      <c r="O39" s="4">
        <v>46066</v>
      </c>
    </row>
    <row r="40" spans="1:15" ht="7.5" customHeight="1" x14ac:dyDescent="0.15">
      <c r="A40" s="3">
        <v>2420</v>
      </c>
      <c r="B40" s="3" t="s">
        <v>18</v>
      </c>
      <c r="C40" s="3" t="s">
        <v>19</v>
      </c>
      <c r="D40" s="3" t="s">
        <v>20</v>
      </c>
      <c r="E40" s="4">
        <v>46065.688888888901</v>
      </c>
      <c r="F40" s="3" t="s">
        <v>21</v>
      </c>
      <c r="G40" s="3" t="s">
        <v>26</v>
      </c>
      <c r="H40" s="3" t="s">
        <v>23</v>
      </c>
      <c r="I40" s="5">
        <v>0</v>
      </c>
      <c r="J40" s="5">
        <v>0</v>
      </c>
      <c r="K40" s="5">
        <v>-6.5</v>
      </c>
      <c r="L40" s="5">
        <f t="shared" si="3"/>
        <v>447.12000000000023</v>
      </c>
      <c r="M40" s="5">
        <f t="shared" si="2"/>
        <v>440.62000000000023</v>
      </c>
      <c r="N40" s="5"/>
      <c r="O40" s="3"/>
    </row>
    <row r="41" spans="1:15" ht="7.5" customHeight="1" x14ac:dyDescent="0.15">
      <c r="A41" s="3">
        <v>2421</v>
      </c>
      <c r="B41" s="3" t="s">
        <v>18</v>
      </c>
      <c r="C41" s="3" t="s">
        <v>19</v>
      </c>
      <c r="D41" s="3" t="s">
        <v>20</v>
      </c>
      <c r="E41" s="4">
        <v>46065.697916666701</v>
      </c>
      <c r="F41" s="3" t="s">
        <v>24</v>
      </c>
      <c r="G41" s="3" t="s">
        <v>26</v>
      </c>
      <c r="H41" s="3" t="s">
        <v>27</v>
      </c>
      <c r="I41" s="5">
        <v>4.9000000000000004</v>
      </c>
      <c r="J41" s="5">
        <v>0</v>
      </c>
      <c r="K41" s="5">
        <v>1.6</v>
      </c>
      <c r="L41" s="5">
        <f t="shared" si="3"/>
        <v>440.62000000000023</v>
      </c>
      <c r="M41" s="5">
        <f t="shared" si="2"/>
        <v>442.22000000000025</v>
      </c>
      <c r="N41" s="5">
        <f>N39-I41</f>
        <v>20.600000000000009</v>
      </c>
      <c r="O41" s="4">
        <v>46066</v>
      </c>
    </row>
    <row r="42" spans="1:15" ht="7.5" customHeight="1" x14ac:dyDescent="0.15">
      <c r="A42" s="3">
        <v>2422</v>
      </c>
      <c r="B42" s="3" t="s">
        <v>18</v>
      </c>
      <c r="C42" s="3" t="s">
        <v>19</v>
      </c>
      <c r="D42" s="3" t="s">
        <v>20</v>
      </c>
      <c r="E42" s="4">
        <v>46070.359722222202</v>
      </c>
      <c r="F42" s="3" t="s">
        <v>21</v>
      </c>
      <c r="G42" s="3" t="s">
        <v>22</v>
      </c>
      <c r="H42" s="3" t="s">
        <v>23</v>
      </c>
      <c r="I42" s="5">
        <v>0</v>
      </c>
      <c r="J42" s="5">
        <v>0</v>
      </c>
      <c r="K42" s="5">
        <v>-6.5</v>
      </c>
      <c r="L42" s="5">
        <f t="shared" si="3"/>
        <v>442.22000000000025</v>
      </c>
      <c r="M42" s="5">
        <f t="shared" si="2"/>
        <v>435.72000000000025</v>
      </c>
      <c r="N42" s="3"/>
      <c r="O42" s="3"/>
    </row>
    <row r="43" spans="1:15" ht="7.5" customHeight="1" x14ac:dyDescent="0.15">
      <c r="A43" s="3">
        <v>2423</v>
      </c>
      <c r="B43" s="3" t="s">
        <v>18</v>
      </c>
      <c r="C43" s="3" t="s">
        <v>19</v>
      </c>
      <c r="D43" s="3" t="s">
        <v>20</v>
      </c>
      <c r="E43" s="4">
        <v>46070.372916666704</v>
      </c>
      <c r="F43" s="3" t="s">
        <v>24</v>
      </c>
      <c r="G43" s="3" t="s">
        <v>22</v>
      </c>
      <c r="H43" s="3" t="s">
        <v>25</v>
      </c>
      <c r="I43" s="5">
        <v>4.9000000000000004</v>
      </c>
      <c r="J43" s="5">
        <v>0</v>
      </c>
      <c r="K43" s="5">
        <v>1.6</v>
      </c>
      <c r="L43" s="5">
        <f t="shared" si="3"/>
        <v>435.72000000000025</v>
      </c>
      <c r="M43" s="5">
        <f t="shared" si="2"/>
        <v>437.32000000000028</v>
      </c>
      <c r="N43" s="5">
        <f>50-4.9</f>
        <v>45.1</v>
      </c>
      <c r="O43" s="4">
        <v>46073</v>
      </c>
    </row>
    <row r="44" spans="1:15" ht="7.5" customHeight="1" x14ac:dyDescent="0.15">
      <c r="A44" s="3">
        <v>2424</v>
      </c>
      <c r="B44" s="3" t="s">
        <v>18</v>
      </c>
      <c r="C44" s="3" t="s">
        <v>19</v>
      </c>
      <c r="D44" s="3" t="s">
        <v>20</v>
      </c>
      <c r="E44" s="4">
        <v>46070.690972222197</v>
      </c>
      <c r="F44" s="3" t="s">
        <v>21</v>
      </c>
      <c r="G44" s="3" t="s">
        <v>26</v>
      </c>
      <c r="H44" s="3" t="s">
        <v>23</v>
      </c>
      <c r="I44" s="5">
        <v>0</v>
      </c>
      <c r="J44" s="5">
        <v>0</v>
      </c>
      <c r="K44" s="5">
        <v>-6.5</v>
      </c>
      <c r="L44" s="5">
        <f t="shared" si="3"/>
        <v>437.32000000000028</v>
      </c>
      <c r="M44" s="5">
        <f t="shared" si="2"/>
        <v>430.82000000000028</v>
      </c>
      <c r="N44" s="3"/>
      <c r="O44" s="3"/>
    </row>
    <row r="45" spans="1:15" ht="7.5" customHeight="1" x14ac:dyDescent="0.15">
      <c r="A45" s="3">
        <v>2425</v>
      </c>
      <c r="B45" s="3" t="s">
        <v>18</v>
      </c>
      <c r="C45" s="3" t="s">
        <v>19</v>
      </c>
      <c r="D45" s="3" t="s">
        <v>20</v>
      </c>
      <c r="E45" s="4">
        <v>46070.697222222203</v>
      </c>
      <c r="F45" s="3" t="s">
        <v>24</v>
      </c>
      <c r="G45" s="3" t="s">
        <v>26</v>
      </c>
      <c r="H45" s="3" t="s">
        <v>27</v>
      </c>
      <c r="I45" s="5">
        <v>4.9000000000000004</v>
      </c>
      <c r="J45" s="5">
        <v>0</v>
      </c>
      <c r="K45" s="5">
        <v>1.6</v>
      </c>
      <c r="L45" s="5">
        <f t="shared" si="3"/>
        <v>430.82000000000028</v>
      </c>
      <c r="M45" s="5">
        <f t="shared" si="2"/>
        <v>432.4200000000003</v>
      </c>
      <c r="N45" s="5">
        <f>N43-I45</f>
        <v>40.200000000000003</v>
      </c>
      <c r="O45" s="4">
        <v>46073</v>
      </c>
    </row>
    <row r="46" spans="1:15" ht="7.5" customHeight="1" x14ac:dyDescent="0.15">
      <c r="A46" s="3">
        <v>2426</v>
      </c>
      <c r="B46" s="3" t="s">
        <v>18</v>
      </c>
      <c r="C46" s="3" t="s">
        <v>19</v>
      </c>
      <c r="D46" s="3" t="s">
        <v>20</v>
      </c>
      <c r="E46" s="4">
        <v>46071.365277777797</v>
      </c>
      <c r="F46" s="3" t="s">
        <v>21</v>
      </c>
      <c r="G46" s="3" t="s">
        <v>22</v>
      </c>
      <c r="H46" s="3" t="s">
        <v>23</v>
      </c>
      <c r="I46" s="5">
        <v>0</v>
      </c>
      <c r="J46" s="5">
        <v>0</v>
      </c>
      <c r="K46" s="5">
        <v>-6.5</v>
      </c>
      <c r="L46" s="5">
        <f t="shared" si="3"/>
        <v>432.4200000000003</v>
      </c>
      <c r="M46" s="5">
        <f t="shared" si="2"/>
        <v>425.9200000000003</v>
      </c>
      <c r="N46" s="5"/>
      <c r="O46" s="3"/>
    </row>
    <row r="47" spans="1:15" ht="7.5" customHeight="1" x14ac:dyDescent="0.15">
      <c r="A47" s="3">
        <v>2427</v>
      </c>
      <c r="B47" s="3" t="s">
        <v>18</v>
      </c>
      <c r="C47" s="3" t="s">
        <v>19</v>
      </c>
      <c r="D47" s="3" t="s">
        <v>20</v>
      </c>
      <c r="E47" s="4">
        <v>46071.370833333298</v>
      </c>
      <c r="F47" s="3" t="s">
        <v>24</v>
      </c>
      <c r="G47" s="3" t="s">
        <v>22</v>
      </c>
      <c r="H47" s="3" t="s">
        <v>25</v>
      </c>
      <c r="I47" s="5">
        <v>4.9000000000000004</v>
      </c>
      <c r="J47" s="5">
        <v>0</v>
      </c>
      <c r="K47" s="5">
        <v>1.6</v>
      </c>
      <c r="L47" s="5">
        <f t="shared" si="3"/>
        <v>425.9200000000003</v>
      </c>
      <c r="M47" s="5">
        <f t="shared" si="2"/>
        <v>427.52000000000032</v>
      </c>
      <c r="N47" s="5">
        <f>N45-I47</f>
        <v>35.300000000000004</v>
      </c>
      <c r="O47" s="4">
        <v>46073</v>
      </c>
    </row>
    <row r="48" spans="1:15" ht="7.5" customHeight="1" x14ac:dyDescent="0.15">
      <c r="A48" s="3">
        <v>2428</v>
      </c>
      <c r="B48" s="3" t="s">
        <v>18</v>
      </c>
      <c r="C48" s="3" t="s">
        <v>19</v>
      </c>
      <c r="D48" s="3" t="s">
        <v>20</v>
      </c>
      <c r="E48" s="4">
        <v>46071.695833333302</v>
      </c>
      <c r="F48" s="3" t="s">
        <v>21</v>
      </c>
      <c r="G48" s="3" t="s">
        <v>26</v>
      </c>
      <c r="H48" s="3" t="s">
        <v>23</v>
      </c>
      <c r="I48" s="5">
        <v>0</v>
      </c>
      <c r="J48" s="5">
        <v>0</v>
      </c>
      <c r="K48" s="5">
        <v>-6.5</v>
      </c>
      <c r="L48" s="5">
        <f t="shared" si="3"/>
        <v>427.52000000000032</v>
      </c>
      <c r="M48" s="5">
        <f t="shared" si="2"/>
        <v>421.02000000000032</v>
      </c>
      <c r="N48" s="5"/>
      <c r="O48" s="3"/>
    </row>
    <row r="49" spans="1:15" ht="7.5" customHeight="1" x14ac:dyDescent="0.15">
      <c r="A49" s="3">
        <v>2429</v>
      </c>
      <c r="B49" s="3" t="s">
        <v>18</v>
      </c>
      <c r="C49" s="3" t="s">
        <v>19</v>
      </c>
      <c r="D49" s="3" t="s">
        <v>20</v>
      </c>
      <c r="E49" s="4">
        <v>46071.701388888898</v>
      </c>
      <c r="F49" s="3" t="s">
        <v>24</v>
      </c>
      <c r="G49" s="3" t="s">
        <v>26</v>
      </c>
      <c r="H49" s="3" t="s">
        <v>27</v>
      </c>
      <c r="I49" s="5">
        <v>4.9000000000000004</v>
      </c>
      <c r="J49" s="5">
        <v>0</v>
      </c>
      <c r="K49" s="5">
        <v>1.6</v>
      </c>
      <c r="L49" s="5">
        <f t="shared" si="3"/>
        <v>421.02000000000032</v>
      </c>
      <c r="M49" s="5">
        <f t="shared" si="2"/>
        <v>422.62000000000035</v>
      </c>
      <c r="N49" s="5">
        <f>N47-I49</f>
        <v>30.400000000000006</v>
      </c>
      <c r="O49" s="4">
        <v>46073</v>
      </c>
    </row>
    <row r="50" spans="1:15" ht="7.5" customHeight="1" x14ac:dyDescent="0.15">
      <c r="A50" s="3">
        <v>2430</v>
      </c>
      <c r="B50" s="3" t="s">
        <v>18</v>
      </c>
      <c r="C50" s="3" t="s">
        <v>19</v>
      </c>
      <c r="D50" s="3" t="s">
        <v>20</v>
      </c>
      <c r="E50" s="4">
        <v>46072.3659722222</v>
      </c>
      <c r="F50" s="3" t="s">
        <v>21</v>
      </c>
      <c r="G50" s="3" t="s">
        <v>22</v>
      </c>
      <c r="H50" s="3" t="s">
        <v>23</v>
      </c>
      <c r="I50" s="5">
        <v>0</v>
      </c>
      <c r="J50" s="5">
        <v>0</v>
      </c>
      <c r="K50" s="5">
        <v>-6.5</v>
      </c>
      <c r="L50" s="5">
        <f t="shared" si="3"/>
        <v>422.62000000000035</v>
      </c>
      <c r="M50" s="5">
        <f t="shared" si="2"/>
        <v>416.12000000000035</v>
      </c>
      <c r="N50" s="5"/>
      <c r="O50" s="3"/>
    </row>
    <row r="51" spans="1:15" ht="7.5" customHeight="1" x14ac:dyDescent="0.15">
      <c r="A51" s="3">
        <v>2431</v>
      </c>
      <c r="B51" s="3" t="s">
        <v>18</v>
      </c>
      <c r="C51" s="3" t="s">
        <v>19</v>
      </c>
      <c r="D51" s="3" t="s">
        <v>20</v>
      </c>
      <c r="E51" s="4">
        <v>46072.370833333298</v>
      </c>
      <c r="F51" s="3" t="s">
        <v>24</v>
      </c>
      <c r="G51" s="3" t="s">
        <v>22</v>
      </c>
      <c r="H51" s="3" t="s">
        <v>25</v>
      </c>
      <c r="I51" s="5">
        <v>4.9000000000000004</v>
      </c>
      <c r="J51" s="5">
        <v>0</v>
      </c>
      <c r="K51" s="5">
        <v>1.6</v>
      </c>
      <c r="L51" s="5">
        <f t="shared" si="3"/>
        <v>416.12000000000035</v>
      </c>
      <c r="M51" s="5">
        <f t="shared" si="2"/>
        <v>417.72000000000037</v>
      </c>
      <c r="N51" s="5">
        <f>N49-I51</f>
        <v>25.500000000000007</v>
      </c>
      <c r="O51" s="4">
        <v>46073</v>
      </c>
    </row>
    <row r="52" spans="1:15" ht="7.5" customHeight="1" x14ac:dyDescent="0.15">
      <c r="A52" s="3">
        <v>2432</v>
      </c>
      <c r="B52" s="3" t="s">
        <v>18</v>
      </c>
      <c r="C52" s="3" t="s">
        <v>19</v>
      </c>
      <c r="D52" s="3" t="s">
        <v>20</v>
      </c>
      <c r="E52" s="4">
        <v>46072.689583333296</v>
      </c>
      <c r="F52" s="3" t="s">
        <v>21</v>
      </c>
      <c r="G52" s="3" t="s">
        <v>26</v>
      </c>
      <c r="H52" s="3" t="s">
        <v>23</v>
      </c>
      <c r="I52" s="5">
        <v>0</v>
      </c>
      <c r="J52" s="5">
        <v>0</v>
      </c>
      <c r="K52" s="5">
        <v>-6.5</v>
      </c>
      <c r="L52" s="5">
        <f t="shared" si="3"/>
        <v>417.72000000000037</v>
      </c>
      <c r="M52" s="5">
        <f t="shared" si="2"/>
        <v>411.22000000000037</v>
      </c>
      <c r="N52" s="5"/>
      <c r="O52" s="3"/>
    </row>
    <row r="53" spans="1:15" ht="7.5" customHeight="1" x14ac:dyDescent="0.15">
      <c r="A53" s="3">
        <v>2433</v>
      </c>
      <c r="B53" s="3" t="s">
        <v>18</v>
      </c>
      <c r="C53" s="3" t="s">
        <v>19</v>
      </c>
      <c r="D53" s="3" t="s">
        <v>20</v>
      </c>
      <c r="E53" s="4">
        <v>46072.702777777798</v>
      </c>
      <c r="F53" s="3" t="s">
        <v>24</v>
      </c>
      <c r="G53" s="3" t="s">
        <v>26</v>
      </c>
      <c r="H53" s="3" t="s">
        <v>27</v>
      </c>
      <c r="I53" s="5">
        <v>4.9000000000000004</v>
      </c>
      <c r="J53" s="5">
        <v>0</v>
      </c>
      <c r="K53" s="5">
        <v>1.6</v>
      </c>
      <c r="L53" s="5">
        <f t="shared" si="3"/>
        <v>411.22000000000037</v>
      </c>
      <c r="M53" s="5">
        <f t="shared" si="2"/>
        <v>412.82000000000039</v>
      </c>
      <c r="N53" s="5">
        <f>N51-I53</f>
        <v>20.600000000000009</v>
      </c>
      <c r="O53" s="4">
        <v>46073</v>
      </c>
    </row>
    <row r="54" spans="1:15" ht="7.5" customHeight="1" x14ac:dyDescent="0.15">
      <c r="A54" s="3">
        <v>2434</v>
      </c>
      <c r="B54" s="3" t="s">
        <v>18</v>
      </c>
      <c r="C54" s="3" t="s">
        <v>19</v>
      </c>
      <c r="D54" s="3" t="s">
        <v>20</v>
      </c>
      <c r="E54" s="4">
        <v>46077.359722222202</v>
      </c>
      <c r="F54" s="3" t="s">
        <v>21</v>
      </c>
      <c r="G54" s="3" t="s">
        <v>22</v>
      </c>
      <c r="H54" s="3" t="s">
        <v>23</v>
      </c>
      <c r="I54" s="5">
        <v>0</v>
      </c>
      <c r="J54" s="5">
        <v>0</v>
      </c>
      <c r="K54" s="5">
        <v>-6.5</v>
      </c>
      <c r="L54" s="5">
        <f t="shared" si="3"/>
        <v>412.82000000000039</v>
      </c>
      <c r="M54" s="5">
        <f t="shared" si="2"/>
        <v>406.32000000000039</v>
      </c>
      <c r="N54" s="3"/>
      <c r="O54" s="3"/>
    </row>
    <row r="55" spans="1:15" ht="7.5" customHeight="1" x14ac:dyDescent="0.15">
      <c r="A55" s="3">
        <v>2435</v>
      </c>
      <c r="B55" s="3" t="s">
        <v>18</v>
      </c>
      <c r="C55" s="3" t="s">
        <v>19</v>
      </c>
      <c r="D55" s="3" t="s">
        <v>20</v>
      </c>
      <c r="E55" s="4">
        <v>46077.372916666704</v>
      </c>
      <c r="F55" s="3" t="s">
        <v>24</v>
      </c>
      <c r="G55" s="3" t="s">
        <v>22</v>
      </c>
      <c r="H55" s="3" t="s">
        <v>25</v>
      </c>
      <c r="I55" s="5">
        <v>4.9000000000000004</v>
      </c>
      <c r="J55" s="5">
        <v>0</v>
      </c>
      <c r="K55" s="5">
        <v>1.6</v>
      </c>
      <c r="L55" s="5">
        <f t="shared" si="3"/>
        <v>406.32000000000039</v>
      </c>
      <c r="M55" s="5">
        <f t="shared" si="2"/>
        <v>407.92000000000041</v>
      </c>
      <c r="N55" s="5">
        <f>50-4.9</f>
        <v>45.1</v>
      </c>
      <c r="O55" s="4">
        <v>46080</v>
      </c>
    </row>
    <row r="56" spans="1:15" ht="7.5" customHeight="1" x14ac:dyDescent="0.15">
      <c r="A56" s="3">
        <v>2436</v>
      </c>
      <c r="B56" s="3" t="s">
        <v>18</v>
      </c>
      <c r="C56" s="3" t="s">
        <v>19</v>
      </c>
      <c r="D56" s="3" t="s">
        <v>20</v>
      </c>
      <c r="E56" s="4">
        <v>46077.688194444498</v>
      </c>
      <c r="F56" s="3" t="s">
        <v>21</v>
      </c>
      <c r="G56" s="3" t="s">
        <v>26</v>
      </c>
      <c r="H56" s="3" t="s">
        <v>23</v>
      </c>
      <c r="I56" s="5">
        <v>0</v>
      </c>
      <c r="J56" s="5">
        <v>0</v>
      </c>
      <c r="K56" s="5">
        <v>-6.5</v>
      </c>
      <c r="L56" s="5">
        <f t="shared" si="3"/>
        <v>407.92000000000041</v>
      </c>
      <c r="M56" s="5">
        <f t="shared" si="2"/>
        <v>401.42000000000041</v>
      </c>
      <c r="N56" s="3"/>
      <c r="O56" s="3"/>
    </row>
    <row r="57" spans="1:15" ht="7.5" customHeight="1" x14ac:dyDescent="0.15">
      <c r="A57" s="3">
        <v>2437</v>
      </c>
      <c r="B57" s="3" t="s">
        <v>18</v>
      </c>
      <c r="C57" s="3" t="s">
        <v>19</v>
      </c>
      <c r="D57" s="3" t="s">
        <v>20</v>
      </c>
      <c r="E57" s="4">
        <v>46077.698611111096</v>
      </c>
      <c r="F57" s="3" t="s">
        <v>24</v>
      </c>
      <c r="G57" s="3" t="s">
        <v>26</v>
      </c>
      <c r="H57" s="3" t="s">
        <v>27</v>
      </c>
      <c r="I57" s="5">
        <v>4.9000000000000004</v>
      </c>
      <c r="J57" s="5">
        <v>0</v>
      </c>
      <c r="K57" s="5">
        <v>1.6</v>
      </c>
      <c r="L57" s="5">
        <f t="shared" si="3"/>
        <v>401.42000000000041</v>
      </c>
      <c r="M57" s="5">
        <f t="shared" si="2"/>
        <v>403.02000000000044</v>
      </c>
      <c r="N57" s="5">
        <f>N55-I57</f>
        <v>40.200000000000003</v>
      </c>
      <c r="O57" s="4">
        <v>46080</v>
      </c>
    </row>
    <row r="58" spans="1:15" ht="7.5" customHeight="1" x14ac:dyDescent="0.15">
      <c r="A58" s="3">
        <v>2438</v>
      </c>
      <c r="B58" s="3" t="s">
        <v>18</v>
      </c>
      <c r="C58" s="3" t="s">
        <v>19</v>
      </c>
      <c r="D58" s="3" t="s">
        <v>20</v>
      </c>
      <c r="E58" s="4">
        <v>46078.359027777798</v>
      </c>
      <c r="F58" s="3" t="s">
        <v>21</v>
      </c>
      <c r="G58" s="3" t="s">
        <v>22</v>
      </c>
      <c r="H58" s="3" t="s">
        <v>23</v>
      </c>
      <c r="I58" s="5">
        <v>0</v>
      </c>
      <c r="J58" s="5">
        <v>0</v>
      </c>
      <c r="K58" s="5">
        <v>-6.5</v>
      </c>
      <c r="L58" s="5">
        <f t="shared" si="3"/>
        <v>403.02000000000044</v>
      </c>
      <c r="M58" s="5">
        <f t="shared" si="2"/>
        <v>396.52000000000044</v>
      </c>
      <c r="N58" s="5"/>
      <c r="O58" s="3"/>
    </row>
    <row r="59" spans="1:15" ht="7.5" customHeight="1" x14ac:dyDescent="0.15">
      <c r="A59" s="3">
        <v>2439</v>
      </c>
      <c r="B59" s="3" t="s">
        <v>18</v>
      </c>
      <c r="C59" s="3" t="s">
        <v>19</v>
      </c>
      <c r="D59" s="3" t="s">
        <v>20</v>
      </c>
      <c r="E59" s="4">
        <v>46078.371527777803</v>
      </c>
      <c r="F59" s="3" t="s">
        <v>24</v>
      </c>
      <c r="G59" s="3" t="s">
        <v>22</v>
      </c>
      <c r="H59" s="3" t="s">
        <v>25</v>
      </c>
      <c r="I59" s="5">
        <v>4.9000000000000004</v>
      </c>
      <c r="J59" s="5">
        <v>0</v>
      </c>
      <c r="K59" s="5">
        <v>1.6</v>
      </c>
      <c r="L59" s="5">
        <f t="shared" si="3"/>
        <v>396.52000000000044</v>
      </c>
      <c r="M59" s="5">
        <f t="shared" si="2"/>
        <v>398.12000000000046</v>
      </c>
      <c r="N59" s="5">
        <f>N57-I59</f>
        <v>35.300000000000004</v>
      </c>
      <c r="O59" s="4">
        <v>46080</v>
      </c>
    </row>
    <row r="60" spans="1:15" ht="7.5" customHeight="1" x14ac:dyDescent="0.15">
      <c r="A60" s="3">
        <v>2440</v>
      </c>
      <c r="B60" s="3" t="s">
        <v>18</v>
      </c>
      <c r="C60" s="3" t="s">
        <v>19</v>
      </c>
      <c r="D60" s="3" t="s">
        <v>20</v>
      </c>
      <c r="E60" s="4">
        <v>46078.695138888899</v>
      </c>
      <c r="F60" s="3" t="s">
        <v>21</v>
      </c>
      <c r="G60" s="3" t="s">
        <v>26</v>
      </c>
      <c r="H60" s="3" t="s">
        <v>23</v>
      </c>
      <c r="I60" s="5">
        <v>0</v>
      </c>
      <c r="J60" s="5">
        <v>0</v>
      </c>
      <c r="K60" s="5">
        <v>-6.5</v>
      </c>
      <c r="L60" s="5">
        <f t="shared" si="3"/>
        <v>398.12000000000046</v>
      </c>
      <c r="M60" s="5">
        <f t="shared" si="2"/>
        <v>391.62000000000046</v>
      </c>
      <c r="N60" s="5"/>
      <c r="O60" s="3"/>
    </row>
    <row r="61" spans="1:15" ht="7.5" customHeight="1" x14ac:dyDescent="0.15">
      <c r="A61" s="3">
        <v>2441</v>
      </c>
      <c r="B61" s="3" t="s">
        <v>18</v>
      </c>
      <c r="C61" s="3" t="s">
        <v>19</v>
      </c>
      <c r="D61" s="3" t="s">
        <v>20</v>
      </c>
      <c r="E61" s="4">
        <v>46078.697222222203</v>
      </c>
      <c r="F61" s="3" t="s">
        <v>24</v>
      </c>
      <c r="G61" s="3" t="s">
        <v>26</v>
      </c>
      <c r="H61" s="3" t="s">
        <v>27</v>
      </c>
      <c r="I61" s="5">
        <v>4.9000000000000004</v>
      </c>
      <c r="J61" s="5">
        <v>0</v>
      </c>
      <c r="K61" s="5">
        <v>1.6</v>
      </c>
      <c r="L61" s="5">
        <f t="shared" si="3"/>
        <v>391.62000000000046</v>
      </c>
      <c r="M61" s="5">
        <f t="shared" si="2"/>
        <v>393.22000000000048</v>
      </c>
      <c r="N61" s="5">
        <f>N59-I61</f>
        <v>30.400000000000006</v>
      </c>
      <c r="O61" s="4">
        <v>46080</v>
      </c>
    </row>
    <row r="62" spans="1:15" ht="7.5" customHeight="1" x14ac:dyDescent="0.15">
      <c r="A62" s="3">
        <v>2442</v>
      </c>
      <c r="B62" s="3" t="s">
        <v>18</v>
      </c>
      <c r="C62" s="3" t="s">
        <v>19</v>
      </c>
      <c r="D62" s="3" t="s">
        <v>20</v>
      </c>
      <c r="E62" s="4">
        <v>46079.361111111102</v>
      </c>
      <c r="F62" s="3" t="s">
        <v>21</v>
      </c>
      <c r="G62" s="3" t="s">
        <v>22</v>
      </c>
      <c r="H62" s="3" t="s">
        <v>23</v>
      </c>
      <c r="I62" s="5">
        <v>0</v>
      </c>
      <c r="J62" s="5">
        <v>0</v>
      </c>
      <c r="K62" s="5">
        <v>-6.5</v>
      </c>
      <c r="L62" s="5">
        <f t="shared" si="3"/>
        <v>393.22000000000048</v>
      </c>
      <c r="M62" s="5">
        <f t="shared" si="2"/>
        <v>386.72000000000048</v>
      </c>
      <c r="N62" s="5"/>
      <c r="O62" s="3"/>
    </row>
    <row r="63" spans="1:15" ht="7.5" customHeight="1" x14ac:dyDescent="0.15">
      <c r="A63" s="3">
        <v>2443</v>
      </c>
      <c r="B63" s="3" t="s">
        <v>18</v>
      </c>
      <c r="C63" s="3" t="s">
        <v>19</v>
      </c>
      <c r="D63" s="3" t="s">
        <v>20</v>
      </c>
      <c r="E63" s="4">
        <v>46079.370138888902</v>
      </c>
      <c r="F63" s="3" t="s">
        <v>24</v>
      </c>
      <c r="G63" s="3" t="s">
        <v>22</v>
      </c>
      <c r="H63" s="3" t="s">
        <v>25</v>
      </c>
      <c r="I63" s="5">
        <v>4.9000000000000004</v>
      </c>
      <c r="J63" s="5">
        <v>0</v>
      </c>
      <c r="K63" s="5">
        <v>1.6</v>
      </c>
      <c r="L63" s="5">
        <f t="shared" si="3"/>
        <v>386.72000000000048</v>
      </c>
      <c r="M63" s="5">
        <f t="shared" si="2"/>
        <v>388.3200000000005</v>
      </c>
      <c r="N63" s="5">
        <f>N61-I63</f>
        <v>25.500000000000007</v>
      </c>
      <c r="O63" s="4">
        <v>46080</v>
      </c>
    </row>
    <row r="64" spans="1:15" ht="7.5" customHeight="1" x14ac:dyDescent="0.15">
      <c r="A64" s="3">
        <v>2444</v>
      </c>
      <c r="B64" s="3" t="s">
        <v>18</v>
      </c>
      <c r="C64" s="3" t="s">
        <v>19</v>
      </c>
      <c r="D64" s="3" t="s">
        <v>20</v>
      </c>
      <c r="E64" s="4">
        <v>46079.690277777801</v>
      </c>
      <c r="F64" s="3" t="s">
        <v>21</v>
      </c>
      <c r="G64" s="3" t="s">
        <v>26</v>
      </c>
      <c r="H64" s="3" t="s">
        <v>23</v>
      </c>
      <c r="I64" s="5">
        <v>0</v>
      </c>
      <c r="J64" s="5">
        <v>0</v>
      </c>
      <c r="K64" s="5">
        <v>-6.5</v>
      </c>
      <c r="L64" s="5">
        <f t="shared" si="3"/>
        <v>388.3200000000005</v>
      </c>
      <c r="M64" s="5">
        <f t="shared" si="2"/>
        <v>381.8200000000005</v>
      </c>
      <c r="N64" s="5"/>
      <c r="O64" s="3"/>
    </row>
    <row r="65" spans="1:15" ht="7.5" customHeight="1" x14ac:dyDescent="0.15"/>
    <row r="66" spans="1:15" ht="7.5" customHeight="1" x14ac:dyDescent="0.15"/>
    <row r="67" spans="1:15" ht="7.5" customHeight="1" x14ac:dyDescent="0.25">
      <c r="M67"/>
    </row>
    <row r="68" spans="1:15" ht="7.5" customHeight="1" x14ac:dyDescent="0.25">
      <c r="E68"/>
    </row>
    <row r="69" spans="1:15" ht="7.5" customHeight="1" x14ac:dyDescent="0.15"/>
    <row r="70" spans="1:15" ht="7.5" customHeight="1" x14ac:dyDescent="0.15">
      <c r="A70" s="3">
        <v>2445</v>
      </c>
      <c r="B70" s="3" t="s">
        <v>18</v>
      </c>
      <c r="C70" s="3" t="s">
        <v>19</v>
      </c>
      <c r="D70" s="3" t="s">
        <v>20</v>
      </c>
      <c r="E70" s="4">
        <v>46079.697916666701</v>
      </c>
      <c r="F70" s="3" t="s">
        <v>30</v>
      </c>
      <c r="G70" s="3" t="s">
        <v>26</v>
      </c>
      <c r="H70" s="3" t="s">
        <v>27</v>
      </c>
      <c r="I70" s="5">
        <v>4.9000000000000004</v>
      </c>
      <c r="J70" s="5">
        <v>0</v>
      </c>
      <c r="K70" s="5">
        <v>1.6</v>
      </c>
      <c r="L70" s="5">
        <f>M64</f>
        <v>381.8200000000005</v>
      </c>
      <c r="M70" s="5">
        <f t="shared" ref="M70:M101" si="4">L70+K70</f>
        <v>383.42000000000053</v>
      </c>
      <c r="N70" s="5">
        <f>N63-I70</f>
        <v>20.600000000000009</v>
      </c>
      <c r="O70" s="4">
        <v>46080</v>
      </c>
    </row>
    <row r="71" spans="1:15" ht="7.5" customHeight="1" x14ac:dyDescent="0.15">
      <c r="A71" s="3">
        <v>2446</v>
      </c>
      <c r="B71" s="3" t="s">
        <v>18</v>
      </c>
      <c r="C71" s="3" t="s">
        <v>19</v>
      </c>
      <c r="D71" s="3" t="s">
        <v>20</v>
      </c>
      <c r="E71" s="4">
        <v>46084.3618055556</v>
      </c>
      <c r="F71" s="3" t="s">
        <v>31</v>
      </c>
      <c r="G71" s="3" t="s">
        <v>22</v>
      </c>
      <c r="H71" s="3" t="s">
        <v>23</v>
      </c>
      <c r="I71" s="5">
        <v>0</v>
      </c>
      <c r="J71" s="5">
        <v>0</v>
      </c>
      <c r="K71" s="5">
        <v>-6.5</v>
      </c>
      <c r="L71" s="5">
        <f t="shared" ref="L71:L102" si="5">M70</f>
        <v>383.42000000000053</v>
      </c>
      <c r="M71" s="5">
        <f t="shared" si="4"/>
        <v>376.92000000000053</v>
      </c>
      <c r="N71" s="3"/>
      <c r="O71" s="3"/>
    </row>
    <row r="72" spans="1:15" ht="7.5" customHeight="1" x14ac:dyDescent="0.15">
      <c r="A72" s="3">
        <v>2447</v>
      </c>
      <c r="B72" s="3" t="s">
        <v>18</v>
      </c>
      <c r="C72" s="3" t="s">
        <v>19</v>
      </c>
      <c r="D72" s="3" t="s">
        <v>20</v>
      </c>
      <c r="E72" s="4">
        <v>46084.370138888902</v>
      </c>
      <c r="F72" s="3" t="s">
        <v>30</v>
      </c>
      <c r="G72" s="3" t="s">
        <v>22</v>
      </c>
      <c r="H72" s="3" t="s">
        <v>25</v>
      </c>
      <c r="I72" s="5">
        <v>4.9000000000000004</v>
      </c>
      <c r="J72" s="5">
        <v>0</v>
      </c>
      <c r="K72" s="5">
        <v>1.6</v>
      </c>
      <c r="L72" s="5">
        <f t="shared" si="5"/>
        <v>376.92000000000053</v>
      </c>
      <c r="M72" s="5">
        <f t="shared" si="4"/>
        <v>378.52000000000055</v>
      </c>
      <c r="N72" s="5">
        <f>50-4.9</f>
        <v>45.1</v>
      </c>
      <c r="O72" s="4">
        <v>46087</v>
      </c>
    </row>
    <row r="73" spans="1:15" ht="7.5" customHeight="1" x14ac:dyDescent="0.15">
      <c r="A73" s="3">
        <v>2448</v>
      </c>
      <c r="B73" s="3" t="s">
        <v>18</v>
      </c>
      <c r="C73" s="3" t="s">
        <v>19</v>
      </c>
      <c r="D73" s="3" t="s">
        <v>20</v>
      </c>
      <c r="E73" s="4">
        <v>46084.695833333302</v>
      </c>
      <c r="F73" s="3" t="s">
        <v>31</v>
      </c>
      <c r="G73" s="3" t="s">
        <v>26</v>
      </c>
      <c r="H73" s="3" t="s">
        <v>23</v>
      </c>
      <c r="I73" s="5">
        <v>0</v>
      </c>
      <c r="J73" s="5">
        <v>0</v>
      </c>
      <c r="K73" s="5">
        <v>-6.5</v>
      </c>
      <c r="L73" s="5">
        <f t="shared" si="5"/>
        <v>378.52000000000055</v>
      </c>
      <c r="M73" s="5">
        <f t="shared" si="4"/>
        <v>372.02000000000055</v>
      </c>
      <c r="N73" s="3"/>
      <c r="O73" s="3"/>
    </row>
    <row r="74" spans="1:15" ht="7.5" customHeight="1" x14ac:dyDescent="0.15">
      <c r="A74" s="3">
        <v>2449</v>
      </c>
      <c r="B74" s="3" t="s">
        <v>18</v>
      </c>
      <c r="C74" s="3" t="s">
        <v>19</v>
      </c>
      <c r="D74" s="3" t="s">
        <v>20</v>
      </c>
      <c r="E74" s="4">
        <v>46084.702777777798</v>
      </c>
      <c r="F74" s="3" t="s">
        <v>30</v>
      </c>
      <c r="G74" s="3" t="s">
        <v>26</v>
      </c>
      <c r="H74" s="3" t="s">
        <v>27</v>
      </c>
      <c r="I74" s="5">
        <v>4.9000000000000004</v>
      </c>
      <c r="J74" s="5">
        <v>0</v>
      </c>
      <c r="K74" s="5">
        <v>1.6</v>
      </c>
      <c r="L74" s="5">
        <f t="shared" si="5"/>
        <v>372.02000000000055</v>
      </c>
      <c r="M74" s="5">
        <f t="shared" si="4"/>
        <v>373.62000000000057</v>
      </c>
      <c r="N74" s="5">
        <f>N72-I74</f>
        <v>40.200000000000003</v>
      </c>
      <c r="O74" s="4">
        <v>46087</v>
      </c>
    </row>
    <row r="75" spans="1:15" ht="7.5" customHeight="1" x14ac:dyDescent="0.15">
      <c r="A75" s="3">
        <v>2450</v>
      </c>
      <c r="B75" s="3" t="s">
        <v>18</v>
      </c>
      <c r="C75" s="3" t="s">
        <v>19</v>
      </c>
      <c r="D75" s="3" t="s">
        <v>20</v>
      </c>
      <c r="E75" s="4">
        <v>46085.366666666698</v>
      </c>
      <c r="F75" s="3" t="s">
        <v>31</v>
      </c>
      <c r="G75" s="3" t="s">
        <v>22</v>
      </c>
      <c r="H75" s="3" t="s">
        <v>23</v>
      </c>
      <c r="I75" s="5">
        <v>0</v>
      </c>
      <c r="J75" s="5">
        <v>0</v>
      </c>
      <c r="K75" s="5">
        <v>-6.5</v>
      </c>
      <c r="L75" s="5">
        <f t="shared" si="5"/>
        <v>373.62000000000057</v>
      </c>
      <c r="M75" s="5">
        <f t="shared" si="4"/>
        <v>367.12000000000057</v>
      </c>
      <c r="N75" s="5"/>
      <c r="O75" s="3"/>
    </row>
    <row r="76" spans="1:15" ht="7.5" customHeight="1" x14ac:dyDescent="0.15">
      <c r="A76" s="3">
        <v>2451</v>
      </c>
      <c r="B76" s="3" t="s">
        <v>18</v>
      </c>
      <c r="C76" s="3" t="s">
        <v>19</v>
      </c>
      <c r="D76" s="3" t="s">
        <v>20</v>
      </c>
      <c r="E76" s="4">
        <v>46085.371527777803</v>
      </c>
      <c r="F76" s="3" t="s">
        <v>30</v>
      </c>
      <c r="G76" s="3" t="s">
        <v>22</v>
      </c>
      <c r="H76" s="3" t="s">
        <v>25</v>
      </c>
      <c r="I76" s="5">
        <v>4.9000000000000004</v>
      </c>
      <c r="J76" s="5">
        <v>0</v>
      </c>
      <c r="K76" s="5">
        <v>1.6</v>
      </c>
      <c r="L76" s="5">
        <f t="shared" si="5"/>
        <v>367.12000000000057</v>
      </c>
      <c r="M76" s="5">
        <f t="shared" si="4"/>
        <v>368.7200000000006</v>
      </c>
      <c r="N76" s="5">
        <f>N74-I76</f>
        <v>35.300000000000004</v>
      </c>
      <c r="O76" s="4">
        <v>46087</v>
      </c>
    </row>
    <row r="77" spans="1:15" ht="7.5" customHeight="1" x14ac:dyDescent="0.15">
      <c r="A77" s="3">
        <v>2452</v>
      </c>
      <c r="B77" s="3" t="s">
        <v>18</v>
      </c>
      <c r="C77" s="3" t="s">
        <v>19</v>
      </c>
      <c r="D77" s="3" t="s">
        <v>20</v>
      </c>
      <c r="E77" s="4">
        <v>46085.694444444503</v>
      </c>
      <c r="F77" s="3" t="s">
        <v>31</v>
      </c>
      <c r="G77" s="3" t="s">
        <v>26</v>
      </c>
      <c r="H77" s="3" t="s">
        <v>23</v>
      </c>
      <c r="I77" s="5">
        <v>0</v>
      </c>
      <c r="J77" s="5">
        <v>0</v>
      </c>
      <c r="K77" s="5">
        <v>-6.5</v>
      </c>
      <c r="L77" s="5">
        <f t="shared" si="5"/>
        <v>368.7200000000006</v>
      </c>
      <c r="M77" s="5">
        <f t="shared" si="4"/>
        <v>362.2200000000006</v>
      </c>
      <c r="N77" s="5"/>
      <c r="O77" s="3"/>
    </row>
    <row r="78" spans="1:15" ht="7.5" customHeight="1" x14ac:dyDescent="0.15">
      <c r="A78" s="3">
        <v>2453</v>
      </c>
      <c r="B78" s="3" t="s">
        <v>18</v>
      </c>
      <c r="C78" s="3" t="s">
        <v>19</v>
      </c>
      <c r="D78" s="3" t="s">
        <v>20</v>
      </c>
      <c r="E78" s="4">
        <v>46085.707638888904</v>
      </c>
      <c r="F78" s="3" t="s">
        <v>30</v>
      </c>
      <c r="G78" s="3" t="s">
        <v>26</v>
      </c>
      <c r="H78" s="3" t="s">
        <v>27</v>
      </c>
      <c r="I78" s="5">
        <v>4.9000000000000004</v>
      </c>
      <c r="J78" s="5">
        <v>0</v>
      </c>
      <c r="K78" s="5">
        <v>1.6</v>
      </c>
      <c r="L78" s="5">
        <f t="shared" si="5"/>
        <v>362.2200000000006</v>
      </c>
      <c r="M78" s="5">
        <f t="shared" si="4"/>
        <v>363.82000000000062</v>
      </c>
      <c r="N78" s="5">
        <f>N76-I78</f>
        <v>30.400000000000006</v>
      </c>
      <c r="O78" s="4">
        <v>46087</v>
      </c>
    </row>
    <row r="79" spans="1:15" ht="7.5" customHeight="1" x14ac:dyDescent="0.15">
      <c r="A79" s="3">
        <v>2454</v>
      </c>
      <c r="B79" s="3" t="s">
        <v>18</v>
      </c>
      <c r="C79" s="3" t="s">
        <v>19</v>
      </c>
      <c r="D79" s="3" t="s">
        <v>20</v>
      </c>
      <c r="E79" s="4">
        <v>46086.363194444399</v>
      </c>
      <c r="F79" s="3" t="s">
        <v>31</v>
      </c>
      <c r="G79" s="3" t="s">
        <v>22</v>
      </c>
      <c r="H79" s="3" t="s">
        <v>23</v>
      </c>
      <c r="I79" s="5">
        <v>0</v>
      </c>
      <c r="J79" s="5">
        <v>0</v>
      </c>
      <c r="K79" s="5">
        <v>-6.5</v>
      </c>
      <c r="L79" s="5">
        <f t="shared" si="5"/>
        <v>363.82000000000062</v>
      </c>
      <c r="M79" s="5">
        <f t="shared" si="4"/>
        <v>357.32000000000062</v>
      </c>
      <c r="N79" s="5"/>
      <c r="O79" s="3"/>
    </row>
    <row r="80" spans="1:15" ht="7.5" customHeight="1" x14ac:dyDescent="0.15">
      <c r="A80" s="3">
        <v>2455</v>
      </c>
      <c r="B80" s="3" t="s">
        <v>18</v>
      </c>
      <c r="C80" s="3" t="s">
        <v>19</v>
      </c>
      <c r="D80" s="3" t="s">
        <v>20</v>
      </c>
      <c r="E80" s="4">
        <v>46086.370833333298</v>
      </c>
      <c r="F80" s="3" t="s">
        <v>30</v>
      </c>
      <c r="G80" s="3" t="s">
        <v>22</v>
      </c>
      <c r="H80" s="3" t="s">
        <v>25</v>
      </c>
      <c r="I80" s="5">
        <v>4.9000000000000004</v>
      </c>
      <c r="J80" s="5">
        <v>0</v>
      </c>
      <c r="K80" s="5">
        <v>1.6</v>
      </c>
      <c r="L80" s="5">
        <f t="shared" si="5"/>
        <v>357.32000000000062</v>
      </c>
      <c r="M80" s="5">
        <f t="shared" si="4"/>
        <v>358.92000000000064</v>
      </c>
      <c r="N80" s="5">
        <f>N78-I80</f>
        <v>25.500000000000007</v>
      </c>
      <c r="O80" s="4">
        <v>46087</v>
      </c>
    </row>
    <row r="81" spans="1:15" ht="7.5" customHeight="1" x14ac:dyDescent="0.15">
      <c r="A81" s="3">
        <v>2456</v>
      </c>
      <c r="B81" s="3" t="s">
        <v>18</v>
      </c>
      <c r="C81" s="3" t="s">
        <v>19</v>
      </c>
      <c r="D81" s="3" t="s">
        <v>20</v>
      </c>
      <c r="E81" s="4">
        <v>46086.694444444503</v>
      </c>
      <c r="F81" s="3" t="s">
        <v>31</v>
      </c>
      <c r="G81" s="3" t="s">
        <v>26</v>
      </c>
      <c r="H81" s="3" t="s">
        <v>23</v>
      </c>
      <c r="I81" s="5">
        <v>0</v>
      </c>
      <c r="J81" s="5">
        <v>0</v>
      </c>
      <c r="K81" s="5">
        <v>-6.5</v>
      </c>
      <c r="L81" s="5">
        <f t="shared" si="5"/>
        <v>358.92000000000064</v>
      </c>
      <c r="M81" s="5">
        <f t="shared" si="4"/>
        <v>352.42000000000064</v>
      </c>
      <c r="N81" s="5"/>
      <c r="O81" s="3"/>
    </row>
    <row r="82" spans="1:15" ht="7.5" customHeight="1" x14ac:dyDescent="0.15">
      <c r="A82" s="3">
        <v>2457</v>
      </c>
      <c r="B82" s="3" t="s">
        <v>18</v>
      </c>
      <c r="C82" s="3" t="s">
        <v>19</v>
      </c>
      <c r="D82" s="3" t="s">
        <v>20</v>
      </c>
      <c r="E82" s="4">
        <v>46086.6965277778</v>
      </c>
      <c r="F82" s="3" t="s">
        <v>30</v>
      </c>
      <c r="G82" s="3" t="s">
        <v>26</v>
      </c>
      <c r="H82" s="3" t="s">
        <v>27</v>
      </c>
      <c r="I82" s="5">
        <v>4.9000000000000004</v>
      </c>
      <c r="J82" s="5">
        <v>0</v>
      </c>
      <c r="K82" s="5">
        <v>1.6</v>
      </c>
      <c r="L82" s="5">
        <f t="shared" si="5"/>
        <v>352.42000000000064</v>
      </c>
      <c r="M82" s="5">
        <f t="shared" si="4"/>
        <v>354.02000000000066</v>
      </c>
      <c r="N82" s="5">
        <f>N80-I82</f>
        <v>20.600000000000009</v>
      </c>
      <c r="O82" s="4">
        <v>46087</v>
      </c>
    </row>
    <row r="83" spans="1:15" ht="7.5" customHeight="1" x14ac:dyDescent="0.15">
      <c r="A83" s="3">
        <v>2458</v>
      </c>
      <c r="B83" s="3" t="s">
        <v>18</v>
      </c>
      <c r="C83" s="3" t="s">
        <v>19</v>
      </c>
      <c r="D83" s="3" t="s">
        <v>20</v>
      </c>
      <c r="E83" s="4">
        <v>46091.360416666699</v>
      </c>
      <c r="F83" s="3" t="s">
        <v>31</v>
      </c>
      <c r="G83" s="3" t="s">
        <v>22</v>
      </c>
      <c r="H83" s="3" t="s">
        <v>23</v>
      </c>
      <c r="I83" s="5">
        <v>0</v>
      </c>
      <c r="J83" s="5">
        <v>0</v>
      </c>
      <c r="K83" s="5">
        <v>-6.5</v>
      </c>
      <c r="L83" s="5">
        <f t="shared" si="5"/>
        <v>354.02000000000066</v>
      </c>
      <c r="M83" s="5">
        <f t="shared" si="4"/>
        <v>347.52000000000066</v>
      </c>
      <c r="N83" s="3"/>
      <c r="O83" s="3"/>
    </row>
    <row r="84" spans="1:15" ht="7.5" customHeight="1" x14ac:dyDescent="0.15">
      <c r="A84" s="3">
        <v>2459</v>
      </c>
      <c r="B84" s="3" t="s">
        <v>18</v>
      </c>
      <c r="C84" s="3" t="s">
        <v>19</v>
      </c>
      <c r="D84" s="3" t="s">
        <v>20</v>
      </c>
      <c r="E84" s="4">
        <v>46091.368055555598</v>
      </c>
      <c r="F84" s="3" t="s">
        <v>30</v>
      </c>
      <c r="G84" s="3" t="s">
        <v>22</v>
      </c>
      <c r="H84" s="3" t="s">
        <v>25</v>
      </c>
      <c r="I84" s="5">
        <v>4.9000000000000004</v>
      </c>
      <c r="J84" s="5">
        <v>0</v>
      </c>
      <c r="K84" s="5">
        <v>1.6</v>
      </c>
      <c r="L84" s="5">
        <f t="shared" si="5"/>
        <v>347.52000000000066</v>
      </c>
      <c r="M84" s="5">
        <f t="shared" si="4"/>
        <v>349.12000000000069</v>
      </c>
      <c r="N84" s="5">
        <f>50-4.9</f>
        <v>45.1</v>
      </c>
      <c r="O84" s="4">
        <v>46094</v>
      </c>
    </row>
    <row r="85" spans="1:15" ht="7.5" customHeight="1" x14ac:dyDescent="0.15">
      <c r="A85" s="3">
        <v>2460</v>
      </c>
      <c r="B85" s="3" t="s">
        <v>18</v>
      </c>
      <c r="C85" s="3" t="s">
        <v>19</v>
      </c>
      <c r="D85" s="3" t="s">
        <v>20</v>
      </c>
      <c r="E85" s="4">
        <v>46091.690972222197</v>
      </c>
      <c r="F85" s="3" t="s">
        <v>31</v>
      </c>
      <c r="G85" s="3" t="s">
        <v>26</v>
      </c>
      <c r="H85" s="3" t="s">
        <v>23</v>
      </c>
      <c r="I85" s="5">
        <v>0</v>
      </c>
      <c r="J85" s="5">
        <v>0</v>
      </c>
      <c r="K85" s="5">
        <v>-6.5</v>
      </c>
      <c r="L85" s="5">
        <f t="shared" si="5"/>
        <v>349.12000000000069</v>
      </c>
      <c r="M85" s="5">
        <f t="shared" si="4"/>
        <v>342.62000000000069</v>
      </c>
      <c r="N85" s="3"/>
      <c r="O85" s="3"/>
    </row>
    <row r="86" spans="1:15" ht="7.5" customHeight="1" x14ac:dyDescent="0.15">
      <c r="A86" s="3">
        <v>2461</v>
      </c>
      <c r="B86" s="3" t="s">
        <v>18</v>
      </c>
      <c r="C86" s="3" t="s">
        <v>19</v>
      </c>
      <c r="D86" s="3" t="s">
        <v>20</v>
      </c>
      <c r="E86" s="4">
        <v>46091.698611111096</v>
      </c>
      <c r="F86" s="3" t="s">
        <v>30</v>
      </c>
      <c r="G86" s="3" t="s">
        <v>26</v>
      </c>
      <c r="H86" s="3" t="s">
        <v>27</v>
      </c>
      <c r="I86" s="5">
        <v>4.9000000000000004</v>
      </c>
      <c r="J86" s="5">
        <v>0</v>
      </c>
      <c r="K86" s="5">
        <v>1.6</v>
      </c>
      <c r="L86" s="5">
        <f t="shared" si="5"/>
        <v>342.62000000000069</v>
      </c>
      <c r="M86" s="5">
        <f t="shared" si="4"/>
        <v>344.22000000000071</v>
      </c>
      <c r="N86" s="5">
        <f>N84-I86</f>
        <v>40.200000000000003</v>
      </c>
      <c r="O86" s="4">
        <v>46094</v>
      </c>
    </row>
    <row r="87" spans="1:15" ht="7.5" customHeight="1" x14ac:dyDescent="0.15">
      <c r="A87" s="3">
        <v>2462</v>
      </c>
      <c r="B87" s="3" t="s">
        <v>18</v>
      </c>
      <c r="C87" s="3" t="s">
        <v>19</v>
      </c>
      <c r="D87" s="3" t="s">
        <v>20</v>
      </c>
      <c r="E87" s="4">
        <v>46092.359027777798</v>
      </c>
      <c r="F87" s="3" t="s">
        <v>31</v>
      </c>
      <c r="G87" s="3" t="s">
        <v>22</v>
      </c>
      <c r="H87" s="3" t="s">
        <v>23</v>
      </c>
      <c r="I87" s="5">
        <v>0</v>
      </c>
      <c r="J87" s="5">
        <v>0</v>
      </c>
      <c r="K87" s="5">
        <v>-6.5</v>
      </c>
      <c r="L87" s="5">
        <f t="shared" si="5"/>
        <v>344.22000000000071</v>
      </c>
      <c r="M87" s="5">
        <f t="shared" si="4"/>
        <v>337.72000000000071</v>
      </c>
      <c r="N87" s="5"/>
      <c r="O87" s="3"/>
    </row>
    <row r="88" spans="1:15" ht="7.5" customHeight="1" x14ac:dyDescent="0.15">
      <c r="A88" s="3">
        <v>2463</v>
      </c>
      <c r="B88" s="3" t="s">
        <v>18</v>
      </c>
      <c r="C88" s="3" t="s">
        <v>19</v>
      </c>
      <c r="D88" s="3" t="s">
        <v>20</v>
      </c>
      <c r="E88" s="4">
        <v>46092.370138888902</v>
      </c>
      <c r="F88" s="3" t="s">
        <v>30</v>
      </c>
      <c r="G88" s="3" t="s">
        <v>22</v>
      </c>
      <c r="H88" s="3" t="s">
        <v>25</v>
      </c>
      <c r="I88" s="5">
        <v>4.9000000000000004</v>
      </c>
      <c r="J88" s="5">
        <v>0</v>
      </c>
      <c r="K88" s="5">
        <v>1.6</v>
      </c>
      <c r="L88" s="5">
        <f t="shared" si="5"/>
        <v>337.72000000000071</v>
      </c>
      <c r="M88" s="5">
        <f t="shared" si="4"/>
        <v>339.32000000000073</v>
      </c>
      <c r="N88" s="5">
        <f>N86-I88</f>
        <v>35.300000000000004</v>
      </c>
      <c r="O88" s="4">
        <v>46094</v>
      </c>
    </row>
    <row r="89" spans="1:15" ht="7.5" customHeight="1" x14ac:dyDescent="0.15">
      <c r="A89" s="3">
        <v>2464</v>
      </c>
      <c r="B89" s="3" t="s">
        <v>18</v>
      </c>
      <c r="C89" s="3" t="s">
        <v>19</v>
      </c>
      <c r="D89" s="3" t="s">
        <v>20</v>
      </c>
      <c r="E89" s="4">
        <v>46092.693749999999</v>
      </c>
      <c r="F89" s="3" t="s">
        <v>31</v>
      </c>
      <c r="G89" s="3" t="s">
        <v>26</v>
      </c>
      <c r="H89" s="3" t="s">
        <v>23</v>
      </c>
      <c r="I89" s="5">
        <v>0</v>
      </c>
      <c r="J89" s="5">
        <v>0</v>
      </c>
      <c r="K89" s="5">
        <v>-6.5</v>
      </c>
      <c r="L89" s="5">
        <f t="shared" si="5"/>
        <v>339.32000000000073</v>
      </c>
      <c r="M89" s="5">
        <f t="shared" si="4"/>
        <v>332.82000000000073</v>
      </c>
      <c r="N89" s="5"/>
      <c r="O89" s="3"/>
    </row>
    <row r="90" spans="1:15" ht="7.5" customHeight="1" x14ac:dyDescent="0.15">
      <c r="A90" s="3">
        <v>2465</v>
      </c>
      <c r="B90" s="3" t="s">
        <v>18</v>
      </c>
      <c r="C90" s="3" t="s">
        <v>19</v>
      </c>
      <c r="D90" s="3" t="s">
        <v>20</v>
      </c>
      <c r="E90" s="4">
        <v>46092.703472222202</v>
      </c>
      <c r="F90" s="3" t="s">
        <v>30</v>
      </c>
      <c r="G90" s="3" t="s">
        <v>26</v>
      </c>
      <c r="H90" s="3" t="s">
        <v>27</v>
      </c>
      <c r="I90" s="5">
        <v>4.9000000000000004</v>
      </c>
      <c r="J90" s="5">
        <v>0</v>
      </c>
      <c r="K90" s="5">
        <v>1.6</v>
      </c>
      <c r="L90" s="5">
        <f t="shared" si="5"/>
        <v>332.82000000000073</v>
      </c>
      <c r="M90" s="5">
        <f t="shared" si="4"/>
        <v>334.42000000000075</v>
      </c>
      <c r="N90" s="5">
        <f>N88-I90</f>
        <v>30.400000000000006</v>
      </c>
      <c r="O90" s="4">
        <v>46094</v>
      </c>
    </row>
    <row r="91" spans="1:15" ht="7.5" customHeight="1" x14ac:dyDescent="0.15">
      <c r="A91" s="3">
        <v>2466</v>
      </c>
      <c r="B91" s="3" t="s">
        <v>18</v>
      </c>
      <c r="C91" s="3" t="s">
        <v>19</v>
      </c>
      <c r="D91" s="3" t="s">
        <v>20</v>
      </c>
      <c r="E91" s="4">
        <v>46093.364583333299</v>
      </c>
      <c r="F91" s="3" t="s">
        <v>31</v>
      </c>
      <c r="G91" s="3" t="s">
        <v>22</v>
      </c>
      <c r="H91" s="3" t="s">
        <v>23</v>
      </c>
      <c r="I91" s="5">
        <v>0</v>
      </c>
      <c r="J91" s="5">
        <v>0</v>
      </c>
      <c r="K91" s="5">
        <v>-6.5</v>
      </c>
      <c r="L91" s="5">
        <f t="shared" si="5"/>
        <v>334.42000000000075</v>
      </c>
      <c r="M91" s="5">
        <f t="shared" si="4"/>
        <v>327.92000000000075</v>
      </c>
      <c r="N91" s="5"/>
      <c r="O91" s="3"/>
    </row>
    <row r="92" spans="1:15" ht="7.5" customHeight="1" x14ac:dyDescent="0.15">
      <c r="A92" s="3">
        <v>2467</v>
      </c>
      <c r="B92" s="3" t="s">
        <v>18</v>
      </c>
      <c r="C92" s="3" t="s">
        <v>19</v>
      </c>
      <c r="D92" s="3" t="s">
        <v>20</v>
      </c>
      <c r="E92" s="4">
        <v>46093.369444444397</v>
      </c>
      <c r="F92" s="3" t="s">
        <v>30</v>
      </c>
      <c r="G92" s="3" t="s">
        <v>22</v>
      </c>
      <c r="H92" s="3" t="s">
        <v>25</v>
      </c>
      <c r="I92" s="5">
        <v>4.9000000000000004</v>
      </c>
      <c r="J92" s="5">
        <v>0</v>
      </c>
      <c r="K92" s="5">
        <v>1.6</v>
      </c>
      <c r="L92" s="5">
        <f t="shared" si="5"/>
        <v>327.92000000000075</v>
      </c>
      <c r="M92" s="5">
        <f t="shared" si="4"/>
        <v>329.52000000000078</v>
      </c>
      <c r="N92" s="5">
        <f>N90-I92</f>
        <v>25.500000000000007</v>
      </c>
      <c r="O92" s="4">
        <v>46094</v>
      </c>
    </row>
    <row r="93" spans="1:15" ht="7.5" customHeight="1" x14ac:dyDescent="0.15">
      <c r="A93" s="3">
        <v>2468</v>
      </c>
      <c r="B93" s="3" t="s">
        <v>18</v>
      </c>
      <c r="C93" s="3" t="s">
        <v>19</v>
      </c>
      <c r="D93" s="3" t="s">
        <v>20</v>
      </c>
      <c r="E93" s="4">
        <v>46093.688194444498</v>
      </c>
      <c r="F93" s="3" t="s">
        <v>31</v>
      </c>
      <c r="G93" s="3" t="s">
        <v>26</v>
      </c>
      <c r="H93" s="3" t="s">
        <v>23</v>
      </c>
      <c r="I93" s="5">
        <v>0</v>
      </c>
      <c r="J93" s="5">
        <v>0</v>
      </c>
      <c r="K93" s="5">
        <v>-6.5</v>
      </c>
      <c r="L93" s="5">
        <f t="shared" si="5"/>
        <v>329.52000000000078</v>
      </c>
      <c r="M93" s="5">
        <f t="shared" si="4"/>
        <v>323.02000000000078</v>
      </c>
      <c r="N93" s="5"/>
      <c r="O93" s="3"/>
    </row>
    <row r="94" spans="1:15" ht="7.5" customHeight="1" x14ac:dyDescent="0.15">
      <c r="A94" s="3">
        <v>2469</v>
      </c>
      <c r="B94" s="3" t="s">
        <v>18</v>
      </c>
      <c r="C94" s="3" t="s">
        <v>19</v>
      </c>
      <c r="D94" s="3" t="s">
        <v>20</v>
      </c>
      <c r="E94" s="4">
        <v>46093.7</v>
      </c>
      <c r="F94" s="3" t="s">
        <v>30</v>
      </c>
      <c r="G94" s="3" t="s">
        <v>26</v>
      </c>
      <c r="H94" s="3" t="s">
        <v>27</v>
      </c>
      <c r="I94" s="5">
        <v>4.9000000000000004</v>
      </c>
      <c r="J94" s="5">
        <v>0</v>
      </c>
      <c r="K94" s="5">
        <v>1.6</v>
      </c>
      <c r="L94" s="5">
        <f t="shared" si="5"/>
        <v>323.02000000000078</v>
      </c>
      <c r="M94" s="5">
        <f t="shared" si="4"/>
        <v>324.6200000000008</v>
      </c>
      <c r="N94" s="5">
        <f>N92-I94</f>
        <v>20.600000000000009</v>
      </c>
      <c r="O94" s="4">
        <v>46094</v>
      </c>
    </row>
    <row r="95" spans="1:15" ht="7.5" customHeight="1" x14ac:dyDescent="0.15">
      <c r="A95" s="3">
        <v>2470</v>
      </c>
      <c r="B95" s="3" t="s">
        <v>18</v>
      </c>
      <c r="C95" s="3" t="s">
        <v>19</v>
      </c>
      <c r="D95" s="3" t="s">
        <v>20</v>
      </c>
      <c r="E95" s="4">
        <v>46098.362500000003</v>
      </c>
      <c r="F95" s="3" t="s">
        <v>31</v>
      </c>
      <c r="G95" s="3" t="s">
        <v>22</v>
      </c>
      <c r="H95" s="3" t="s">
        <v>23</v>
      </c>
      <c r="I95" s="5">
        <v>0</v>
      </c>
      <c r="J95" s="5">
        <v>0</v>
      </c>
      <c r="K95" s="5">
        <v>-6.5</v>
      </c>
      <c r="L95" s="5">
        <f t="shared" si="5"/>
        <v>324.6200000000008</v>
      </c>
      <c r="M95" s="5">
        <f t="shared" si="4"/>
        <v>318.1200000000008</v>
      </c>
      <c r="N95" s="3"/>
      <c r="O95" s="3"/>
    </row>
    <row r="96" spans="1:15" ht="7.5" customHeight="1" x14ac:dyDescent="0.15">
      <c r="A96" s="3">
        <v>2471</v>
      </c>
      <c r="B96" s="3" t="s">
        <v>18</v>
      </c>
      <c r="C96" s="3" t="s">
        <v>19</v>
      </c>
      <c r="D96" s="3" t="s">
        <v>20</v>
      </c>
      <c r="E96" s="4">
        <v>46098.371527777803</v>
      </c>
      <c r="F96" s="3" t="s">
        <v>30</v>
      </c>
      <c r="G96" s="3" t="s">
        <v>22</v>
      </c>
      <c r="H96" s="3" t="s">
        <v>25</v>
      </c>
      <c r="I96" s="5">
        <v>4.9000000000000004</v>
      </c>
      <c r="J96" s="5">
        <v>0</v>
      </c>
      <c r="K96" s="5">
        <v>1.6</v>
      </c>
      <c r="L96" s="5">
        <f t="shared" si="5"/>
        <v>318.1200000000008</v>
      </c>
      <c r="M96" s="5">
        <f t="shared" si="4"/>
        <v>319.72000000000082</v>
      </c>
      <c r="N96" s="5">
        <f>50-4.9</f>
        <v>45.1</v>
      </c>
      <c r="O96" s="4">
        <v>46101</v>
      </c>
    </row>
    <row r="97" spans="1:15" ht="7.5" customHeight="1" x14ac:dyDescent="0.15">
      <c r="A97" s="3">
        <v>2472</v>
      </c>
      <c r="B97" s="3" t="s">
        <v>18</v>
      </c>
      <c r="C97" s="3" t="s">
        <v>19</v>
      </c>
      <c r="D97" s="3" t="s">
        <v>20</v>
      </c>
      <c r="E97" s="4">
        <v>46098.692361111098</v>
      </c>
      <c r="F97" s="3" t="s">
        <v>31</v>
      </c>
      <c r="G97" s="3" t="s">
        <v>26</v>
      </c>
      <c r="H97" s="3" t="s">
        <v>23</v>
      </c>
      <c r="I97" s="5">
        <v>0</v>
      </c>
      <c r="J97" s="5">
        <v>0</v>
      </c>
      <c r="K97" s="5">
        <v>-6.5</v>
      </c>
      <c r="L97" s="5">
        <f t="shared" si="5"/>
        <v>319.72000000000082</v>
      </c>
      <c r="M97" s="5">
        <f t="shared" si="4"/>
        <v>313.22000000000082</v>
      </c>
      <c r="N97" s="3"/>
      <c r="O97" s="3"/>
    </row>
    <row r="98" spans="1:15" ht="7.5" customHeight="1" x14ac:dyDescent="0.15">
      <c r="A98" s="3">
        <v>2473</v>
      </c>
      <c r="B98" s="3" t="s">
        <v>18</v>
      </c>
      <c r="C98" s="3" t="s">
        <v>19</v>
      </c>
      <c r="D98" s="3" t="s">
        <v>20</v>
      </c>
      <c r="E98" s="4">
        <v>46098.704166666699</v>
      </c>
      <c r="F98" s="3" t="s">
        <v>30</v>
      </c>
      <c r="G98" s="3" t="s">
        <v>26</v>
      </c>
      <c r="H98" s="3" t="s">
        <v>27</v>
      </c>
      <c r="I98" s="5">
        <v>4.9000000000000004</v>
      </c>
      <c r="J98" s="5">
        <v>0</v>
      </c>
      <c r="K98" s="5">
        <v>1.6</v>
      </c>
      <c r="L98" s="5">
        <f t="shared" si="5"/>
        <v>313.22000000000082</v>
      </c>
      <c r="M98" s="5">
        <f t="shared" si="4"/>
        <v>314.82000000000085</v>
      </c>
      <c r="N98" s="5">
        <f>N96-I98</f>
        <v>40.200000000000003</v>
      </c>
      <c r="O98" s="4">
        <v>46101</v>
      </c>
    </row>
    <row r="99" spans="1:15" ht="7.5" customHeight="1" x14ac:dyDescent="0.15">
      <c r="A99" s="3">
        <v>2474</v>
      </c>
      <c r="B99" s="3" t="s">
        <v>18</v>
      </c>
      <c r="C99" s="3" t="s">
        <v>19</v>
      </c>
      <c r="D99" s="3" t="s">
        <v>20</v>
      </c>
      <c r="E99" s="4">
        <v>46099.361111111102</v>
      </c>
      <c r="F99" s="3" t="s">
        <v>31</v>
      </c>
      <c r="G99" s="3" t="s">
        <v>22</v>
      </c>
      <c r="H99" s="3" t="s">
        <v>23</v>
      </c>
      <c r="I99" s="5">
        <v>0</v>
      </c>
      <c r="J99" s="5">
        <v>0</v>
      </c>
      <c r="K99" s="5">
        <v>-6.5</v>
      </c>
      <c r="L99" s="5">
        <f t="shared" si="5"/>
        <v>314.82000000000085</v>
      </c>
      <c r="M99" s="5">
        <f t="shared" si="4"/>
        <v>308.32000000000085</v>
      </c>
      <c r="N99" s="5"/>
      <c r="O99" s="3"/>
    </row>
    <row r="100" spans="1:15" ht="7.5" customHeight="1" x14ac:dyDescent="0.15">
      <c r="A100" s="3">
        <v>2475</v>
      </c>
      <c r="B100" s="3" t="s">
        <v>18</v>
      </c>
      <c r="C100" s="3" t="s">
        <v>19</v>
      </c>
      <c r="D100" s="3" t="s">
        <v>20</v>
      </c>
      <c r="E100" s="4">
        <v>46099.369444444397</v>
      </c>
      <c r="F100" s="3" t="s">
        <v>30</v>
      </c>
      <c r="G100" s="3" t="s">
        <v>22</v>
      </c>
      <c r="H100" s="3" t="s">
        <v>25</v>
      </c>
      <c r="I100" s="5">
        <v>4.9000000000000004</v>
      </c>
      <c r="J100" s="5">
        <v>0</v>
      </c>
      <c r="K100" s="5">
        <v>1.6</v>
      </c>
      <c r="L100" s="5">
        <f t="shared" si="5"/>
        <v>308.32000000000085</v>
      </c>
      <c r="M100" s="5">
        <f t="shared" si="4"/>
        <v>309.92000000000087</v>
      </c>
      <c r="N100" s="5">
        <f>N98-I100</f>
        <v>35.300000000000004</v>
      </c>
      <c r="O100" s="4">
        <v>46101</v>
      </c>
    </row>
    <row r="101" spans="1:15" ht="7.5" customHeight="1" x14ac:dyDescent="0.15">
      <c r="A101" s="3">
        <v>2476</v>
      </c>
      <c r="B101" s="3" t="s">
        <v>18</v>
      </c>
      <c r="C101" s="3" t="s">
        <v>19</v>
      </c>
      <c r="D101" s="3" t="s">
        <v>20</v>
      </c>
      <c r="E101" s="4">
        <v>46099.695833333302</v>
      </c>
      <c r="F101" s="3" t="s">
        <v>31</v>
      </c>
      <c r="G101" s="3" t="s">
        <v>26</v>
      </c>
      <c r="H101" s="3" t="s">
        <v>23</v>
      </c>
      <c r="I101" s="5">
        <v>0</v>
      </c>
      <c r="J101" s="5">
        <v>0</v>
      </c>
      <c r="K101" s="5">
        <v>-6.5</v>
      </c>
      <c r="L101" s="5">
        <f t="shared" si="5"/>
        <v>309.92000000000087</v>
      </c>
      <c r="M101" s="5">
        <f t="shared" si="4"/>
        <v>303.42000000000087</v>
      </c>
      <c r="N101" s="5"/>
      <c r="O101" s="3"/>
    </row>
    <row r="102" spans="1:15" ht="7.5" customHeight="1" x14ac:dyDescent="0.15">
      <c r="A102" s="3">
        <v>2477</v>
      </c>
      <c r="B102" s="3" t="s">
        <v>18</v>
      </c>
      <c r="C102" s="3" t="s">
        <v>19</v>
      </c>
      <c r="D102" s="3" t="s">
        <v>20</v>
      </c>
      <c r="E102" s="4">
        <v>46099.699305555601</v>
      </c>
      <c r="F102" s="3" t="s">
        <v>30</v>
      </c>
      <c r="G102" s="3" t="s">
        <v>26</v>
      </c>
      <c r="H102" s="3" t="s">
        <v>27</v>
      </c>
      <c r="I102" s="5">
        <v>4.9000000000000004</v>
      </c>
      <c r="J102" s="5">
        <v>0</v>
      </c>
      <c r="K102" s="5">
        <v>1.6</v>
      </c>
      <c r="L102" s="5">
        <f t="shared" si="5"/>
        <v>303.42000000000087</v>
      </c>
      <c r="M102" s="5">
        <f t="shared" ref="M102:M129" si="6">L102+K102</f>
        <v>305.02000000000089</v>
      </c>
      <c r="N102" s="5">
        <f>N100-I102</f>
        <v>30.400000000000006</v>
      </c>
      <c r="O102" s="4">
        <v>46101</v>
      </c>
    </row>
    <row r="103" spans="1:15" ht="7.5" customHeight="1" x14ac:dyDescent="0.15">
      <c r="A103" s="3">
        <v>2478</v>
      </c>
      <c r="B103" s="3" t="s">
        <v>18</v>
      </c>
      <c r="C103" s="3" t="s">
        <v>19</v>
      </c>
      <c r="D103" s="3" t="s">
        <v>20</v>
      </c>
      <c r="E103" s="4">
        <v>46100.361111111102</v>
      </c>
      <c r="F103" s="3" t="s">
        <v>31</v>
      </c>
      <c r="G103" s="3" t="s">
        <v>22</v>
      </c>
      <c r="H103" s="3" t="s">
        <v>23</v>
      </c>
      <c r="I103" s="5">
        <v>0</v>
      </c>
      <c r="J103" s="5">
        <v>0</v>
      </c>
      <c r="K103" s="5">
        <v>-6.5</v>
      </c>
      <c r="L103" s="5">
        <f t="shared" ref="L103:L129" si="7">M102</f>
        <v>305.02000000000089</v>
      </c>
      <c r="M103" s="5">
        <f t="shared" si="6"/>
        <v>298.52000000000089</v>
      </c>
      <c r="N103" s="5"/>
      <c r="O103" s="3"/>
    </row>
    <row r="104" spans="1:15" ht="7.5" customHeight="1" x14ac:dyDescent="0.15">
      <c r="A104" s="3">
        <v>2479</v>
      </c>
      <c r="B104" s="3" t="s">
        <v>18</v>
      </c>
      <c r="C104" s="3" t="s">
        <v>19</v>
      </c>
      <c r="D104" s="3" t="s">
        <v>20</v>
      </c>
      <c r="E104" s="4">
        <v>46100.368055555598</v>
      </c>
      <c r="F104" s="3" t="s">
        <v>30</v>
      </c>
      <c r="G104" s="3" t="s">
        <v>22</v>
      </c>
      <c r="H104" s="3" t="s">
        <v>25</v>
      </c>
      <c r="I104" s="5">
        <v>4.9000000000000004</v>
      </c>
      <c r="J104" s="5">
        <v>0</v>
      </c>
      <c r="K104" s="5">
        <v>1.6</v>
      </c>
      <c r="L104" s="5">
        <f t="shared" si="7"/>
        <v>298.52000000000089</v>
      </c>
      <c r="M104" s="5">
        <f t="shared" si="6"/>
        <v>300.12000000000091</v>
      </c>
      <c r="N104" s="5">
        <f>N102-I104</f>
        <v>25.500000000000007</v>
      </c>
      <c r="O104" s="4">
        <v>46101</v>
      </c>
    </row>
    <row r="105" spans="1:15" ht="7.5" customHeight="1" x14ac:dyDescent="0.15">
      <c r="A105" s="3">
        <v>2480</v>
      </c>
      <c r="B105" s="3" t="s">
        <v>18</v>
      </c>
      <c r="C105" s="3" t="s">
        <v>19</v>
      </c>
      <c r="D105" s="3" t="s">
        <v>20</v>
      </c>
      <c r="E105" s="4">
        <v>46100.689583333296</v>
      </c>
      <c r="F105" s="3" t="s">
        <v>31</v>
      </c>
      <c r="G105" s="3" t="s">
        <v>26</v>
      </c>
      <c r="H105" s="3" t="s">
        <v>23</v>
      </c>
      <c r="I105" s="5">
        <v>0</v>
      </c>
      <c r="J105" s="5">
        <v>0</v>
      </c>
      <c r="K105" s="5">
        <v>-6.5</v>
      </c>
      <c r="L105" s="5">
        <f t="shared" si="7"/>
        <v>300.12000000000091</v>
      </c>
      <c r="M105" s="5">
        <f t="shared" si="6"/>
        <v>293.62000000000091</v>
      </c>
      <c r="N105" s="5"/>
      <c r="O105" s="3"/>
    </row>
    <row r="106" spans="1:15" ht="7.5" customHeight="1" x14ac:dyDescent="0.15">
      <c r="A106" s="3">
        <v>2481</v>
      </c>
      <c r="B106" s="3" t="s">
        <v>18</v>
      </c>
      <c r="C106" s="3" t="s">
        <v>19</v>
      </c>
      <c r="D106" s="3" t="s">
        <v>20</v>
      </c>
      <c r="E106" s="4">
        <v>46100.7</v>
      </c>
      <c r="F106" s="3" t="s">
        <v>30</v>
      </c>
      <c r="G106" s="3" t="s">
        <v>26</v>
      </c>
      <c r="H106" s="3" t="s">
        <v>27</v>
      </c>
      <c r="I106" s="5">
        <v>4.9000000000000004</v>
      </c>
      <c r="J106" s="5">
        <v>0</v>
      </c>
      <c r="K106" s="5">
        <v>1.6</v>
      </c>
      <c r="L106" s="5">
        <f t="shared" si="7"/>
        <v>293.62000000000091</v>
      </c>
      <c r="M106" s="5">
        <f t="shared" si="6"/>
        <v>295.22000000000094</v>
      </c>
      <c r="N106" s="5">
        <f>N104-I106</f>
        <v>20.600000000000009</v>
      </c>
      <c r="O106" s="4">
        <v>46101</v>
      </c>
    </row>
    <row r="107" spans="1:15" ht="7.5" customHeight="1" x14ac:dyDescent="0.15">
      <c r="A107" s="3">
        <v>2482</v>
      </c>
      <c r="B107" s="3" t="s">
        <v>18</v>
      </c>
      <c r="C107" s="3" t="s">
        <v>19</v>
      </c>
      <c r="D107" s="3" t="s">
        <v>20</v>
      </c>
      <c r="E107" s="4">
        <v>46105.360416666699</v>
      </c>
      <c r="F107" s="3" t="s">
        <v>31</v>
      </c>
      <c r="G107" s="3" t="s">
        <v>22</v>
      </c>
      <c r="H107" s="3" t="s">
        <v>23</v>
      </c>
      <c r="I107" s="5">
        <v>0</v>
      </c>
      <c r="J107" s="5">
        <v>0</v>
      </c>
      <c r="K107" s="5">
        <v>-6.5</v>
      </c>
      <c r="L107" s="5">
        <f t="shared" si="7"/>
        <v>295.22000000000094</v>
      </c>
      <c r="M107" s="5">
        <f t="shared" si="6"/>
        <v>288.72000000000094</v>
      </c>
      <c r="N107" s="3"/>
      <c r="O107" s="3"/>
    </row>
    <row r="108" spans="1:15" ht="7.5" customHeight="1" x14ac:dyDescent="0.15">
      <c r="A108" s="3">
        <v>2483</v>
      </c>
      <c r="B108" s="3" t="s">
        <v>18</v>
      </c>
      <c r="C108" s="3" t="s">
        <v>19</v>
      </c>
      <c r="D108" s="3" t="s">
        <v>20</v>
      </c>
      <c r="E108" s="4">
        <v>46105.371527777803</v>
      </c>
      <c r="F108" s="3" t="s">
        <v>30</v>
      </c>
      <c r="G108" s="3" t="s">
        <v>22</v>
      </c>
      <c r="H108" s="3" t="s">
        <v>25</v>
      </c>
      <c r="I108" s="5">
        <v>4.9000000000000004</v>
      </c>
      <c r="J108" s="5">
        <v>0</v>
      </c>
      <c r="K108" s="5">
        <v>1.6</v>
      </c>
      <c r="L108" s="5">
        <f t="shared" si="7"/>
        <v>288.72000000000094</v>
      </c>
      <c r="M108" s="5">
        <f t="shared" si="6"/>
        <v>290.32000000000096</v>
      </c>
      <c r="N108" s="5">
        <f>50-4.9</f>
        <v>45.1</v>
      </c>
      <c r="O108" s="4">
        <v>46108</v>
      </c>
    </row>
    <row r="109" spans="1:15" ht="7.5" customHeight="1" x14ac:dyDescent="0.15">
      <c r="A109" s="3">
        <v>2484</v>
      </c>
      <c r="B109" s="3" t="s">
        <v>18</v>
      </c>
      <c r="C109" s="3" t="s">
        <v>19</v>
      </c>
      <c r="D109" s="3" t="s">
        <v>20</v>
      </c>
      <c r="E109" s="4">
        <v>46105.691666666702</v>
      </c>
      <c r="F109" s="3" t="s">
        <v>31</v>
      </c>
      <c r="G109" s="3" t="s">
        <v>26</v>
      </c>
      <c r="H109" s="3" t="s">
        <v>23</v>
      </c>
      <c r="I109" s="5">
        <v>0</v>
      </c>
      <c r="J109" s="5">
        <v>0</v>
      </c>
      <c r="K109" s="5">
        <v>-6.5</v>
      </c>
      <c r="L109" s="5">
        <f t="shared" si="7"/>
        <v>290.32000000000096</v>
      </c>
      <c r="M109" s="5">
        <f t="shared" si="6"/>
        <v>283.82000000000096</v>
      </c>
      <c r="N109" s="3"/>
      <c r="O109" s="3"/>
    </row>
    <row r="110" spans="1:15" ht="7.5" customHeight="1" x14ac:dyDescent="0.15">
      <c r="A110" s="3">
        <v>2485</v>
      </c>
      <c r="B110" s="3" t="s">
        <v>18</v>
      </c>
      <c r="C110" s="3" t="s">
        <v>19</v>
      </c>
      <c r="D110" s="3" t="s">
        <v>20</v>
      </c>
      <c r="E110" s="4">
        <v>46105.7006944444</v>
      </c>
      <c r="F110" s="3" t="s">
        <v>30</v>
      </c>
      <c r="G110" s="3" t="s">
        <v>26</v>
      </c>
      <c r="H110" s="3" t="s">
        <v>27</v>
      </c>
      <c r="I110" s="5">
        <v>4.9000000000000004</v>
      </c>
      <c r="J110" s="5">
        <v>0</v>
      </c>
      <c r="K110" s="5">
        <v>1.6</v>
      </c>
      <c r="L110" s="5">
        <f t="shared" si="7"/>
        <v>283.82000000000096</v>
      </c>
      <c r="M110" s="5">
        <f t="shared" si="6"/>
        <v>285.42000000000098</v>
      </c>
      <c r="N110" s="5">
        <f>N108-I110</f>
        <v>40.200000000000003</v>
      </c>
      <c r="O110" s="4">
        <v>46108</v>
      </c>
    </row>
    <row r="111" spans="1:15" ht="7.5" customHeight="1" x14ac:dyDescent="0.15">
      <c r="A111" s="3">
        <v>2486</v>
      </c>
      <c r="B111" s="3" t="s">
        <v>18</v>
      </c>
      <c r="C111" s="3" t="s">
        <v>19</v>
      </c>
      <c r="D111" s="3" t="s">
        <v>20</v>
      </c>
      <c r="E111" s="4">
        <v>46106.366666666698</v>
      </c>
      <c r="F111" s="3" t="s">
        <v>31</v>
      </c>
      <c r="G111" s="3" t="s">
        <v>22</v>
      </c>
      <c r="H111" s="3" t="s">
        <v>23</v>
      </c>
      <c r="I111" s="5">
        <v>0</v>
      </c>
      <c r="J111" s="5">
        <v>0</v>
      </c>
      <c r="K111" s="5">
        <v>-6.5</v>
      </c>
      <c r="L111" s="5">
        <f t="shared" si="7"/>
        <v>285.42000000000098</v>
      </c>
      <c r="M111" s="5">
        <f t="shared" si="6"/>
        <v>278.92000000000098</v>
      </c>
      <c r="N111" s="5"/>
      <c r="O111" s="3"/>
    </row>
    <row r="112" spans="1:15" ht="7.5" customHeight="1" x14ac:dyDescent="0.15">
      <c r="A112" s="3">
        <v>2487</v>
      </c>
      <c r="B112" s="3" t="s">
        <v>18</v>
      </c>
      <c r="C112" s="3" t="s">
        <v>19</v>
      </c>
      <c r="D112" s="3" t="s">
        <v>20</v>
      </c>
      <c r="E112" s="4">
        <v>46106.372222222199</v>
      </c>
      <c r="F112" s="3" t="s">
        <v>30</v>
      </c>
      <c r="G112" s="3" t="s">
        <v>22</v>
      </c>
      <c r="H112" s="3" t="s">
        <v>25</v>
      </c>
      <c r="I112" s="5">
        <v>4.9000000000000004</v>
      </c>
      <c r="J112" s="5">
        <v>0</v>
      </c>
      <c r="K112" s="5">
        <v>1.6</v>
      </c>
      <c r="L112" s="5">
        <f t="shared" si="7"/>
        <v>278.92000000000098</v>
      </c>
      <c r="M112" s="5">
        <f t="shared" si="6"/>
        <v>280.520000000001</v>
      </c>
      <c r="N112" s="5">
        <f>N110-I112</f>
        <v>35.300000000000004</v>
      </c>
      <c r="O112" s="4">
        <v>46108</v>
      </c>
    </row>
    <row r="113" spans="1:15" ht="7.5" customHeight="1" x14ac:dyDescent="0.15">
      <c r="A113" s="3">
        <v>2488</v>
      </c>
      <c r="B113" s="3" t="s">
        <v>18</v>
      </c>
      <c r="C113" s="3" t="s">
        <v>19</v>
      </c>
      <c r="D113" s="3" t="s">
        <v>20</v>
      </c>
      <c r="E113" s="4">
        <v>46106.6875</v>
      </c>
      <c r="F113" s="3" t="s">
        <v>31</v>
      </c>
      <c r="G113" s="3" t="s">
        <v>26</v>
      </c>
      <c r="H113" s="3" t="s">
        <v>23</v>
      </c>
      <c r="I113" s="5">
        <v>0</v>
      </c>
      <c r="J113" s="5">
        <v>0</v>
      </c>
      <c r="K113" s="5">
        <v>-6.5</v>
      </c>
      <c r="L113" s="5">
        <f t="shared" si="7"/>
        <v>280.520000000001</v>
      </c>
      <c r="M113" s="5">
        <f t="shared" si="6"/>
        <v>274.020000000001</v>
      </c>
      <c r="N113" s="5"/>
      <c r="O113" s="3"/>
    </row>
    <row r="114" spans="1:15" ht="7.5" customHeight="1" x14ac:dyDescent="0.15">
      <c r="A114" s="3">
        <v>2489</v>
      </c>
      <c r="B114" s="3" t="s">
        <v>18</v>
      </c>
      <c r="C114" s="3" t="s">
        <v>19</v>
      </c>
      <c r="D114" s="3" t="s">
        <v>20</v>
      </c>
      <c r="E114" s="4">
        <v>46106.703472222202</v>
      </c>
      <c r="F114" s="3" t="s">
        <v>30</v>
      </c>
      <c r="G114" s="3" t="s">
        <v>26</v>
      </c>
      <c r="H114" s="3" t="s">
        <v>27</v>
      </c>
      <c r="I114" s="5">
        <v>4.9000000000000004</v>
      </c>
      <c r="J114" s="5">
        <v>0</v>
      </c>
      <c r="K114" s="5">
        <v>1.6</v>
      </c>
      <c r="L114" s="5">
        <f t="shared" si="7"/>
        <v>274.020000000001</v>
      </c>
      <c r="M114" s="5">
        <f t="shared" si="6"/>
        <v>275.62000000000103</v>
      </c>
      <c r="N114" s="5">
        <f>N112-I114</f>
        <v>30.400000000000006</v>
      </c>
      <c r="O114" s="4">
        <v>46108</v>
      </c>
    </row>
    <row r="115" spans="1:15" ht="7.5" customHeight="1" x14ac:dyDescent="0.15">
      <c r="A115" s="3">
        <v>2490</v>
      </c>
      <c r="B115" s="3" t="s">
        <v>18</v>
      </c>
      <c r="C115" s="3" t="s">
        <v>19</v>
      </c>
      <c r="D115" s="3" t="s">
        <v>20</v>
      </c>
      <c r="E115" s="4">
        <v>46107.3659722222</v>
      </c>
      <c r="F115" s="3" t="s">
        <v>31</v>
      </c>
      <c r="G115" s="3" t="s">
        <v>22</v>
      </c>
      <c r="H115" s="3" t="s">
        <v>23</v>
      </c>
      <c r="I115" s="5">
        <v>0</v>
      </c>
      <c r="J115" s="5">
        <v>0</v>
      </c>
      <c r="K115" s="5">
        <v>-6.5</v>
      </c>
      <c r="L115" s="5">
        <f t="shared" si="7"/>
        <v>275.62000000000103</v>
      </c>
      <c r="M115" s="5">
        <f t="shared" si="6"/>
        <v>269.12000000000103</v>
      </c>
      <c r="N115" s="5"/>
      <c r="O115" s="3"/>
    </row>
    <row r="116" spans="1:15" ht="7.5" customHeight="1" x14ac:dyDescent="0.15">
      <c r="A116" s="3">
        <v>2491</v>
      </c>
      <c r="B116" s="3" t="s">
        <v>18</v>
      </c>
      <c r="C116" s="3" t="s">
        <v>19</v>
      </c>
      <c r="D116" s="3" t="s">
        <v>20</v>
      </c>
      <c r="E116" s="4">
        <v>46107.372916666704</v>
      </c>
      <c r="F116" s="3" t="s">
        <v>30</v>
      </c>
      <c r="G116" s="3" t="s">
        <v>22</v>
      </c>
      <c r="H116" s="3" t="s">
        <v>25</v>
      </c>
      <c r="I116" s="5">
        <v>4.9000000000000004</v>
      </c>
      <c r="J116" s="5">
        <v>0</v>
      </c>
      <c r="K116" s="5">
        <v>1.6</v>
      </c>
      <c r="L116" s="5">
        <f t="shared" si="7"/>
        <v>269.12000000000103</v>
      </c>
      <c r="M116" s="5">
        <f t="shared" si="6"/>
        <v>270.72000000000105</v>
      </c>
      <c r="N116" s="5">
        <f>N114-I116</f>
        <v>25.500000000000007</v>
      </c>
      <c r="O116" s="4">
        <v>46108</v>
      </c>
    </row>
    <row r="117" spans="1:15" ht="7.5" customHeight="1" x14ac:dyDescent="0.15">
      <c r="A117" s="3">
        <v>2492</v>
      </c>
      <c r="B117" s="3" t="s">
        <v>18</v>
      </c>
      <c r="C117" s="3" t="s">
        <v>19</v>
      </c>
      <c r="D117" s="3" t="s">
        <v>20</v>
      </c>
      <c r="E117" s="4">
        <v>46107.692361111098</v>
      </c>
      <c r="F117" s="3" t="s">
        <v>31</v>
      </c>
      <c r="G117" s="3" t="s">
        <v>26</v>
      </c>
      <c r="H117" s="3" t="s">
        <v>23</v>
      </c>
      <c r="I117" s="5">
        <v>0</v>
      </c>
      <c r="J117" s="5">
        <v>0</v>
      </c>
      <c r="K117" s="5">
        <v>-6.5</v>
      </c>
      <c r="L117" s="5">
        <f t="shared" si="7"/>
        <v>270.72000000000105</v>
      </c>
      <c r="M117" s="5">
        <f t="shared" si="6"/>
        <v>264.22000000000105</v>
      </c>
      <c r="N117" s="5"/>
      <c r="O117" s="3"/>
    </row>
    <row r="118" spans="1:15" ht="7.5" customHeight="1" x14ac:dyDescent="0.15">
      <c r="A118" s="3">
        <v>2493</v>
      </c>
      <c r="B118" s="3" t="s">
        <v>18</v>
      </c>
      <c r="C118" s="3" t="s">
        <v>19</v>
      </c>
      <c r="D118" s="3" t="s">
        <v>20</v>
      </c>
      <c r="E118" s="4">
        <v>46107.7006944444</v>
      </c>
      <c r="F118" s="3" t="s">
        <v>30</v>
      </c>
      <c r="G118" s="3" t="s">
        <v>26</v>
      </c>
      <c r="H118" s="3" t="s">
        <v>27</v>
      </c>
      <c r="I118" s="5">
        <v>4.9000000000000004</v>
      </c>
      <c r="J118" s="5">
        <v>0</v>
      </c>
      <c r="K118" s="5">
        <v>1.6</v>
      </c>
      <c r="L118" s="5">
        <f t="shared" si="7"/>
        <v>264.22000000000105</v>
      </c>
      <c r="M118" s="5">
        <f t="shared" si="6"/>
        <v>265.82000000000107</v>
      </c>
      <c r="N118" s="5">
        <f>N116-I118</f>
        <v>20.600000000000009</v>
      </c>
      <c r="O118" s="4">
        <v>46108</v>
      </c>
    </row>
    <row r="119" spans="1:15" ht="7.5" customHeight="1" x14ac:dyDescent="0.15">
      <c r="A119" s="3">
        <v>2494</v>
      </c>
      <c r="B119" s="3" t="s">
        <v>18</v>
      </c>
      <c r="C119" s="3" t="s">
        <v>19</v>
      </c>
      <c r="D119" s="3" t="s">
        <v>20</v>
      </c>
      <c r="E119" s="4">
        <v>46112.366666666698</v>
      </c>
      <c r="F119" s="3" t="s">
        <v>31</v>
      </c>
      <c r="G119" s="3" t="s">
        <v>22</v>
      </c>
      <c r="H119" s="3" t="s">
        <v>23</v>
      </c>
      <c r="I119" s="5">
        <v>0</v>
      </c>
      <c r="J119" s="5">
        <v>0</v>
      </c>
      <c r="K119" s="5">
        <v>-6.5</v>
      </c>
      <c r="L119" s="5">
        <f t="shared" si="7"/>
        <v>265.82000000000107</v>
      </c>
      <c r="M119" s="5">
        <f t="shared" si="6"/>
        <v>259.32000000000107</v>
      </c>
      <c r="N119" s="3"/>
      <c r="O119" s="3"/>
    </row>
    <row r="120" spans="1:15" ht="7.5" customHeight="1" x14ac:dyDescent="0.15">
      <c r="A120" s="3">
        <v>2495</v>
      </c>
      <c r="B120" s="3" t="s">
        <v>18</v>
      </c>
      <c r="C120" s="3" t="s">
        <v>19</v>
      </c>
      <c r="D120" s="3" t="s">
        <v>20</v>
      </c>
      <c r="E120" s="4">
        <v>46112.371527777803</v>
      </c>
      <c r="F120" s="3" t="s">
        <v>30</v>
      </c>
      <c r="G120" s="3" t="s">
        <v>22</v>
      </c>
      <c r="H120" s="3" t="s">
        <v>25</v>
      </c>
      <c r="I120" s="5">
        <v>4.9000000000000004</v>
      </c>
      <c r="J120" s="5">
        <v>0</v>
      </c>
      <c r="K120" s="5">
        <v>1.6</v>
      </c>
      <c r="L120" s="5">
        <f t="shared" si="7"/>
        <v>259.32000000000107</v>
      </c>
      <c r="M120" s="5">
        <f t="shared" si="6"/>
        <v>260.9200000000011</v>
      </c>
      <c r="N120" s="5">
        <f>50-4.9</f>
        <v>45.1</v>
      </c>
      <c r="O120" s="4">
        <v>46115</v>
      </c>
    </row>
    <row r="121" spans="1:15" ht="7.5" customHeight="1" x14ac:dyDescent="0.15">
      <c r="A121" s="3">
        <v>2496</v>
      </c>
      <c r="B121" s="3" t="s">
        <v>18</v>
      </c>
      <c r="C121" s="3" t="s">
        <v>19</v>
      </c>
      <c r="D121" s="3" t="s">
        <v>20</v>
      </c>
      <c r="E121" s="4">
        <v>46112.689583333296</v>
      </c>
      <c r="F121" s="3" t="s">
        <v>31</v>
      </c>
      <c r="G121" s="3" t="s">
        <v>26</v>
      </c>
      <c r="H121" s="3" t="s">
        <v>23</v>
      </c>
      <c r="I121" s="5">
        <v>0</v>
      </c>
      <c r="J121" s="5">
        <v>0</v>
      </c>
      <c r="K121" s="5">
        <v>-6.5</v>
      </c>
      <c r="L121" s="5">
        <f t="shared" si="7"/>
        <v>260.9200000000011</v>
      </c>
      <c r="M121" s="5">
        <f t="shared" si="6"/>
        <v>254.4200000000011</v>
      </c>
      <c r="N121" s="3"/>
      <c r="O121" s="3"/>
    </row>
    <row r="122" spans="1:15" ht="7.5" customHeight="1" x14ac:dyDescent="0.15">
      <c r="A122" s="3">
        <v>2497</v>
      </c>
      <c r="B122" s="3" t="s">
        <v>18</v>
      </c>
      <c r="C122" s="3" t="s">
        <v>19</v>
      </c>
      <c r="D122" s="3" t="s">
        <v>20</v>
      </c>
      <c r="E122" s="4">
        <v>46112.697916666701</v>
      </c>
      <c r="F122" s="3" t="s">
        <v>30</v>
      </c>
      <c r="G122" s="3" t="s">
        <v>26</v>
      </c>
      <c r="H122" s="3" t="s">
        <v>27</v>
      </c>
      <c r="I122" s="5">
        <v>4.9000000000000004</v>
      </c>
      <c r="J122" s="5">
        <v>0</v>
      </c>
      <c r="K122" s="5">
        <v>1.6</v>
      </c>
      <c r="L122" s="5">
        <f t="shared" si="7"/>
        <v>254.4200000000011</v>
      </c>
      <c r="M122" s="5">
        <f t="shared" si="6"/>
        <v>256.02000000000112</v>
      </c>
      <c r="N122" s="5">
        <f>N120-I122</f>
        <v>40.200000000000003</v>
      </c>
      <c r="O122" s="4">
        <v>46115</v>
      </c>
    </row>
    <row r="123" spans="1:15" ht="7.5" customHeight="1" x14ac:dyDescent="0.15">
      <c r="A123" s="3">
        <v>2498</v>
      </c>
      <c r="B123" s="3" t="s">
        <v>18</v>
      </c>
      <c r="C123" s="3" t="s">
        <v>19</v>
      </c>
      <c r="D123" s="3" t="s">
        <v>20</v>
      </c>
      <c r="E123" s="4">
        <v>46113.359722222202</v>
      </c>
      <c r="F123" s="3" t="s">
        <v>31</v>
      </c>
      <c r="G123" s="3" t="s">
        <v>22</v>
      </c>
      <c r="H123" s="3" t="s">
        <v>23</v>
      </c>
      <c r="I123" s="5">
        <v>0</v>
      </c>
      <c r="J123" s="5">
        <v>0</v>
      </c>
      <c r="K123" s="5">
        <v>-6.5</v>
      </c>
      <c r="L123" s="5">
        <f t="shared" si="7"/>
        <v>256.02000000000112</v>
      </c>
      <c r="M123" s="5">
        <f t="shared" si="6"/>
        <v>249.52000000000112</v>
      </c>
      <c r="N123" s="5"/>
      <c r="O123" s="3"/>
    </row>
    <row r="124" spans="1:15" ht="7.5" customHeight="1" x14ac:dyDescent="0.15">
      <c r="A124" s="3">
        <v>2499</v>
      </c>
      <c r="B124" s="3" t="s">
        <v>18</v>
      </c>
      <c r="C124" s="3" t="s">
        <v>19</v>
      </c>
      <c r="D124" s="3" t="s">
        <v>20</v>
      </c>
      <c r="E124" s="4">
        <v>46113.372222222199</v>
      </c>
      <c r="F124" s="3" t="s">
        <v>30</v>
      </c>
      <c r="G124" s="3" t="s">
        <v>22</v>
      </c>
      <c r="H124" s="3" t="s">
        <v>25</v>
      </c>
      <c r="I124" s="5">
        <v>4.9000000000000004</v>
      </c>
      <c r="J124" s="5">
        <v>0</v>
      </c>
      <c r="K124" s="5">
        <v>1.6</v>
      </c>
      <c r="L124" s="5">
        <f t="shared" si="7"/>
        <v>249.52000000000112</v>
      </c>
      <c r="M124" s="5">
        <f t="shared" si="6"/>
        <v>251.12000000000111</v>
      </c>
      <c r="N124" s="5">
        <f>N122-I124</f>
        <v>35.300000000000004</v>
      </c>
      <c r="O124" s="4">
        <v>46115</v>
      </c>
    </row>
    <row r="125" spans="1:15" ht="7.5" customHeight="1" x14ac:dyDescent="0.15">
      <c r="A125" s="3">
        <v>2500</v>
      </c>
      <c r="B125" s="3" t="s">
        <v>18</v>
      </c>
      <c r="C125" s="3" t="s">
        <v>19</v>
      </c>
      <c r="D125" s="3" t="s">
        <v>20</v>
      </c>
      <c r="E125" s="4">
        <v>46113.691666666702</v>
      </c>
      <c r="F125" s="3" t="s">
        <v>21</v>
      </c>
      <c r="G125" s="3" t="s">
        <v>26</v>
      </c>
      <c r="H125" s="3" t="s">
        <v>23</v>
      </c>
      <c r="I125" s="5">
        <v>0</v>
      </c>
      <c r="J125" s="5">
        <v>0</v>
      </c>
      <c r="K125" s="5">
        <v>-6.5</v>
      </c>
      <c r="L125" s="5">
        <f t="shared" si="7"/>
        <v>251.12000000000111</v>
      </c>
      <c r="M125" s="5">
        <f t="shared" si="6"/>
        <v>244.62000000000111</v>
      </c>
      <c r="N125" s="5"/>
      <c r="O125" s="3"/>
    </row>
    <row r="126" spans="1:15" ht="7.5" customHeight="1" x14ac:dyDescent="0.15">
      <c r="A126" s="3">
        <v>2501</v>
      </c>
      <c r="B126" s="3" t="s">
        <v>18</v>
      </c>
      <c r="C126" s="3" t="s">
        <v>19</v>
      </c>
      <c r="D126" s="3" t="s">
        <v>20</v>
      </c>
      <c r="E126" s="4">
        <v>46113.702083333301</v>
      </c>
      <c r="F126" s="3" t="s">
        <v>24</v>
      </c>
      <c r="G126" s="3" t="s">
        <v>26</v>
      </c>
      <c r="H126" s="3" t="s">
        <v>27</v>
      </c>
      <c r="I126" s="5">
        <v>4.9000000000000004</v>
      </c>
      <c r="J126" s="5">
        <v>0</v>
      </c>
      <c r="K126" s="5">
        <v>1.6</v>
      </c>
      <c r="L126" s="5">
        <f t="shared" si="7"/>
        <v>244.62000000000111</v>
      </c>
      <c r="M126" s="5">
        <f t="shared" si="6"/>
        <v>246.22000000000111</v>
      </c>
      <c r="N126" s="5">
        <f>N124-I126</f>
        <v>30.400000000000006</v>
      </c>
      <c r="O126" s="4">
        <v>46115</v>
      </c>
    </row>
    <row r="127" spans="1:15" ht="7.5" customHeight="1" x14ac:dyDescent="0.15">
      <c r="A127" s="3">
        <v>2502</v>
      </c>
      <c r="B127" s="3" t="s">
        <v>18</v>
      </c>
      <c r="C127" s="3" t="s">
        <v>19</v>
      </c>
      <c r="D127" s="3" t="s">
        <v>20</v>
      </c>
      <c r="E127" s="4">
        <v>46114.365277777797</v>
      </c>
      <c r="F127" s="3" t="s">
        <v>21</v>
      </c>
      <c r="G127" s="3" t="s">
        <v>22</v>
      </c>
      <c r="H127" s="3" t="s">
        <v>23</v>
      </c>
      <c r="I127" s="5">
        <v>0</v>
      </c>
      <c r="J127" s="5">
        <v>0</v>
      </c>
      <c r="K127" s="5">
        <v>-6.5</v>
      </c>
      <c r="L127" s="5">
        <f t="shared" si="7"/>
        <v>246.22000000000111</v>
      </c>
      <c r="M127" s="5">
        <f t="shared" si="6"/>
        <v>239.72000000000111</v>
      </c>
      <c r="N127" s="5"/>
      <c r="O127" s="3"/>
    </row>
    <row r="128" spans="1:15" ht="7.5" customHeight="1" x14ac:dyDescent="0.15">
      <c r="A128" s="3">
        <v>2503</v>
      </c>
      <c r="B128" s="3" t="s">
        <v>18</v>
      </c>
      <c r="C128" s="3" t="s">
        <v>19</v>
      </c>
      <c r="D128" s="3" t="s">
        <v>20</v>
      </c>
      <c r="E128" s="4">
        <v>46114.370138888902</v>
      </c>
      <c r="F128" s="3" t="s">
        <v>24</v>
      </c>
      <c r="G128" s="3" t="s">
        <v>22</v>
      </c>
      <c r="H128" s="3" t="s">
        <v>25</v>
      </c>
      <c r="I128" s="5">
        <v>4.9000000000000004</v>
      </c>
      <c r="J128" s="5">
        <v>0</v>
      </c>
      <c r="K128" s="5">
        <v>1.6</v>
      </c>
      <c r="L128" s="5">
        <f t="shared" si="7"/>
        <v>239.72000000000111</v>
      </c>
      <c r="M128" s="5">
        <f t="shared" si="6"/>
        <v>241.3200000000011</v>
      </c>
      <c r="N128" s="5">
        <f>N126-I128</f>
        <v>25.500000000000007</v>
      </c>
      <c r="O128" s="4">
        <v>46115</v>
      </c>
    </row>
    <row r="129" spans="1:15" ht="7.5" customHeight="1" x14ac:dyDescent="0.15">
      <c r="A129" s="3">
        <v>2504</v>
      </c>
      <c r="B129" s="3" t="s">
        <v>18</v>
      </c>
      <c r="C129" s="3" t="s">
        <v>19</v>
      </c>
      <c r="D129" s="3" t="s">
        <v>20</v>
      </c>
      <c r="E129" s="4">
        <v>46114.693055555603</v>
      </c>
      <c r="F129" s="3" t="s">
        <v>21</v>
      </c>
      <c r="G129" s="3" t="s">
        <v>26</v>
      </c>
      <c r="H129" s="3" t="s">
        <v>23</v>
      </c>
      <c r="I129" s="5">
        <v>0</v>
      </c>
      <c r="J129" s="5">
        <v>0</v>
      </c>
      <c r="K129" s="5">
        <v>-6.5</v>
      </c>
      <c r="L129" s="5">
        <f t="shared" si="7"/>
        <v>241.3200000000011</v>
      </c>
      <c r="M129" s="5">
        <f t="shared" si="6"/>
        <v>234.8200000000011</v>
      </c>
      <c r="N129" s="5"/>
      <c r="O129" s="4"/>
    </row>
    <row r="130" spans="1:15" ht="7.5" customHeight="1" x14ac:dyDescent="0.15"/>
    <row r="131" spans="1:15" ht="7.5" customHeight="1" x14ac:dyDescent="0.15"/>
    <row r="132" spans="1:15" ht="7.5" customHeight="1" x14ac:dyDescent="0.25">
      <c r="M132"/>
    </row>
    <row r="133" spans="1:15" ht="7.5" customHeight="1" x14ac:dyDescent="0.15"/>
    <row r="134" spans="1:15" ht="7.5" customHeight="1" x14ac:dyDescent="0.15"/>
    <row r="135" spans="1:15" ht="7.5" customHeight="1" x14ac:dyDescent="0.15">
      <c r="A135" s="3">
        <v>2505</v>
      </c>
      <c r="B135" s="3" t="s">
        <v>18</v>
      </c>
      <c r="C135" s="3" t="s">
        <v>19</v>
      </c>
      <c r="D135" s="3" t="s">
        <v>20</v>
      </c>
      <c r="E135" s="4">
        <v>46114.704166666699</v>
      </c>
      <c r="F135" s="3" t="s">
        <v>30</v>
      </c>
      <c r="G135" s="3" t="s">
        <v>26</v>
      </c>
      <c r="H135" s="3" t="s">
        <v>27</v>
      </c>
      <c r="I135" s="5">
        <v>4.9000000000000004</v>
      </c>
      <c r="J135" s="5">
        <v>0</v>
      </c>
      <c r="K135" s="5">
        <v>1.6</v>
      </c>
      <c r="L135" s="5">
        <f>M129</f>
        <v>234.8200000000011</v>
      </c>
      <c r="M135" s="5">
        <f t="shared" ref="M135:M186" si="8">L135+K135</f>
        <v>236.4200000000011</v>
      </c>
      <c r="N135" s="5">
        <f>N128-I135</f>
        <v>20.600000000000009</v>
      </c>
      <c r="O135" s="4">
        <v>46115</v>
      </c>
    </row>
    <row r="136" spans="1:15" ht="7.5" customHeight="1" x14ac:dyDescent="0.15">
      <c r="A136" s="3">
        <v>2506</v>
      </c>
      <c r="B136" s="3" t="s">
        <v>18</v>
      </c>
      <c r="C136" s="3" t="s">
        <v>19</v>
      </c>
      <c r="D136" s="3" t="s">
        <v>20</v>
      </c>
      <c r="E136" s="4">
        <v>46119.363194444399</v>
      </c>
      <c r="F136" s="3" t="s">
        <v>31</v>
      </c>
      <c r="G136" s="3" t="s">
        <v>22</v>
      </c>
      <c r="H136" s="3" t="s">
        <v>23</v>
      </c>
      <c r="I136" s="5">
        <v>0</v>
      </c>
      <c r="J136" s="5">
        <v>0</v>
      </c>
      <c r="K136" s="5">
        <v>-6.5</v>
      </c>
      <c r="L136" s="5">
        <f t="shared" ref="L136:L186" si="9">M135</f>
        <v>236.4200000000011</v>
      </c>
      <c r="M136" s="5">
        <f t="shared" si="8"/>
        <v>229.9200000000011</v>
      </c>
      <c r="N136" s="3"/>
      <c r="O136" s="4"/>
    </row>
    <row r="137" spans="1:15" ht="7.5" customHeight="1" x14ac:dyDescent="0.15">
      <c r="A137" s="3">
        <v>2507</v>
      </c>
      <c r="B137" s="3" t="s">
        <v>18</v>
      </c>
      <c r="C137" s="3" t="s">
        <v>19</v>
      </c>
      <c r="D137" s="3" t="s">
        <v>20</v>
      </c>
      <c r="E137" s="4">
        <v>46119.371527777803</v>
      </c>
      <c r="F137" s="3" t="s">
        <v>30</v>
      </c>
      <c r="G137" s="3" t="s">
        <v>22</v>
      </c>
      <c r="H137" s="3" t="s">
        <v>25</v>
      </c>
      <c r="I137" s="5">
        <v>4.9000000000000004</v>
      </c>
      <c r="J137" s="5">
        <v>0</v>
      </c>
      <c r="K137" s="5">
        <v>1.6</v>
      </c>
      <c r="L137" s="5">
        <f t="shared" si="9"/>
        <v>229.9200000000011</v>
      </c>
      <c r="M137" s="5">
        <f t="shared" si="8"/>
        <v>231.52000000000109</v>
      </c>
      <c r="N137" s="5">
        <f>50-4.9</f>
        <v>45.1</v>
      </c>
      <c r="O137" s="4">
        <v>46122</v>
      </c>
    </row>
    <row r="138" spans="1:15" ht="7.5" customHeight="1" x14ac:dyDescent="0.15">
      <c r="A138" s="3">
        <v>2508</v>
      </c>
      <c r="B138" s="3" t="s">
        <v>18</v>
      </c>
      <c r="C138" s="3" t="s">
        <v>19</v>
      </c>
      <c r="D138" s="3" t="s">
        <v>20</v>
      </c>
      <c r="E138" s="4">
        <v>46119.688888888901</v>
      </c>
      <c r="F138" s="3" t="s">
        <v>31</v>
      </c>
      <c r="G138" s="3" t="s">
        <v>26</v>
      </c>
      <c r="H138" s="3" t="s">
        <v>23</v>
      </c>
      <c r="I138" s="5">
        <v>0</v>
      </c>
      <c r="J138" s="5">
        <v>0</v>
      </c>
      <c r="K138" s="5">
        <v>-6.5</v>
      </c>
      <c r="L138" s="5">
        <f t="shared" si="9"/>
        <v>231.52000000000109</v>
      </c>
      <c r="M138" s="5">
        <f t="shared" si="8"/>
        <v>225.02000000000109</v>
      </c>
      <c r="N138" s="3"/>
      <c r="O138" s="4"/>
    </row>
    <row r="139" spans="1:15" ht="7.5" customHeight="1" x14ac:dyDescent="0.15">
      <c r="A139" s="3">
        <v>2509</v>
      </c>
      <c r="B139" s="3" t="s">
        <v>18</v>
      </c>
      <c r="C139" s="3" t="s">
        <v>19</v>
      </c>
      <c r="D139" s="3" t="s">
        <v>20</v>
      </c>
      <c r="E139" s="4">
        <v>46119.698611111096</v>
      </c>
      <c r="F139" s="3" t="s">
        <v>30</v>
      </c>
      <c r="G139" s="3" t="s">
        <v>26</v>
      </c>
      <c r="H139" s="3" t="s">
        <v>27</v>
      </c>
      <c r="I139" s="5">
        <v>4.9000000000000004</v>
      </c>
      <c r="J139" s="5">
        <v>0</v>
      </c>
      <c r="K139" s="5">
        <v>1.6</v>
      </c>
      <c r="L139" s="5">
        <f t="shared" si="9"/>
        <v>225.02000000000109</v>
      </c>
      <c r="M139" s="5">
        <f t="shared" si="8"/>
        <v>226.62000000000108</v>
      </c>
      <c r="N139" s="5">
        <f>N137-I139</f>
        <v>40.200000000000003</v>
      </c>
      <c r="O139" s="4">
        <v>46122</v>
      </c>
    </row>
    <row r="140" spans="1:15" ht="7.5" customHeight="1" x14ac:dyDescent="0.15">
      <c r="A140" s="3">
        <v>2510</v>
      </c>
      <c r="B140" s="3" t="s">
        <v>18</v>
      </c>
      <c r="C140" s="3" t="s">
        <v>19</v>
      </c>
      <c r="D140" s="3" t="s">
        <v>20</v>
      </c>
      <c r="E140" s="4">
        <v>46121.363194444399</v>
      </c>
      <c r="F140" s="3" t="s">
        <v>31</v>
      </c>
      <c r="G140" s="3" t="s">
        <v>22</v>
      </c>
      <c r="H140" s="3" t="s">
        <v>23</v>
      </c>
      <c r="I140" s="5">
        <v>0</v>
      </c>
      <c r="J140" s="5">
        <v>0</v>
      </c>
      <c r="K140" s="5">
        <v>-6.5</v>
      </c>
      <c r="L140" s="5">
        <f t="shared" si="9"/>
        <v>226.62000000000108</v>
      </c>
      <c r="M140" s="5">
        <f t="shared" si="8"/>
        <v>220.12000000000108</v>
      </c>
      <c r="N140" s="5"/>
      <c r="O140" s="4"/>
    </row>
    <row r="141" spans="1:15" ht="7.5" customHeight="1" x14ac:dyDescent="0.15">
      <c r="A141" s="3">
        <v>2511</v>
      </c>
      <c r="B141" s="3" t="s">
        <v>18</v>
      </c>
      <c r="C141" s="3" t="s">
        <v>19</v>
      </c>
      <c r="D141" s="3" t="s">
        <v>20</v>
      </c>
      <c r="E141" s="4">
        <v>46121.371527777803</v>
      </c>
      <c r="F141" s="3" t="s">
        <v>30</v>
      </c>
      <c r="G141" s="3" t="s">
        <v>22</v>
      </c>
      <c r="H141" s="3" t="s">
        <v>25</v>
      </c>
      <c r="I141" s="5">
        <v>4.9000000000000004</v>
      </c>
      <c r="J141" s="5">
        <v>0</v>
      </c>
      <c r="K141" s="5">
        <v>1.6</v>
      </c>
      <c r="L141" s="5">
        <f t="shared" si="9"/>
        <v>220.12000000000108</v>
      </c>
      <c r="M141" s="5">
        <f t="shared" si="8"/>
        <v>221.72000000000108</v>
      </c>
      <c r="N141" s="5">
        <f>N139-I141</f>
        <v>35.300000000000004</v>
      </c>
      <c r="O141" s="4">
        <v>46122</v>
      </c>
    </row>
    <row r="142" spans="1:15" ht="7.5" customHeight="1" x14ac:dyDescent="0.15">
      <c r="A142" s="3">
        <v>2512</v>
      </c>
      <c r="B142" s="3" t="s">
        <v>18</v>
      </c>
      <c r="C142" s="3" t="s">
        <v>19</v>
      </c>
      <c r="D142" s="3" t="s">
        <v>20</v>
      </c>
      <c r="E142" s="4">
        <v>46121.690277777801</v>
      </c>
      <c r="F142" s="3" t="s">
        <v>31</v>
      </c>
      <c r="G142" s="3" t="s">
        <v>26</v>
      </c>
      <c r="H142" s="3" t="s">
        <v>23</v>
      </c>
      <c r="I142" s="5">
        <v>0</v>
      </c>
      <c r="J142" s="5">
        <v>0</v>
      </c>
      <c r="K142" s="5">
        <v>-6.5</v>
      </c>
      <c r="L142" s="5">
        <f t="shared" si="9"/>
        <v>221.72000000000108</v>
      </c>
      <c r="M142" s="5">
        <f t="shared" si="8"/>
        <v>215.22000000000108</v>
      </c>
      <c r="N142" s="5"/>
      <c r="O142" s="4"/>
    </row>
    <row r="143" spans="1:15" ht="7.5" customHeight="1" x14ac:dyDescent="0.15">
      <c r="A143" s="3">
        <v>2513</v>
      </c>
      <c r="B143" s="3" t="s">
        <v>18</v>
      </c>
      <c r="C143" s="3" t="s">
        <v>19</v>
      </c>
      <c r="D143" s="3" t="s">
        <v>20</v>
      </c>
      <c r="E143" s="4">
        <v>46121.704166666699</v>
      </c>
      <c r="F143" s="3" t="s">
        <v>30</v>
      </c>
      <c r="G143" s="3" t="s">
        <v>26</v>
      </c>
      <c r="H143" s="3" t="s">
        <v>27</v>
      </c>
      <c r="I143" s="5">
        <v>4.9000000000000004</v>
      </c>
      <c r="J143" s="5">
        <v>0</v>
      </c>
      <c r="K143" s="5">
        <v>1.6</v>
      </c>
      <c r="L143" s="5">
        <f t="shared" si="9"/>
        <v>215.22000000000108</v>
      </c>
      <c r="M143" s="5">
        <f t="shared" si="8"/>
        <v>216.82000000000107</v>
      </c>
      <c r="N143" s="5">
        <f>N141-I143</f>
        <v>30.400000000000006</v>
      </c>
      <c r="O143" s="4">
        <v>46122</v>
      </c>
    </row>
    <row r="144" spans="1:15" ht="7.5" customHeight="1" x14ac:dyDescent="0.15">
      <c r="A144" s="3">
        <v>2514</v>
      </c>
      <c r="B144" s="3" t="s">
        <v>18</v>
      </c>
      <c r="C144" s="3" t="s">
        <v>19</v>
      </c>
      <c r="D144" s="3" t="s">
        <v>20</v>
      </c>
      <c r="E144" s="4">
        <v>46126.366666666698</v>
      </c>
      <c r="F144" s="3" t="s">
        <v>31</v>
      </c>
      <c r="G144" s="3" t="s">
        <v>22</v>
      </c>
      <c r="H144" s="3" t="s">
        <v>23</v>
      </c>
      <c r="I144" s="5">
        <v>0</v>
      </c>
      <c r="J144" s="5">
        <v>0</v>
      </c>
      <c r="K144" s="5">
        <v>-6.5</v>
      </c>
      <c r="L144" s="5">
        <f t="shared" si="9"/>
        <v>216.82000000000107</v>
      </c>
      <c r="M144" s="5">
        <f t="shared" si="8"/>
        <v>210.32000000000107</v>
      </c>
      <c r="N144" s="3"/>
      <c r="O144" s="4"/>
    </row>
    <row r="145" spans="1:15" ht="7.5" customHeight="1" x14ac:dyDescent="0.15">
      <c r="A145" s="3">
        <v>2515</v>
      </c>
      <c r="B145" s="3" t="s">
        <v>18</v>
      </c>
      <c r="C145" s="3" t="s">
        <v>19</v>
      </c>
      <c r="D145" s="3" t="s">
        <v>20</v>
      </c>
      <c r="E145" s="4">
        <v>46126.368055555598</v>
      </c>
      <c r="F145" s="3" t="s">
        <v>30</v>
      </c>
      <c r="G145" s="3" t="s">
        <v>22</v>
      </c>
      <c r="H145" s="3" t="s">
        <v>25</v>
      </c>
      <c r="I145" s="5">
        <v>4.9000000000000004</v>
      </c>
      <c r="J145" s="5">
        <v>0</v>
      </c>
      <c r="K145" s="5">
        <v>1.6</v>
      </c>
      <c r="L145" s="5">
        <f t="shared" si="9"/>
        <v>210.32000000000107</v>
      </c>
      <c r="M145" s="5">
        <f t="shared" si="8"/>
        <v>211.92000000000107</v>
      </c>
      <c r="N145" s="5">
        <f>50-4.9</f>
        <v>45.1</v>
      </c>
      <c r="O145" s="4">
        <v>46129</v>
      </c>
    </row>
    <row r="146" spans="1:15" ht="7.5" customHeight="1" x14ac:dyDescent="0.15">
      <c r="A146" s="3">
        <v>2516</v>
      </c>
      <c r="B146" s="3" t="s">
        <v>18</v>
      </c>
      <c r="C146" s="3" t="s">
        <v>19</v>
      </c>
      <c r="D146" s="3" t="s">
        <v>20</v>
      </c>
      <c r="E146" s="4">
        <v>46126.688194444498</v>
      </c>
      <c r="F146" s="3" t="s">
        <v>31</v>
      </c>
      <c r="G146" s="3" t="s">
        <v>26</v>
      </c>
      <c r="H146" s="3" t="s">
        <v>23</v>
      </c>
      <c r="I146" s="5">
        <v>0</v>
      </c>
      <c r="J146" s="5">
        <v>0</v>
      </c>
      <c r="K146" s="5">
        <v>-6.5</v>
      </c>
      <c r="L146" s="5">
        <f t="shared" si="9"/>
        <v>211.92000000000107</v>
      </c>
      <c r="M146" s="5">
        <f t="shared" si="8"/>
        <v>205.42000000000107</v>
      </c>
      <c r="N146" s="3"/>
      <c r="O146" s="4"/>
    </row>
    <row r="147" spans="1:15" ht="7.5" customHeight="1" x14ac:dyDescent="0.15">
      <c r="A147" s="3">
        <v>2517</v>
      </c>
      <c r="B147" s="3" t="s">
        <v>18</v>
      </c>
      <c r="C147" s="3" t="s">
        <v>19</v>
      </c>
      <c r="D147" s="3" t="s">
        <v>20</v>
      </c>
      <c r="E147" s="4">
        <v>46126.702083333301</v>
      </c>
      <c r="F147" s="3" t="s">
        <v>30</v>
      </c>
      <c r="G147" s="3" t="s">
        <v>26</v>
      </c>
      <c r="H147" s="3" t="s">
        <v>27</v>
      </c>
      <c r="I147" s="5">
        <v>4.9000000000000004</v>
      </c>
      <c r="J147" s="5">
        <v>0</v>
      </c>
      <c r="K147" s="5">
        <v>1.6</v>
      </c>
      <c r="L147" s="5">
        <f t="shared" si="9"/>
        <v>205.42000000000107</v>
      </c>
      <c r="M147" s="5">
        <f t="shared" si="8"/>
        <v>207.02000000000106</v>
      </c>
      <c r="N147" s="5">
        <f>N145-I147</f>
        <v>40.200000000000003</v>
      </c>
      <c r="O147" s="4">
        <v>46129</v>
      </c>
    </row>
    <row r="148" spans="1:15" ht="7.5" customHeight="1" x14ac:dyDescent="0.15">
      <c r="A148" s="3">
        <v>2518</v>
      </c>
      <c r="B148" s="3" t="s">
        <v>18</v>
      </c>
      <c r="C148" s="3" t="s">
        <v>19</v>
      </c>
      <c r="D148" s="3" t="s">
        <v>20</v>
      </c>
      <c r="E148" s="4">
        <v>46127.363888888904</v>
      </c>
      <c r="F148" s="3" t="s">
        <v>31</v>
      </c>
      <c r="G148" s="3" t="s">
        <v>22</v>
      </c>
      <c r="H148" s="3" t="s">
        <v>23</v>
      </c>
      <c r="I148" s="5">
        <v>0</v>
      </c>
      <c r="J148" s="5">
        <v>0</v>
      </c>
      <c r="K148" s="5">
        <v>-6.5</v>
      </c>
      <c r="L148" s="5">
        <f t="shared" si="9"/>
        <v>207.02000000000106</v>
      </c>
      <c r="M148" s="5">
        <f t="shared" si="8"/>
        <v>200.52000000000106</v>
      </c>
      <c r="N148" s="5"/>
      <c r="O148" s="4"/>
    </row>
    <row r="149" spans="1:15" ht="7.5" customHeight="1" x14ac:dyDescent="0.15">
      <c r="A149" s="3">
        <v>2519</v>
      </c>
      <c r="B149" s="3" t="s">
        <v>18</v>
      </c>
      <c r="C149" s="3" t="s">
        <v>19</v>
      </c>
      <c r="D149" s="3" t="s">
        <v>20</v>
      </c>
      <c r="E149" s="4">
        <v>46127.370833333298</v>
      </c>
      <c r="F149" s="3" t="s">
        <v>30</v>
      </c>
      <c r="G149" s="3" t="s">
        <v>22</v>
      </c>
      <c r="H149" s="3" t="s">
        <v>25</v>
      </c>
      <c r="I149" s="5">
        <v>4.9000000000000004</v>
      </c>
      <c r="J149" s="5">
        <v>0</v>
      </c>
      <c r="K149" s="5">
        <v>1.6</v>
      </c>
      <c r="L149" s="5">
        <f t="shared" si="9"/>
        <v>200.52000000000106</v>
      </c>
      <c r="M149" s="5">
        <f t="shared" si="8"/>
        <v>202.12000000000106</v>
      </c>
      <c r="N149" s="5">
        <f>N147-I149</f>
        <v>35.300000000000004</v>
      </c>
      <c r="O149" s="4">
        <v>46129</v>
      </c>
    </row>
    <row r="150" spans="1:15" ht="7.5" customHeight="1" x14ac:dyDescent="0.15">
      <c r="A150" s="3">
        <v>2520</v>
      </c>
      <c r="B150" s="3" t="s">
        <v>18</v>
      </c>
      <c r="C150" s="3" t="s">
        <v>19</v>
      </c>
      <c r="D150" s="3" t="s">
        <v>20</v>
      </c>
      <c r="E150" s="4">
        <v>46127.694444444503</v>
      </c>
      <c r="F150" s="3" t="s">
        <v>31</v>
      </c>
      <c r="G150" s="3" t="s">
        <v>26</v>
      </c>
      <c r="H150" s="3" t="s">
        <v>23</v>
      </c>
      <c r="I150" s="5">
        <v>0</v>
      </c>
      <c r="J150" s="5">
        <v>0</v>
      </c>
      <c r="K150" s="5">
        <v>-6.5</v>
      </c>
      <c r="L150" s="5">
        <f t="shared" si="9"/>
        <v>202.12000000000106</v>
      </c>
      <c r="M150" s="5">
        <f t="shared" si="8"/>
        <v>195.62000000000106</v>
      </c>
      <c r="N150" s="5"/>
      <c r="O150" s="4"/>
    </row>
    <row r="151" spans="1:15" ht="7.5" customHeight="1" x14ac:dyDescent="0.15">
      <c r="A151" s="3">
        <v>2521</v>
      </c>
      <c r="B151" s="3" t="s">
        <v>18</v>
      </c>
      <c r="C151" s="3" t="s">
        <v>19</v>
      </c>
      <c r="D151" s="3" t="s">
        <v>20</v>
      </c>
      <c r="E151" s="4">
        <v>46127.7055555556</v>
      </c>
      <c r="F151" s="3" t="s">
        <v>30</v>
      </c>
      <c r="G151" s="3" t="s">
        <v>26</v>
      </c>
      <c r="H151" s="3" t="s">
        <v>27</v>
      </c>
      <c r="I151" s="5">
        <v>4.9000000000000004</v>
      </c>
      <c r="J151" s="5">
        <v>0</v>
      </c>
      <c r="K151" s="5">
        <v>1.6</v>
      </c>
      <c r="L151" s="5">
        <f t="shared" si="9"/>
        <v>195.62000000000106</v>
      </c>
      <c r="M151" s="5">
        <f t="shared" si="8"/>
        <v>197.22000000000105</v>
      </c>
      <c r="N151" s="5">
        <f>N149-I151</f>
        <v>30.400000000000006</v>
      </c>
      <c r="O151" s="4">
        <v>46129</v>
      </c>
    </row>
    <row r="152" spans="1:15" ht="7.5" customHeight="1" x14ac:dyDescent="0.15">
      <c r="A152" s="3">
        <v>2522</v>
      </c>
      <c r="B152" s="3" t="s">
        <v>18</v>
      </c>
      <c r="C152" s="3" t="s">
        <v>19</v>
      </c>
      <c r="D152" s="3" t="s">
        <v>20</v>
      </c>
      <c r="E152" s="4">
        <v>46128.358333333301</v>
      </c>
      <c r="F152" s="3" t="s">
        <v>31</v>
      </c>
      <c r="G152" s="3" t="s">
        <v>22</v>
      </c>
      <c r="H152" s="3" t="s">
        <v>23</v>
      </c>
      <c r="I152" s="5">
        <v>0</v>
      </c>
      <c r="J152" s="5">
        <v>0</v>
      </c>
      <c r="K152" s="5">
        <v>-6.5</v>
      </c>
      <c r="L152" s="5">
        <f t="shared" si="9"/>
        <v>197.22000000000105</v>
      </c>
      <c r="M152" s="5">
        <f t="shared" si="8"/>
        <v>190.72000000000105</v>
      </c>
      <c r="N152" s="5"/>
      <c r="O152" s="4"/>
    </row>
    <row r="153" spans="1:15" ht="7.5" customHeight="1" x14ac:dyDescent="0.15">
      <c r="A153" s="3">
        <v>2523</v>
      </c>
      <c r="B153" s="3" t="s">
        <v>18</v>
      </c>
      <c r="C153" s="3" t="s">
        <v>19</v>
      </c>
      <c r="D153" s="3" t="s">
        <v>20</v>
      </c>
      <c r="E153" s="4">
        <v>46128.372916666704</v>
      </c>
      <c r="F153" s="3" t="s">
        <v>30</v>
      </c>
      <c r="G153" s="3" t="s">
        <v>22</v>
      </c>
      <c r="H153" s="3" t="s">
        <v>25</v>
      </c>
      <c r="I153" s="5">
        <v>4.9000000000000004</v>
      </c>
      <c r="J153" s="5">
        <v>0</v>
      </c>
      <c r="K153" s="5">
        <v>1.6</v>
      </c>
      <c r="L153" s="5">
        <f t="shared" si="9"/>
        <v>190.72000000000105</v>
      </c>
      <c r="M153" s="5">
        <f t="shared" si="8"/>
        <v>192.32000000000104</v>
      </c>
      <c r="N153" s="5">
        <f>N151-I153</f>
        <v>25.500000000000007</v>
      </c>
      <c r="O153" s="4">
        <v>46129</v>
      </c>
    </row>
    <row r="154" spans="1:15" ht="7.5" customHeight="1" x14ac:dyDescent="0.15">
      <c r="A154" s="3">
        <v>2524</v>
      </c>
      <c r="B154" s="3" t="s">
        <v>18</v>
      </c>
      <c r="C154" s="3" t="s">
        <v>19</v>
      </c>
      <c r="D154" s="3" t="s">
        <v>20</v>
      </c>
      <c r="E154" s="4">
        <v>46128.690277777801</v>
      </c>
      <c r="F154" s="3" t="s">
        <v>31</v>
      </c>
      <c r="G154" s="3" t="s">
        <v>26</v>
      </c>
      <c r="H154" s="3" t="s">
        <v>23</v>
      </c>
      <c r="I154" s="5">
        <v>0</v>
      </c>
      <c r="J154" s="5">
        <v>0</v>
      </c>
      <c r="K154" s="5">
        <v>-6.5</v>
      </c>
      <c r="L154" s="5">
        <f t="shared" si="9"/>
        <v>192.32000000000104</v>
      </c>
      <c r="M154" s="5">
        <f t="shared" si="8"/>
        <v>185.82000000000104</v>
      </c>
      <c r="N154" s="5"/>
      <c r="O154" s="4"/>
    </row>
    <row r="155" spans="1:15" ht="7.5" customHeight="1" x14ac:dyDescent="0.15">
      <c r="A155" s="3">
        <v>2525</v>
      </c>
      <c r="B155" s="3" t="s">
        <v>18</v>
      </c>
      <c r="C155" s="3" t="s">
        <v>19</v>
      </c>
      <c r="D155" s="3" t="s">
        <v>20</v>
      </c>
      <c r="E155" s="4">
        <v>46128.703472222202</v>
      </c>
      <c r="F155" s="3" t="s">
        <v>30</v>
      </c>
      <c r="G155" s="3" t="s">
        <v>26</v>
      </c>
      <c r="H155" s="3" t="s">
        <v>27</v>
      </c>
      <c r="I155" s="5">
        <v>4.9000000000000004</v>
      </c>
      <c r="J155" s="5">
        <v>0</v>
      </c>
      <c r="K155" s="5">
        <v>1.6</v>
      </c>
      <c r="L155" s="5">
        <f t="shared" si="9"/>
        <v>185.82000000000104</v>
      </c>
      <c r="M155" s="5">
        <f t="shared" si="8"/>
        <v>187.42000000000104</v>
      </c>
      <c r="N155" s="5">
        <f>N153-I155</f>
        <v>20.600000000000009</v>
      </c>
      <c r="O155" s="4">
        <v>46129</v>
      </c>
    </row>
    <row r="156" spans="1:15" ht="7.5" customHeight="1" x14ac:dyDescent="0.15">
      <c r="A156" s="3">
        <v>2526</v>
      </c>
      <c r="B156" s="3" t="s">
        <v>18</v>
      </c>
      <c r="C156" s="3" t="s">
        <v>19</v>
      </c>
      <c r="D156" s="3" t="s">
        <v>20</v>
      </c>
      <c r="E156" s="4">
        <v>46133.3618055556</v>
      </c>
      <c r="F156" s="3" t="s">
        <v>31</v>
      </c>
      <c r="G156" s="3" t="s">
        <v>22</v>
      </c>
      <c r="H156" s="3" t="s">
        <v>23</v>
      </c>
      <c r="I156" s="5">
        <v>0</v>
      </c>
      <c r="J156" s="5">
        <v>0</v>
      </c>
      <c r="K156" s="5">
        <v>-6.5</v>
      </c>
      <c r="L156" s="5">
        <f t="shared" si="9"/>
        <v>187.42000000000104</v>
      </c>
      <c r="M156" s="5">
        <f t="shared" si="8"/>
        <v>180.92000000000104</v>
      </c>
      <c r="N156" s="3"/>
      <c r="O156" s="4"/>
    </row>
    <row r="157" spans="1:15" ht="7.5" customHeight="1" x14ac:dyDescent="0.15">
      <c r="A157" s="3">
        <v>2527</v>
      </c>
      <c r="B157" s="3" t="s">
        <v>18</v>
      </c>
      <c r="C157" s="3" t="s">
        <v>19</v>
      </c>
      <c r="D157" s="3" t="s">
        <v>20</v>
      </c>
      <c r="E157" s="4">
        <v>46133.372222222199</v>
      </c>
      <c r="F157" s="3" t="s">
        <v>30</v>
      </c>
      <c r="G157" s="3" t="s">
        <v>22</v>
      </c>
      <c r="H157" s="3" t="s">
        <v>25</v>
      </c>
      <c r="I157" s="5">
        <v>4.9000000000000004</v>
      </c>
      <c r="J157" s="5">
        <v>0</v>
      </c>
      <c r="K157" s="5">
        <v>1.6</v>
      </c>
      <c r="L157" s="5">
        <f t="shared" si="9"/>
        <v>180.92000000000104</v>
      </c>
      <c r="M157" s="5">
        <f t="shared" si="8"/>
        <v>182.52000000000103</v>
      </c>
      <c r="N157" s="5">
        <f>50-4.9</f>
        <v>45.1</v>
      </c>
      <c r="O157" s="4">
        <v>46136</v>
      </c>
    </row>
    <row r="158" spans="1:15" ht="7.5" customHeight="1" x14ac:dyDescent="0.15">
      <c r="A158" s="3">
        <v>2528</v>
      </c>
      <c r="B158" s="3" t="s">
        <v>18</v>
      </c>
      <c r="C158" s="3" t="s">
        <v>19</v>
      </c>
      <c r="D158" s="3" t="s">
        <v>20</v>
      </c>
      <c r="E158" s="4">
        <v>46133.689583333296</v>
      </c>
      <c r="F158" s="3" t="s">
        <v>31</v>
      </c>
      <c r="G158" s="3" t="s">
        <v>26</v>
      </c>
      <c r="H158" s="3" t="s">
        <v>23</v>
      </c>
      <c r="I158" s="5">
        <v>0</v>
      </c>
      <c r="J158" s="5">
        <v>0</v>
      </c>
      <c r="K158" s="5">
        <v>-6.5</v>
      </c>
      <c r="L158" s="5">
        <f t="shared" si="9"/>
        <v>182.52000000000103</v>
      </c>
      <c r="M158" s="5">
        <f t="shared" si="8"/>
        <v>176.02000000000103</v>
      </c>
      <c r="N158" s="3"/>
      <c r="O158" s="4"/>
    </row>
    <row r="159" spans="1:15" ht="7.5" customHeight="1" x14ac:dyDescent="0.15">
      <c r="A159" s="3">
        <v>2529</v>
      </c>
      <c r="B159" s="3" t="s">
        <v>18</v>
      </c>
      <c r="C159" s="3" t="s">
        <v>19</v>
      </c>
      <c r="D159" s="3" t="s">
        <v>20</v>
      </c>
      <c r="E159" s="4">
        <v>46133.707638888904</v>
      </c>
      <c r="F159" s="3" t="s">
        <v>30</v>
      </c>
      <c r="G159" s="3" t="s">
        <v>26</v>
      </c>
      <c r="H159" s="3" t="s">
        <v>27</v>
      </c>
      <c r="I159" s="5">
        <v>4.9000000000000004</v>
      </c>
      <c r="J159" s="5">
        <v>0</v>
      </c>
      <c r="K159" s="5">
        <v>1.6</v>
      </c>
      <c r="L159" s="5">
        <f t="shared" si="9"/>
        <v>176.02000000000103</v>
      </c>
      <c r="M159" s="5">
        <f t="shared" si="8"/>
        <v>177.62000000000103</v>
      </c>
      <c r="N159" s="5">
        <f>N157-I159</f>
        <v>40.200000000000003</v>
      </c>
      <c r="O159" s="4">
        <v>46136</v>
      </c>
    </row>
    <row r="160" spans="1:15" ht="7.5" customHeight="1" x14ac:dyDescent="0.15">
      <c r="A160" s="3">
        <v>2530</v>
      </c>
      <c r="B160" s="3" t="s">
        <v>18</v>
      </c>
      <c r="C160" s="3" t="s">
        <v>19</v>
      </c>
      <c r="D160" s="3" t="s">
        <v>20</v>
      </c>
      <c r="E160" s="4">
        <v>46134.363888888904</v>
      </c>
      <c r="F160" s="3" t="s">
        <v>31</v>
      </c>
      <c r="G160" s="3" t="s">
        <v>22</v>
      </c>
      <c r="H160" s="3" t="s">
        <v>23</v>
      </c>
      <c r="I160" s="5">
        <v>0</v>
      </c>
      <c r="J160" s="5">
        <v>0</v>
      </c>
      <c r="K160" s="5">
        <v>-6.5</v>
      </c>
      <c r="L160" s="5">
        <f t="shared" si="9"/>
        <v>177.62000000000103</v>
      </c>
      <c r="M160" s="5">
        <f t="shared" si="8"/>
        <v>171.12000000000103</v>
      </c>
      <c r="N160" s="5"/>
      <c r="O160" s="4"/>
    </row>
    <row r="161" spans="1:15" ht="7.5" customHeight="1" x14ac:dyDescent="0.15">
      <c r="A161" s="3">
        <v>2531</v>
      </c>
      <c r="B161" s="3" t="s">
        <v>18</v>
      </c>
      <c r="C161" s="3" t="s">
        <v>19</v>
      </c>
      <c r="D161" s="3" t="s">
        <v>20</v>
      </c>
      <c r="E161" s="4">
        <v>46134.369444444397</v>
      </c>
      <c r="F161" s="3" t="s">
        <v>30</v>
      </c>
      <c r="G161" s="3" t="s">
        <v>22</v>
      </c>
      <c r="H161" s="3" t="s">
        <v>25</v>
      </c>
      <c r="I161" s="5">
        <v>4.9000000000000004</v>
      </c>
      <c r="J161" s="5">
        <v>0</v>
      </c>
      <c r="K161" s="5">
        <v>1.6</v>
      </c>
      <c r="L161" s="5">
        <f t="shared" si="9"/>
        <v>171.12000000000103</v>
      </c>
      <c r="M161" s="5">
        <f t="shared" si="8"/>
        <v>172.72000000000102</v>
      </c>
      <c r="N161" s="5">
        <f>N159-I161</f>
        <v>35.300000000000004</v>
      </c>
      <c r="O161" s="4">
        <v>46136</v>
      </c>
    </row>
    <row r="162" spans="1:15" ht="7.5" customHeight="1" x14ac:dyDescent="0.15">
      <c r="A162" s="3">
        <v>2532</v>
      </c>
      <c r="B162" s="3" t="s">
        <v>18</v>
      </c>
      <c r="C162" s="3" t="s">
        <v>19</v>
      </c>
      <c r="D162" s="3" t="s">
        <v>20</v>
      </c>
      <c r="E162" s="4">
        <v>46134.693055555603</v>
      </c>
      <c r="F162" s="3" t="s">
        <v>31</v>
      </c>
      <c r="G162" s="3" t="s">
        <v>26</v>
      </c>
      <c r="H162" s="3" t="s">
        <v>23</v>
      </c>
      <c r="I162" s="5">
        <v>0</v>
      </c>
      <c r="J162" s="5">
        <v>0</v>
      </c>
      <c r="K162" s="5">
        <v>-6.5</v>
      </c>
      <c r="L162" s="5">
        <f t="shared" si="9"/>
        <v>172.72000000000102</v>
      </c>
      <c r="M162" s="5">
        <f t="shared" si="8"/>
        <v>166.22000000000102</v>
      </c>
      <c r="N162" s="5"/>
      <c r="O162" s="4"/>
    </row>
    <row r="163" spans="1:15" ht="7.5" customHeight="1" x14ac:dyDescent="0.15">
      <c r="A163" s="3">
        <v>2533</v>
      </c>
      <c r="B163" s="3" t="s">
        <v>18</v>
      </c>
      <c r="C163" s="3" t="s">
        <v>19</v>
      </c>
      <c r="D163" s="3" t="s">
        <v>20</v>
      </c>
      <c r="E163" s="4">
        <v>46134.697916666701</v>
      </c>
      <c r="F163" s="3" t="s">
        <v>30</v>
      </c>
      <c r="G163" s="3" t="s">
        <v>26</v>
      </c>
      <c r="H163" s="3" t="s">
        <v>27</v>
      </c>
      <c r="I163" s="5">
        <v>4.9000000000000004</v>
      </c>
      <c r="J163" s="5">
        <v>0</v>
      </c>
      <c r="K163" s="5">
        <v>1.6</v>
      </c>
      <c r="L163" s="5">
        <f t="shared" si="9"/>
        <v>166.22000000000102</v>
      </c>
      <c r="M163" s="5">
        <f t="shared" si="8"/>
        <v>167.82000000000102</v>
      </c>
      <c r="N163" s="5">
        <f>N161-I163</f>
        <v>30.400000000000006</v>
      </c>
      <c r="O163" s="4">
        <v>46136</v>
      </c>
    </row>
    <row r="164" spans="1:15" ht="7.5" customHeight="1" x14ac:dyDescent="0.15">
      <c r="A164" s="3">
        <v>2534</v>
      </c>
      <c r="B164" s="3" t="s">
        <v>18</v>
      </c>
      <c r="C164" s="3" t="s">
        <v>19</v>
      </c>
      <c r="D164" s="3" t="s">
        <v>20</v>
      </c>
      <c r="E164" s="4">
        <v>46135.359722222202</v>
      </c>
      <c r="F164" s="3" t="s">
        <v>31</v>
      </c>
      <c r="G164" s="3" t="s">
        <v>22</v>
      </c>
      <c r="H164" s="3" t="s">
        <v>23</v>
      </c>
      <c r="I164" s="5">
        <v>0</v>
      </c>
      <c r="J164" s="5">
        <v>0</v>
      </c>
      <c r="K164" s="5">
        <v>-6.5</v>
      </c>
      <c r="L164" s="5">
        <f t="shared" si="9"/>
        <v>167.82000000000102</v>
      </c>
      <c r="M164" s="5">
        <f t="shared" si="8"/>
        <v>161.32000000000102</v>
      </c>
      <c r="N164" s="5"/>
      <c r="O164" s="4"/>
    </row>
    <row r="165" spans="1:15" ht="7.5" customHeight="1" x14ac:dyDescent="0.15">
      <c r="A165" s="3">
        <v>2535</v>
      </c>
      <c r="B165" s="3" t="s">
        <v>18</v>
      </c>
      <c r="C165" s="3" t="s">
        <v>19</v>
      </c>
      <c r="D165" s="3" t="s">
        <v>20</v>
      </c>
      <c r="E165" s="4">
        <v>46135.367361111101</v>
      </c>
      <c r="F165" s="3" t="s">
        <v>30</v>
      </c>
      <c r="G165" s="3" t="s">
        <v>22</v>
      </c>
      <c r="H165" s="3" t="s">
        <v>25</v>
      </c>
      <c r="I165" s="5">
        <v>4.9000000000000004</v>
      </c>
      <c r="J165" s="5">
        <v>0</v>
      </c>
      <c r="K165" s="5">
        <v>1.6</v>
      </c>
      <c r="L165" s="5">
        <f t="shared" si="9"/>
        <v>161.32000000000102</v>
      </c>
      <c r="M165" s="5">
        <f t="shared" si="8"/>
        <v>162.92000000000101</v>
      </c>
      <c r="N165" s="5">
        <f>N163-I165</f>
        <v>25.500000000000007</v>
      </c>
      <c r="O165" s="4">
        <v>46136</v>
      </c>
    </row>
    <row r="166" spans="1:15" ht="7.5" customHeight="1" x14ac:dyDescent="0.15">
      <c r="A166" s="3">
        <v>2536</v>
      </c>
      <c r="B166" s="3" t="s">
        <v>18</v>
      </c>
      <c r="C166" s="3" t="s">
        <v>19</v>
      </c>
      <c r="D166" s="3" t="s">
        <v>20</v>
      </c>
      <c r="E166" s="4">
        <v>46135.693749999999</v>
      </c>
      <c r="F166" s="3" t="s">
        <v>31</v>
      </c>
      <c r="G166" s="3" t="s">
        <v>26</v>
      </c>
      <c r="H166" s="3" t="s">
        <v>23</v>
      </c>
      <c r="I166" s="5">
        <v>0</v>
      </c>
      <c r="J166" s="5">
        <v>0</v>
      </c>
      <c r="K166" s="5">
        <v>-6.5</v>
      </c>
      <c r="L166" s="5">
        <f t="shared" si="9"/>
        <v>162.92000000000101</v>
      </c>
      <c r="M166" s="5">
        <f t="shared" si="8"/>
        <v>156.42000000000101</v>
      </c>
      <c r="N166" s="5"/>
      <c r="O166" s="4"/>
    </row>
    <row r="167" spans="1:15" ht="7.5" customHeight="1" x14ac:dyDescent="0.15">
      <c r="A167" s="3">
        <v>2537</v>
      </c>
      <c r="B167" s="3" t="s">
        <v>18</v>
      </c>
      <c r="C167" s="3" t="s">
        <v>19</v>
      </c>
      <c r="D167" s="3" t="s">
        <v>20</v>
      </c>
      <c r="E167" s="4">
        <v>46135.702083333301</v>
      </c>
      <c r="F167" s="3" t="s">
        <v>30</v>
      </c>
      <c r="G167" s="3" t="s">
        <v>26</v>
      </c>
      <c r="H167" s="3" t="s">
        <v>27</v>
      </c>
      <c r="I167" s="5">
        <v>4.9000000000000004</v>
      </c>
      <c r="J167" s="5">
        <v>0</v>
      </c>
      <c r="K167" s="5">
        <v>1.6</v>
      </c>
      <c r="L167" s="5">
        <f t="shared" si="9"/>
        <v>156.42000000000101</v>
      </c>
      <c r="M167" s="5">
        <f t="shared" si="8"/>
        <v>158.020000000001</v>
      </c>
      <c r="N167" s="5">
        <f>N165-I167</f>
        <v>20.600000000000009</v>
      </c>
      <c r="O167" s="4">
        <v>46136</v>
      </c>
    </row>
    <row r="168" spans="1:15" ht="7.5" customHeight="1" x14ac:dyDescent="0.15">
      <c r="A168" s="3">
        <v>2538</v>
      </c>
      <c r="B168" s="3" t="s">
        <v>18</v>
      </c>
      <c r="C168" s="3" t="s">
        <v>19</v>
      </c>
      <c r="D168" s="3" t="s">
        <v>20</v>
      </c>
      <c r="E168" s="4">
        <v>46140.359027777798</v>
      </c>
      <c r="F168" s="3" t="s">
        <v>31</v>
      </c>
      <c r="G168" s="3" t="s">
        <v>22</v>
      </c>
      <c r="H168" s="3" t="s">
        <v>23</v>
      </c>
      <c r="I168" s="5">
        <v>0</v>
      </c>
      <c r="J168" s="5">
        <v>0</v>
      </c>
      <c r="K168" s="5">
        <v>-6.5</v>
      </c>
      <c r="L168" s="5">
        <f t="shared" si="9"/>
        <v>158.020000000001</v>
      </c>
      <c r="M168" s="5">
        <f t="shared" si="8"/>
        <v>151.520000000001</v>
      </c>
      <c r="N168" s="3"/>
      <c r="O168" s="4"/>
    </row>
    <row r="169" spans="1:15" ht="7.5" customHeight="1" x14ac:dyDescent="0.15">
      <c r="A169" s="3">
        <v>2539</v>
      </c>
      <c r="B169" s="3" t="s">
        <v>18</v>
      </c>
      <c r="C169" s="3" t="s">
        <v>19</v>
      </c>
      <c r="D169" s="3" t="s">
        <v>20</v>
      </c>
      <c r="E169" s="4">
        <v>46140.368055555598</v>
      </c>
      <c r="F169" s="3" t="s">
        <v>30</v>
      </c>
      <c r="G169" s="3" t="s">
        <v>22</v>
      </c>
      <c r="H169" s="3" t="s">
        <v>25</v>
      </c>
      <c r="I169" s="5">
        <v>4.9000000000000004</v>
      </c>
      <c r="J169" s="5">
        <v>0</v>
      </c>
      <c r="K169" s="5">
        <v>1.6</v>
      </c>
      <c r="L169" s="5">
        <f t="shared" si="9"/>
        <v>151.520000000001</v>
      </c>
      <c r="M169" s="5">
        <f t="shared" si="8"/>
        <v>153.120000000001</v>
      </c>
      <c r="N169" s="5">
        <f>50-4.9</f>
        <v>45.1</v>
      </c>
      <c r="O169" s="4">
        <v>46143</v>
      </c>
    </row>
    <row r="170" spans="1:15" ht="7.5" customHeight="1" x14ac:dyDescent="0.15">
      <c r="A170" s="3">
        <v>2540</v>
      </c>
      <c r="B170" s="3" t="s">
        <v>18</v>
      </c>
      <c r="C170" s="3" t="s">
        <v>19</v>
      </c>
      <c r="D170" s="3" t="s">
        <v>20</v>
      </c>
      <c r="E170" s="4">
        <v>46140.695833333302</v>
      </c>
      <c r="F170" s="3" t="s">
        <v>31</v>
      </c>
      <c r="G170" s="3" t="s">
        <v>26</v>
      </c>
      <c r="H170" s="3" t="s">
        <v>23</v>
      </c>
      <c r="I170" s="5">
        <v>0</v>
      </c>
      <c r="J170" s="5">
        <v>0</v>
      </c>
      <c r="K170" s="5">
        <v>-6.5</v>
      </c>
      <c r="L170" s="5">
        <f t="shared" si="9"/>
        <v>153.120000000001</v>
      </c>
      <c r="M170" s="5">
        <f t="shared" si="8"/>
        <v>146.620000000001</v>
      </c>
      <c r="N170" s="3"/>
      <c r="O170" s="4"/>
    </row>
    <row r="171" spans="1:15" ht="7.5" customHeight="1" x14ac:dyDescent="0.15">
      <c r="A171" s="3">
        <v>2541</v>
      </c>
      <c r="B171" s="3" t="s">
        <v>18</v>
      </c>
      <c r="C171" s="3" t="s">
        <v>19</v>
      </c>
      <c r="D171" s="3" t="s">
        <v>20</v>
      </c>
      <c r="E171" s="4">
        <v>46140.698611111096</v>
      </c>
      <c r="F171" s="3" t="s">
        <v>30</v>
      </c>
      <c r="G171" s="3" t="s">
        <v>26</v>
      </c>
      <c r="H171" s="3" t="s">
        <v>27</v>
      </c>
      <c r="I171" s="5">
        <v>4.9000000000000004</v>
      </c>
      <c r="J171" s="5">
        <v>0</v>
      </c>
      <c r="K171" s="5">
        <v>1.6</v>
      </c>
      <c r="L171" s="5">
        <f t="shared" si="9"/>
        <v>146.620000000001</v>
      </c>
      <c r="M171" s="5">
        <f t="shared" si="8"/>
        <v>148.22000000000099</v>
      </c>
      <c r="N171" s="5">
        <f>N169-I171</f>
        <v>40.200000000000003</v>
      </c>
      <c r="O171" s="4">
        <v>46143</v>
      </c>
    </row>
    <row r="172" spans="1:15" ht="7.5" customHeight="1" x14ac:dyDescent="0.15">
      <c r="A172" s="3">
        <v>2542</v>
      </c>
      <c r="B172" s="3" t="s">
        <v>18</v>
      </c>
      <c r="C172" s="3" t="s">
        <v>19</v>
      </c>
      <c r="D172" s="3" t="s">
        <v>20</v>
      </c>
      <c r="E172" s="4">
        <v>46142.364583333299</v>
      </c>
      <c r="F172" s="3" t="s">
        <v>31</v>
      </c>
      <c r="G172" s="3" t="s">
        <v>22</v>
      </c>
      <c r="H172" s="3" t="s">
        <v>23</v>
      </c>
      <c r="I172" s="5">
        <v>0</v>
      </c>
      <c r="J172" s="5">
        <v>0</v>
      </c>
      <c r="K172" s="5">
        <v>-6.5</v>
      </c>
      <c r="L172" s="5">
        <f t="shared" si="9"/>
        <v>148.22000000000099</v>
      </c>
      <c r="M172" s="5">
        <f t="shared" si="8"/>
        <v>141.72000000000099</v>
      </c>
      <c r="N172" s="5"/>
      <c r="O172" s="4"/>
    </row>
    <row r="173" spans="1:15" ht="7.5" customHeight="1" x14ac:dyDescent="0.15">
      <c r="A173" s="3">
        <v>2543</v>
      </c>
      <c r="B173" s="3" t="s">
        <v>18</v>
      </c>
      <c r="C173" s="3" t="s">
        <v>19</v>
      </c>
      <c r="D173" s="3" t="s">
        <v>20</v>
      </c>
      <c r="E173" s="4">
        <v>46142.370138888902</v>
      </c>
      <c r="F173" s="3" t="s">
        <v>30</v>
      </c>
      <c r="G173" s="3" t="s">
        <v>22</v>
      </c>
      <c r="H173" s="3" t="s">
        <v>25</v>
      </c>
      <c r="I173" s="5">
        <v>4.9000000000000004</v>
      </c>
      <c r="J173" s="5">
        <v>0</v>
      </c>
      <c r="K173" s="5">
        <v>1.6</v>
      </c>
      <c r="L173" s="5">
        <f t="shared" si="9"/>
        <v>141.72000000000099</v>
      </c>
      <c r="M173" s="5">
        <f t="shared" si="8"/>
        <v>143.32000000000099</v>
      </c>
      <c r="N173" s="5">
        <f>N171-I173</f>
        <v>35.300000000000004</v>
      </c>
      <c r="O173" s="4">
        <v>46143</v>
      </c>
    </row>
    <row r="174" spans="1:15" ht="7.5" customHeight="1" x14ac:dyDescent="0.15">
      <c r="A174" s="3">
        <v>2544</v>
      </c>
      <c r="B174" s="3" t="s">
        <v>18</v>
      </c>
      <c r="C174" s="3" t="s">
        <v>19</v>
      </c>
      <c r="D174" s="3" t="s">
        <v>20</v>
      </c>
      <c r="E174" s="4">
        <v>46142.6875</v>
      </c>
      <c r="F174" s="3" t="s">
        <v>31</v>
      </c>
      <c r="G174" s="3" t="s">
        <v>26</v>
      </c>
      <c r="H174" s="3" t="s">
        <v>23</v>
      </c>
      <c r="I174" s="5">
        <v>0</v>
      </c>
      <c r="J174" s="5">
        <v>0</v>
      </c>
      <c r="K174" s="5">
        <v>-6.5</v>
      </c>
      <c r="L174" s="5">
        <f t="shared" si="9"/>
        <v>143.32000000000099</v>
      </c>
      <c r="M174" s="5">
        <f t="shared" si="8"/>
        <v>136.82000000000099</v>
      </c>
      <c r="N174" s="5"/>
      <c r="O174" s="3"/>
    </row>
    <row r="175" spans="1:15" ht="7.5" customHeight="1" x14ac:dyDescent="0.15">
      <c r="A175" s="3">
        <v>2545</v>
      </c>
      <c r="B175" s="3" t="s">
        <v>18</v>
      </c>
      <c r="C175" s="3" t="s">
        <v>19</v>
      </c>
      <c r="D175" s="3" t="s">
        <v>20</v>
      </c>
      <c r="E175" s="4">
        <v>46142.702083333301</v>
      </c>
      <c r="F175" s="3" t="s">
        <v>30</v>
      </c>
      <c r="G175" s="3" t="s">
        <v>26</v>
      </c>
      <c r="H175" s="3" t="s">
        <v>27</v>
      </c>
      <c r="I175" s="5">
        <v>4.9000000000000004</v>
      </c>
      <c r="J175" s="5">
        <v>0</v>
      </c>
      <c r="K175" s="5">
        <v>1.6</v>
      </c>
      <c r="L175" s="5">
        <f t="shared" si="9"/>
        <v>136.82000000000099</v>
      </c>
      <c r="M175" s="5">
        <f t="shared" si="8"/>
        <v>138.42000000000098</v>
      </c>
      <c r="N175" s="5">
        <f>N173-I175</f>
        <v>30.400000000000006</v>
      </c>
      <c r="O175" s="4">
        <v>46143</v>
      </c>
    </row>
    <row r="176" spans="1:15" ht="7.5" customHeight="1" x14ac:dyDescent="0.15">
      <c r="A176" s="3">
        <v>2546</v>
      </c>
      <c r="B176" s="3" t="s">
        <v>18</v>
      </c>
      <c r="C176" s="3" t="s">
        <v>19</v>
      </c>
      <c r="D176" s="3" t="s">
        <v>20</v>
      </c>
      <c r="E176" s="4">
        <v>46147.361111111102</v>
      </c>
      <c r="F176" s="3" t="s">
        <v>31</v>
      </c>
      <c r="G176" s="3" t="s">
        <v>22</v>
      </c>
      <c r="H176" s="3" t="s">
        <v>23</v>
      </c>
      <c r="I176" s="5">
        <v>0</v>
      </c>
      <c r="J176" s="5">
        <v>0</v>
      </c>
      <c r="K176" s="5">
        <v>-6.5</v>
      </c>
      <c r="L176" s="5">
        <f t="shared" si="9"/>
        <v>138.42000000000098</v>
      </c>
      <c r="M176" s="5">
        <f t="shared" si="8"/>
        <v>131.92000000000098</v>
      </c>
      <c r="N176" s="3"/>
      <c r="O176" s="3"/>
    </row>
    <row r="177" spans="1:15" ht="7.5" customHeight="1" x14ac:dyDescent="0.15">
      <c r="A177" s="3">
        <v>2547</v>
      </c>
      <c r="B177" s="3" t="s">
        <v>18</v>
      </c>
      <c r="C177" s="3" t="s">
        <v>19</v>
      </c>
      <c r="D177" s="3" t="s">
        <v>20</v>
      </c>
      <c r="E177" s="4">
        <v>46147.371527777803</v>
      </c>
      <c r="F177" s="3" t="s">
        <v>30</v>
      </c>
      <c r="G177" s="3" t="s">
        <v>22</v>
      </c>
      <c r="H177" s="3" t="s">
        <v>25</v>
      </c>
      <c r="I177" s="5">
        <v>4.9000000000000004</v>
      </c>
      <c r="J177" s="5">
        <v>0</v>
      </c>
      <c r="K177" s="5">
        <v>1.6</v>
      </c>
      <c r="L177" s="5">
        <f t="shared" si="9"/>
        <v>131.92000000000098</v>
      </c>
      <c r="M177" s="5">
        <f t="shared" si="8"/>
        <v>133.52000000000098</v>
      </c>
      <c r="N177" s="5">
        <f>50-4.9</f>
        <v>45.1</v>
      </c>
      <c r="O177" s="4">
        <v>46150</v>
      </c>
    </row>
    <row r="178" spans="1:15" ht="7.5" customHeight="1" x14ac:dyDescent="0.15">
      <c r="A178" s="3">
        <v>2548</v>
      </c>
      <c r="B178" s="3" t="s">
        <v>18</v>
      </c>
      <c r="C178" s="3" t="s">
        <v>19</v>
      </c>
      <c r="D178" s="3" t="s">
        <v>20</v>
      </c>
      <c r="E178" s="4">
        <v>46147.693749999999</v>
      </c>
      <c r="F178" s="3" t="s">
        <v>31</v>
      </c>
      <c r="G178" s="3" t="s">
        <v>26</v>
      </c>
      <c r="H178" s="3" t="s">
        <v>23</v>
      </c>
      <c r="I178" s="5">
        <v>0</v>
      </c>
      <c r="J178" s="5">
        <v>0</v>
      </c>
      <c r="K178" s="5">
        <v>-6.5</v>
      </c>
      <c r="L178" s="5">
        <f t="shared" si="9"/>
        <v>133.52000000000098</v>
      </c>
      <c r="M178" s="5">
        <f t="shared" si="8"/>
        <v>127.02000000000098</v>
      </c>
      <c r="N178" s="3"/>
      <c r="O178" s="3"/>
    </row>
    <row r="179" spans="1:15" ht="7.5" customHeight="1" x14ac:dyDescent="0.15">
      <c r="A179" s="3">
        <v>2549</v>
      </c>
      <c r="B179" s="3" t="s">
        <v>18</v>
      </c>
      <c r="C179" s="3" t="s">
        <v>19</v>
      </c>
      <c r="D179" s="3" t="s">
        <v>20</v>
      </c>
      <c r="E179" s="4">
        <v>46147.7055555556</v>
      </c>
      <c r="F179" s="3" t="s">
        <v>30</v>
      </c>
      <c r="G179" s="3" t="s">
        <v>26</v>
      </c>
      <c r="H179" s="3" t="s">
        <v>27</v>
      </c>
      <c r="I179" s="5">
        <v>4.9000000000000004</v>
      </c>
      <c r="J179" s="5">
        <v>0</v>
      </c>
      <c r="K179" s="5">
        <v>1.6</v>
      </c>
      <c r="L179" s="5">
        <f t="shared" si="9"/>
        <v>127.02000000000098</v>
      </c>
      <c r="M179" s="5">
        <f t="shared" si="8"/>
        <v>128.62000000000097</v>
      </c>
      <c r="N179" s="5">
        <f>N177-I179</f>
        <v>40.200000000000003</v>
      </c>
      <c r="O179" s="4">
        <v>46150</v>
      </c>
    </row>
    <row r="180" spans="1:15" ht="7.5" customHeight="1" x14ac:dyDescent="0.15">
      <c r="A180" s="3">
        <v>2550</v>
      </c>
      <c r="B180" s="3" t="s">
        <v>18</v>
      </c>
      <c r="C180" s="3" t="s">
        <v>19</v>
      </c>
      <c r="D180" s="3" t="s">
        <v>20</v>
      </c>
      <c r="E180" s="4">
        <v>46148.3659722222</v>
      </c>
      <c r="F180" s="3" t="s">
        <v>31</v>
      </c>
      <c r="G180" s="3" t="s">
        <v>22</v>
      </c>
      <c r="H180" s="3" t="s">
        <v>23</v>
      </c>
      <c r="I180" s="5">
        <v>0</v>
      </c>
      <c r="J180" s="5">
        <v>0</v>
      </c>
      <c r="K180" s="5">
        <v>-6.5</v>
      </c>
      <c r="L180" s="5">
        <f t="shared" si="9"/>
        <v>128.62000000000097</v>
      </c>
      <c r="M180" s="5">
        <f t="shared" si="8"/>
        <v>122.12000000000097</v>
      </c>
      <c r="N180" s="5"/>
      <c r="O180" s="3"/>
    </row>
    <row r="181" spans="1:15" ht="7.5" customHeight="1" x14ac:dyDescent="0.15">
      <c r="A181" s="3">
        <v>2551</v>
      </c>
      <c r="B181" s="3" t="s">
        <v>18</v>
      </c>
      <c r="C181" s="3" t="s">
        <v>19</v>
      </c>
      <c r="D181" s="3" t="s">
        <v>20</v>
      </c>
      <c r="E181" s="4">
        <v>46148.367361111101</v>
      </c>
      <c r="F181" s="3" t="s">
        <v>30</v>
      </c>
      <c r="G181" s="3" t="s">
        <v>22</v>
      </c>
      <c r="H181" s="3" t="s">
        <v>25</v>
      </c>
      <c r="I181" s="5">
        <v>4.9000000000000004</v>
      </c>
      <c r="J181" s="5">
        <v>0</v>
      </c>
      <c r="K181" s="5">
        <v>1.6</v>
      </c>
      <c r="L181" s="5">
        <f t="shared" si="9"/>
        <v>122.12000000000097</v>
      </c>
      <c r="M181" s="5">
        <f t="shared" si="8"/>
        <v>123.72000000000097</v>
      </c>
      <c r="N181" s="5">
        <f>N179-I181</f>
        <v>35.300000000000004</v>
      </c>
      <c r="O181" s="4">
        <v>46150</v>
      </c>
    </row>
    <row r="182" spans="1:15" ht="7.5" customHeight="1" x14ac:dyDescent="0.15">
      <c r="A182" s="3">
        <v>2552</v>
      </c>
      <c r="B182" s="3" t="s">
        <v>18</v>
      </c>
      <c r="C182" s="3" t="s">
        <v>19</v>
      </c>
      <c r="D182" s="3" t="s">
        <v>20</v>
      </c>
      <c r="E182" s="4">
        <v>46148.690277777801</v>
      </c>
      <c r="F182" s="3" t="s">
        <v>21</v>
      </c>
      <c r="G182" s="3" t="s">
        <v>26</v>
      </c>
      <c r="H182" s="3" t="s">
        <v>23</v>
      </c>
      <c r="I182" s="5">
        <v>0</v>
      </c>
      <c r="J182" s="5">
        <v>0</v>
      </c>
      <c r="K182" s="5">
        <v>-6.5</v>
      </c>
      <c r="L182" s="5">
        <f t="shared" si="9"/>
        <v>123.72000000000097</v>
      </c>
      <c r="M182" s="5">
        <f t="shared" si="8"/>
        <v>117.22000000000097</v>
      </c>
      <c r="N182" s="5"/>
      <c r="O182" s="3"/>
    </row>
    <row r="183" spans="1:15" ht="7.5" customHeight="1" x14ac:dyDescent="0.15">
      <c r="A183" s="3">
        <v>2553</v>
      </c>
      <c r="B183" s="3" t="s">
        <v>18</v>
      </c>
      <c r="C183" s="3" t="s">
        <v>19</v>
      </c>
      <c r="D183" s="3" t="s">
        <v>20</v>
      </c>
      <c r="E183" s="4">
        <v>46148.698611111096</v>
      </c>
      <c r="F183" s="3" t="s">
        <v>24</v>
      </c>
      <c r="G183" s="3" t="s">
        <v>26</v>
      </c>
      <c r="H183" s="3" t="s">
        <v>27</v>
      </c>
      <c r="I183" s="5">
        <v>4.9000000000000004</v>
      </c>
      <c r="J183" s="5">
        <v>0</v>
      </c>
      <c r="K183" s="5">
        <v>1.6</v>
      </c>
      <c r="L183" s="5">
        <f t="shared" si="9"/>
        <v>117.22000000000097</v>
      </c>
      <c r="M183" s="5">
        <f t="shared" si="8"/>
        <v>118.82000000000096</v>
      </c>
      <c r="N183" s="5">
        <f>N181-I183</f>
        <v>30.400000000000006</v>
      </c>
      <c r="O183" s="4">
        <v>46150</v>
      </c>
    </row>
    <row r="184" spans="1:15" ht="7.5" customHeight="1" x14ac:dyDescent="0.15">
      <c r="A184" s="3">
        <v>2554</v>
      </c>
      <c r="B184" s="3" t="s">
        <v>18</v>
      </c>
      <c r="C184" s="3" t="s">
        <v>19</v>
      </c>
      <c r="D184" s="3" t="s">
        <v>20</v>
      </c>
      <c r="E184" s="4">
        <v>46149.357638888898</v>
      </c>
      <c r="F184" s="3" t="s">
        <v>21</v>
      </c>
      <c r="G184" s="3" t="s">
        <v>22</v>
      </c>
      <c r="H184" s="3" t="s">
        <v>23</v>
      </c>
      <c r="I184" s="5">
        <v>0</v>
      </c>
      <c r="J184" s="5">
        <v>0</v>
      </c>
      <c r="K184" s="5">
        <v>-6.5</v>
      </c>
      <c r="L184" s="5">
        <f t="shared" si="9"/>
        <v>118.82000000000096</v>
      </c>
      <c r="M184" s="5">
        <f t="shared" si="8"/>
        <v>112.32000000000096</v>
      </c>
      <c r="N184" s="5"/>
      <c r="O184" s="3"/>
    </row>
    <row r="185" spans="1:15" ht="7.5" customHeight="1" x14ac:dyDescent="0.15">
      <c r="A185" s="3">
        <v>2555</v>
      </c>
      <c r="B185" s="3" t="s">
        <v>18</v>
      </c>
      <c r="C185" s="3" t="s">
        <v>19</v>
      </c>
      <c r="D185" s="3" t="s">
        <v>20</v>
      </c>
      <c r="E185" s="4">
        <v>46149.372916666704</v>
      </c>
      <c r="F185" s="3" t="s">
        <v>24</v>
      </c>
      <c r="G185" s="3" t="s">
        <v>22</v>
      </c>
      <c r="H185" s="3" t="s">
        <v>25</v>
      </c>
      <c r="I185" s="5">
        <v>4.9000000000000004</v>
      </c>
      <c r="J185" s="5">
        <v>0</v>
      </c>
      <c r="K185" s="5">
        <v>1.6</v>
      </c>
      <c r="L185" s="5">
        <f t="shared" si="9"/>
        <v>112.32000000000096</v>
      </c>
      <c r="M185" s="5">
        <f t="shared" si="8"/>
        <v>113.92000000000095</v>
      </c>
      <c r="N185" s="5">
        <f>N183-I185</f>
        <v>25.500000000000007</v>
      </c>
      <c r="O185" s="4">
        <v>46150</v>
      </c>
    </row>
    <row r="186" spans="1:15" ht="7.5" customHeight="1" x14ac:dyDescent="0.15">
      <c r="A186" s="3">
        <v>2556</v>
      </c>
      <c r="B186" s="3" t="s">
        <v>18</v>
      </c>
      <c r="C186" s="3" t="s">
        <v>19</v>
      </c>
      <c r="D186" s="3" t="s">
        <v>20</v>
      </c>
      <c r="E186" s="4">
        <v>46149.695138888899</v>
      </c>
      <c r="F186" s="3" t="s">
        <v>21</v>
      </c>
      <c r="G186" s="3" t="s">
        <v>26</v>
      </c>
      <c r="H186" s="3" t="s">
        <v>23</v>
      </c>
      <c r="I186" s="5">
        <v>0</v>
      </c>
      <c r="J186" s="5">
        <v>0</v>
      </c>
      <c r="K186" s="5">
        <v>-6.5</v>
      </c>
      <c r="L186" s="5">
        <f t="shared" si="9"/>
        <v>113.92000000000095</v>
      </c>
      <c r="M186" s="5">
        <f t="shared" si="8"/>
        <v>107.42000000000095</v>
      </c>
      <c r="N186" s="5"/>
      <c r="O186" s="3"/>
    </row>
    <row r="187" spans="1:15" ht="7.5" customHeight="1" x14ac:dyDescent="0.15">
      <c r="A187" s="3">
        <v>2557</v>
      </c>
      <c r="B187" s="3" t="s">
        <v>18</v>
      </c>
      <c r="C187" s="3" t="s">
        <v>19</v>
      </c>
      <c r="D187" s="3" t="s">
        <v>20</v>
      </c>
      <c r="E187" s="4">
        <v>46149.7</v>
      </c>
      <c r="F187" s="3" t="s">
        <v>30</v>
      </c>
      <c r="G187" s="3" t="s">
        <v>26</v>
      </c>
      <c r="H187" s="3" t="s">
        <v>27</v>
      </c>
      <c r="I187" s="5">
        <v>4.9000000000000004</v>
      </c>
      <c r="J187" s="5">
        <v>0</v>
      </c>
      <c r="K187" s="5">
        <v>1.6</v>
      </c>
      <c r="L187" s="5">
        <f t="shared" ref="L187:L194" si="10">M186</f>
        <v>107.42000000000095</v>
      </c>
      <c r="M187" s="5">
        <f t="shared" ref="M187:M194" si="11">L187+K187</f>
        <v>109.02000000000095</v>
      </c>
      <c r="N187" s="5">
        <f>N185-I187</f>
        <v>20.600000000000009</v>
      </c>
      <c r="O187" s="4">
        <v>46150</v>
      </c>
    </row>
    <row r="188" spans="1:15" ht="7.5" customHeight="1" x14ac:dyDescent="0.15">
      <c r="A188" s="3">
        <v>2558</v>
      </c>
      <c r="B188" s="3" t="s">
        <v>18</v>
      </c>
      <c r="C188" s="3" t="s">
        <v>19</v>
      </c>
      <c r="D188" s="3" t="s">
        <v>20</v>
      </c>
      <c r="E188" s="4">
        <v>46154.357638888898</v>
      </c>
      <c r="F188" s="3" t="s">
        <v>31</v>
      </c>
      <c r="G188" s="3" t="s">
        <v>22</v>
      </c>
      <c r="H188" s="3" t="s">
        <v>23</v>
      </c>
      <c r="I188" s="5">
        <v>0</v>
      </c>
      <c r="J188" s="5">
        <v>0</v>
      </c>
      <c r="K188" s="5">
        <v>-6.5</v>
      </c>
      <c r="L188" s="5">
        <f t="shared" si="10"/>
        <v>109.02000000000095</v>
      </c>
      <c r="M188" s="5">
        <f t="shared" si="11"/>
        <v>102.52000000000095</v>
      </c>
      <c r="N188" s="3"/>
      <c r="O188" s="3"/>
    </row>
    <row r="189" spans="1:15" ht="7.5" customHeight="1" x14ac:dyDescent="0.15">
      <c r="A189" s="3">
        <v>2559</v>
      </c>
      <c r="B189" s="3" t="s">
        <v>18</v>
      </c>
      <c r="C189" s="3" t="s">
        <v>19</v>
      </c>
      <c r="D189" s="3" t="s">
        <v>20</v>
      </c>
      <c r="E189" s="4">
        <v>46154.369444444397</v>
      </c>
      <c r="F189" s="3" t="s">
        <v>30</v>
      </c>
      <c r="G189" s="3" t="s">
        <v>22</v>
      </c>
      <c r="H189" s="3" t="s">
        <v>25</v>
      </c>
      <c r="I189" s="5">
        <v>4.9000000000000004</v>
      </c>
      <c r="J189" s="5">
        <v>0</v>
      </c>
      <c r="K189" s="5">
        <v>1.6</v>
      </c>
      <c r="L189" s="5">
        <f t="shared" si="10"/>
        <v>102.52000000000095</v>
      </c>
      <c r="M189" s="5">
        <f t="shared" si="11"/>
        <v>104.12000000000094</v>
      </c>
      <c r="N189" s="5">
        <f>50-4.9</f>
        <v>45.1</v>
      </c>
      <c r="O189" s="4">
        <v>46157</v>
      </c>
    </row>
    <row r="190" spans="1:15" ht="7.5" customHeight="1" x14ac:dyDescent="0.15">
      <c r="A190" s="3">
        <v>2560</v>
      </c>
      <c r="B190" s="3" t="s">
        <v>18</v>
      </c>
      <c r="C190" s="3" t="s">
        <v>19</v>
      </c>
      <c r="D190" s="3" t="s">
        <v>20</v>
      </c>
      <c r="E190" s="4">
        <v>46154.693055555603</v>
      </c>
      <c r="F190" s="3" t="s">
        <v>31</v>
      </c>
      <c r="G190" s="3" t="s">
        <v>26</v>
      </c>
      <c r="H190" s="3" t="s">
        <v>23</v>
      </c>
      <c r="I190" s="5">
        <v>0</v>
      </c>
      <c r="J190" s="5">
        <v>0</v>
      </c>
      <c r="K190" s="5">
        <v>-6.5</v>
      </c>
      <c r="L190" s="5">
        <f t="shared" si="10"/>
        <v>104.12000000000094</v>
      </c>
      <c r="M190" s="5">
        <f t="shared" si="11"/>
        <v>97.620000000000942</v>
      </c>
      <c r="N190" s="3"/>
      <c r="O190" s="3"/>
    </row>
    <row r="191" spans="1:15" ht="7.5" customHeight="1" x14ac:dyDescent="0.15">
      <c r="A191" s="3">
        <v>2561</v>
      </c>
      <c r="B191" s="3" t="s">
        <v>18</v>
      </c>
      <c r="C191" s="3" t="s">
        <v>19</v>
      </c>
      <c r="D191" s="3" t="s">
        <v>20</v>
      </c>
      <c r="E191" s="4">
        <v>46154.704166666699</v>
      </c>
      <c r="F191" s="3" t="s">
        <v>30</v>
      </c>
      <c r="G191" s="3" t="s">
        <v>26</v>
      </c>
      <c r="H191" s="3" t="s">
        <v>27</v>
      </c>
      <c r="I191" s="5">
        <v>4.9000000000000004</v>
      </c>
      <c r="J191" s="5">
        <v>0</v>
      </c>
      <c r="K191" s="5">
        <v>1.6</v>
      </c>
      <c r="L191" s="5">
        <f t="shared" si="10"/>
        <v>97.620000000000942</v>
      </c>
      <c r="M191" s="5">
        <f t="shared" si="11"/>
        <v>99.220000000000937</v>
      </c>
      <c r="N191" s="5">
        <f>N189-I191</f>
        <v>40.200000000000003</v>
      </c>
      <c r="O191" s="4">
        <v>46157</v>
      </c>
    </row>
    <row r="192" spans="1:15" ht="7.5" customHeight="1" x14ac:dyDescent="0.15">
      <c r="A192" s="3">
        <v>2562</v>
      </c>
      <c r="B192" s="3" t="s">
        <v>18</v>
      </c>
      <c r="C192" s="3" t="s">
        <v>19</v>
      </c>
      <c r="D192" s="3" t="s">
        <v>20</v>
      </c>
      <c r="E192" s="4">
        <v>46155.357638888898</v>
      </c>
      <c r="F192" s="3" t="s">
        <v>31</v>
      </c>
      <c r="G192" s="3" t="s">
        <v>22</v>
      </c>
      <c r="H192" s="3" t="s">
        <v>23</v>
      </c>
      <c r="I192" s="5">
        <v>0</v>
      </c>
      <c r="J192" s="5">
        <v>0</v>
      </c>
      <c r="K192" s="5">
        <v>-6.5</v>
      </c>
      <c r="L192" s="5">
        <f t="shared" si="10"/>
        <v>99.220000000000937</v>
      </c>
      <c r="M192" s="5">
        <f t="shared" si="11"/>
        <v>92.720000000000937</v>
      </c>
      <c r="N192" s="5"/>
      <c r="O192" s="3"/>
    </row>
    <row r="193" spans="1:15" ht="7.5" customHeight="1" x14ac:dyDescent="0.15">
      <c r="A193" s="3">
        <v>2563</v>
      </c>
      <c r="B193" s="3" t="s">
        <v>18</v>
      </c>
      <c r="C193" s="3" t="s">
        <v>19</v>
      </c>
      <c r="D193" s="3" t="s">
        <v>20</v>
      </c>
      <c r="E193" s="4">
        <v>46155.371527777803</v>
      </c>
      <c r="F193" s="3" t="s">
        <v>30</v>
      </c>
      <c r="G193" s="3" t="s">
        <v>22</v>
      </c>
      <c r="H193" s="3" t="s">
        <v>25</v>
      </c>
      <c r="I193" s="5">
        <v>4.9000000000000004</v>
      </c>
      <c r="J193" s="5">
        <v>0</v>
      </c>
      <c r="K193" s="5">
        <v>1.6</v>
      </c>
      <c r="L193" s="5">
        <f t="shared" si="10"/>
        <v>92.720000000000937</v>
      </c>
      <c r="M193" s="5">
        <f t="shared" si="11"/>
        <v>94.320000000000931</v>
      </c>
      <c r="N193" s="5">
        <f>N191-I193</f>
        <v>35.300000000000004</v>
      </c>
      <c r="O193" s="4">
        <v>46157</v>
      </c>
    </row>
    <row r="194" spans="1:15" ht="7.5" customHeight="1" x14ac:dyDescent="0.15">
      <c r="A194" s="3">
        <v>2564</v>
      </c>
      <c r="B194" s="3" t="s">
        <v>18</v>
      </c>
      <c r="C194" s="3" t="s">
        <v>19</v>
      </c>
      <c r="D194" s="3" t="s">
        <v>20</v>
      </c>
      <c r="E194" s="4">
        <v>46155.692361111098</v>
      </c>
      <c r="F194" s="3" t="s">
        <v>31</v>
      </c>
      <c r="G194" s="3" t="s">
        <v>26</v>
      </c>
      <c r="H194" s="3" t="s">
        <v>23</v>
      </c>
      <c r="I194" s="5">
        <v>0</v>
      </c>
      <c r="J194" s="5">
        <v>0</v>
      </c>
      <c r="K194" s="5">
        <v>-6.5</v>
      </c>
      <c r="L194" s="5">
        <f t="shared" si="10"/>
        <v>94.320000000000931</v>
      </c>
      <c r="M194" s="5">
        <f t="shared" si="11"/>
        <v>87.820000000000931</v>
      </c>
      <c r="N194" s="5"/>
      <c r="O194" s="3"/>
    </row>
    <row r="195" spans="1:15" ht="7.5" customHeight="1" x14ac:dyDescent="0.15"/>
    <row r="196" spans="1:15" ht="7.5" customHeight="1" x14ac:dyDescent="0.15"/>
    <row r="197" spans="1:15" ht="7.5" customHeight="1" x14ac:dyDescent="0.15"/>
    <row r="198" spans="1:15" ht="7.5" customHeight="1" x14ac:dyDescent="0.15"/>
    <row r="199" spans="1:15" ht="7.5" customHeight="1" x14ac:dyDescent="0.15"/>
    <row r="200" spans="1:15" ht="7.5" customHeight="1" x14ac:dyDescent="0.15"/>
    <row r="201" spans="1:15" ht="7.5" customHeight="1" x14ac:dyDescent="0.15">
      <c r="A201" s="3">
        <v>2565</v>
      </c>
      <c r="B201" s="3" t="s">
        <v>18</v>
      </c>
      <c r="C201" s="3" t="s">
        <v>19</v>
      </c>
      <c r="D201" s="3" t="s">
        <v>20</v>
      </c>
      <c r="E201" s="4">
        <v>46155.701388888898</v>
      </c>
      <c r="F201" s="3" t="s">
        <v>30</v>
      </c>
      <c r="G201" s="3" t="s">
        <v>26</v>
      </c>
      <c r="H201" s="3" t="s">
        <v>27</v>
      </c>
      <c r="I201" s="5">
        <v>4.9000000000000004</v>
      </c>
      <c r="J201" s="5">
        <v>0</v>
      </c>
      <c r="K201" s="5">
        <v>1.6</v>
      </c>
      <c r="L201" s="5">
        <f>M194</f>
        <v>87.820000000000931</v>
      </c>
      <c r="M201" s="5">
        <f t="shared" ref="M201:M260" si="12">L201+K201</f>
        <v>89.420000000000925</v>
      </c>
      <c r="N201" s="5">
        <f>N193-I201</f>
        <v>30.400000000000006</v>
      </c>
      <c r="O201" s="4">
        <v>46157</v>
      </c>
    </row>
    <row r="202" spans="1:15" ht="7.5" customHeight="1" x14ac:dyDescent="0.15">
      <c r="A202" s="3">
        <v>2566</v>
      </c>
      <c r="B202" s="3" t="s">
        <v>18</v>
      </c>
      <c r="C202" s="3" t="s">
        <v>19</v>
      </c>
      <c r="D202" s="3" t="s">
        <v>20</v>
      </c>
      <c r="E202" s="4">
        <v>46156.357638888898</v>
      </c>
      <c r="F202" s="3" t="s">
        <v>31</v>
      </c>
      <c r="G202" s="3" t="s">
        <v>22</v>
      </c>
      <c r="H202" s="3" t="s">
        <v>23</v>
      </c>
      <c r="I202" s="5">
        <v>0</v>
      </c>
      <c r="J202" s="5">
        <v>0</v>
      </c>
      <c r="K202" s="5">
        <v>-6.5</v>
      </c>
      <c r="L202" s="5">
        <f>M201</f>
        <v>89.420000000000925</v>
      </c>
      <c r="M202" s="5">
        <f t="shared" si="12"/>
        <v>82.920000000000925</v>
      </c>
      <c r="N202" s="5"/>
      <c r="O202" s="3"/>
    </row>
    <row r="203" spans="1:15" ht="7.5" customHeight="1" x14ac:dyDescent="0.15">
      <c r="A203" s="3">
        <v>2567</v>
      </c>
      <c r="B203" s="3" t="s">
        <v>18</v>
      </c>
      <c r="C203" s="3" t="s">
        <v>19</v>
      </c>
      <c r="D203" s="3" t="s">
        <v>20</v>
      </c>
      <c r="E203" s="4">
        <v>46156.367361111101</v>
      </c>
      <c r="F203" s="3" t="s">
        <v>30</v>
      </c>
      <c r="G203" s="3" t="s">
        <v>22</v>
      </c>
      <c r="H203" s="3" t="s">
        <v>25</v>
      </c>
      <c r="I203" s="5">
        <v>4.9000000000000004</v>
      </c>
      <c r="J203" s="5">
        <v>0</v>
      </c>
      <c r="K203" s="5">
        <v>1.6</v>
      </c>
      <c r="L203" s="5">
        <f t="shared" ref="L203:L260" si="13">M202</f>
        <v>82.920000000000925</v>
      </c>
      <c r="M203" s="5">
        <f t="shared" si="12"/>
        <v>84.52000000000092</v>
      </c>
      <c r="N203" s="5">
        <f>N201-I203</f>
        <v>25.500000000000007</v>
      </c>
      <c r="O203" s="4">
        <v>46157</v>
      </c>
    </row>
    <row r="204" spans="1:15" ht="7.5" customHeight="1" x14ac:dyDescent="0.15">
      <c r="A204" s="3">
        <v>2568</v>
      </c>
      <c r="B204" s="3" t="s">
        <v>18</v>
      </c>
      <c r="C204" s="3" t="s">
        <v>19</v>
      </c>
      <c r="D204" s="3" t="s">
        <v>20</v>
      </c>
      <c r="E204" s="4">
        <v>46156.692361111098</v>
      </c>
      <c r="F204" s="3" t="s">
        <v>31</v>
      </c>
      <c r="G204" s="3" t="s">
        <v>26</v>
      </c>
      <c r="H204" s="3" t="s">
        <v>23</v>
      </c>
      <c r="I204" s="5">
        <v>0</v>
      </c>
      <c r="J204" s="5">
        <v>0</v>
      </c>
      <c r="K204" s="5">
        <v>-6.5</v>
      </c>
      <c r="L204" s="5">
        <f t="shared" si="13"/>
        <v>84.52000000000092</v>
      </c>
      <c r="M204" s="5">
        <f t="shared" si="12"/>
        <v>78.02000000000092</v>
      </c>
      <c r="N204" s="5"/>
      <c r="O204" s="3"/>
    </row>
    <row r="205" spans="1:15" ht="7.5" customHeight="1" x14ac:dyDescent="0.15">
      <c r="A205" s="3">
        <v>2569</v>
      </c>
      <c r="B205" s="3" t="s">
        <v>18</v>
      </c>
      <c r="C205" s="3" t="s">
        <v>19</v>
      </c>
      <c r="D205" s="3" t="s">
        <v>20</v>
      </c>
      <c r="E205" s="4">
        <v>46156.697916666701</v>
      </c>
      <c r="F205" s="3" t="s">
        <v>30</v>
      </c>
      <c r="G205" s="3" t="s">
        <v>26</v>
      </c>
      <c r="H205" s="3" t="s">
        <v>27</v>
      </c>
      <c r="I205" s="5">
        <v>4.9000000000000004</v>
      </c>
      <c r="J205" s="5">
        <v>0</v>
      </c>
      <c r="K205" s="5">
        <v>1.6</v>
      </c>
      <c r="L205" s="5">
        <f t="shared" si="13"/>
        <v>78.02000000000092</v>
      </c>
      <c r="M205" s="5">
        <f t="shared" si="12"/>
        <v>79.620000000000914</v>
      </c>
      <c r="N205" s="5">
        <f>N203-I205</f>
        <v>20.600000000000009</v>
      </c>
      <c r="O205" s="4">
        <v>46157</v>
      </c>
    </row>
    <row r="206" spans="1:15" ht="7.5" customHeight="1" x14ac:dyDescent="0.15">
      <c r="A206" s="3">
        <v>2570</v>
      </c>
      <c r="B206" s="3" t="s">
        <v>18</v>
      </c>
      <c r="C206" s="3" t="s">
        <v>19</v>
      </c>
      <c r="D206" s="3" t="s">
        <v>20</v>
      </c>
      <c r="E206" s="4">
        <v>46161.359027777798</v>
      </c>
      <c r="F206" s="3" t="s">
        <v>31</v>
      </c>
      <c r="G206" s="3" t="s">
        <v>22</v>
      </c>
      <c r="H206" s="3" t="s">
        <v>23</v>
      </c>
      <c r="I206" s="5">
        <v>0</v>
      </c>
      <c r="J206" s="5">
        <v>0</v>
      </c>
      <c r="K206" s="5">
        <v>-6.5</v>
      </c>
      <c r="L206" s="5">
        <f t="shared" si="13"/>
        <v>79.620000000000914</v>
      </c>
      <c r="M206" s="5">
        <f t="shared" si="12"/>
        <v>73.120000000000914</v>
      </c>
      <c r="N206" s="3"/>
      <c r="O206" s="3"/>
    </row>
    <row r="207" spans="1:15" ht="7.5" customHeight="1" x14ac:dyDescent="0.15">
      <c r="A207" s="3">
        <v>2571</v>
      </c>
      <c r="B207" s="3" t="s">
        <v>18</v>
      </c>
      <c r="C207" s="3" t="s">
        <v>19</v>
      </c>
      <c r="D207" s="3" t="s">
        <v>20</v>
      </c>
      <c r="E207" s="4">
        <v>46161.372222222199</v>
      </c>
      <c r="F207" s="3" t="s">
        <v>30</v>
      </c>
      <c r="G207" s="3" t="s">
        <v>22</v>
      </c>
      <c r="H207" s="3" t="s">
        <v>25</v>
      </c>
      <c r="I207" s="5">
        <v>4.9000000000000004</v>
      </c>
      <c r="J207" s="5">
        <v>0</v>
      </c>
      <c r="K207" s="5">
        <v>1.6</v>
      </c>
      <c r="L207" s="5">
        <f t="shared" si="13"/>
        <v>73.120000000000914</v>
      </c>
      <c r="M207" s="5">
        <f t="shared" si="12"/>
        <v>74.720000000000908</v>
      </c>
      <c r="N207" s="5">
        <f>50-4.9</f>
        <v>45.1</v>
      </c>
      <c r="O207" s="4">
        <v>46166</v>
      </c>
    </row>
    <row r="208" spans="1:15" ht="7.5" customHeight="1" x14ac:dyDescent="0.15">
      <c r="A208" s="3">
        <v>2572</v>
      </c>
      <c r="B208" s="3" t="s">
        <v>18</v>
      </c>
      <c r="C208" s="3" t="s">
        <v>19</v>
      </c>
      <c r="D208" s="3" t="s">
        <v>20</v>
      </c>
      <c r="E208" s="4">
        <v>46161.694444444503</v>
      </c>
      <c r="F208" s="3" t="s">
        <v>31</v>
      </c>
      <c r="G208" s="3" t="s">
        <v>26</v>
      </c>
      <c r="H208" s="3" t="s">
        <v>23</v>
      </c>
      <c r="I208" s="5">
        <v>0</v>
      </c>
      <c r="J208" s="5">
        <v>0</v>
      </c>
      <c r="K208" s="5">
        <v>-6.5</v>
      </c>
      <c r="L208" s="5">
        <f t="shared" si="13"/>
        <v>74.720000000000908</v>
      </c>
      <c r="M208" s="5">
        <f t="shared" si="12"/>
        <v>68.220000000000908</v>
      </c>
      <c r="N208" s="3"/>
      <c r="O208" s="3"/>
    </row>
    <row r="209" spans="1:15" ht="7.5" customHeight="1" x14ac:dyDescent="0.15">
      <c r="A209" s="3">
        <v>2573</v>
      </c>
      <c r="B209" s="3" t="s">
        <v>18</v>
      </c>
      <c r="C209" s="3" t="s">
        <v>19</v>
      </c>
      <c r="D209" s="3" t="s">
        <v>20</v>
      </c>
      <c r="E209" s="4">
        <v>46161.702777777798</v>
      </c>
      <c r="F209" s="3" t="s">
        <v>30</v>
      </c>
      <c r="G209" s="3" t="s">
        <v>26</v>
      </c>
      <c r="H209" s="3" t="s">
        <v>27</v>
      </c>
      <c r="I209" s="5">
        <v>4.9000000000000004</v>
      </c>
      <c r="J209" s="5">
        <v>0</v>
      </c>
      <c r="K209" s="5">
        <v>1.6</v>
      </c>
      <c r="L209" s="5">
        <f t="shared" si="13"/>
        <v>68.220000000000908</v>
      </c>
      <c r="M209" s="5">
        <f t="shared" si="12"/>
        <v>69.820000000000903</v>
      </c>
      <c r="N209" s="5">
        <f>N207-I209</f>
        <v>40.200000000000003</v>
      </c>
      <c r="O209" s="4">
        <v>46166</v>
      </c>
    </row>
    <row r="210" spans="1:15" ht="7.5" customHeight="1" x14ac:dyDescent="0.15">
      <c r="A210" s="3">
        <v>2574</v>
      </c>
      <c r="B210" s="3" t="s">
        <v>18</v>
      </c>
      <c r="C210" s="3" t="s">
        <v>19</v>
      </c>
      <c r="D210" s="3" t="s">
        <v>20</v>
      </c>
      <c r="E210" s="4">
        <v>46162.359027777798</v>
      </c>
      <c r="F210" s="3" t="s">
        <v>31</v>
      </c>
      <c r="G210" s="3" t="s">
        <v>22</v>
      </c>
      <c r="H210" s="3" t="s">
        <v>23</v>
      </c>
      <c r="I210" s="5">
        <v>0</v>
      </c>
      <c r="J210" s="5">
        <v>0</v>
      </c>
      <c r="K210" s="5">
        <v>-6.5</v>
      </c>
      <c r="L210" s="5">
        <f t="shared" si="13"/>
        <v>69.820000000000903</v>
      </c>
      <c r="M210" s="5">
        <f t="shared" si="12"/>
        <v>63.320000000000903</v>
      </c>
      <c r="N210" s="5"/>
      <c r="O210" s="3"/>
    </row>
    <row r="211" spans="1:15" ht="7.5" customHeight="1" x14ac:dyDescent="0.15">
      <c r="A211" s="3">
        <v>2575</v>
      </c>
      <c r="B211" s="3" t="s">
        <v>18</v>
      </c>
      <c r="C211" s="3" t="s">
        <v>19</v>
      </c>
      <c r="D211" s="3" t="s">
        <v>20</v>
      </c>
      <c r="E211" s="4">
        <v>46162.369444444397</v>
      </c>
      <c r="F211" s="3" t="s">
        <v>30</v>
      </c>
      <c r="G211" s="3" t="s">
        <v>22</v>
      </c>
      <c r="H211" s="3" t="s">
        <v>25</v>
      </c>
      <c r="I211" s="5">
        <v>4.9000000000000004</v>
      </c>
      <c r="J211" s="5">
        <v>0</v>
      </c>
      <c r="K211" s="5">
        <v>1.6</v>
      </c>
      <c r="L211" s="5">
        <f t="shared" si="13"/>
        <v>63.320000000000903</v>
      </c>
      <c r="M211" s="5">
        <f t="shared" si="12"/>
        <v>64.920000000000897</v>
      </c>
      <c r="N211" s="5">
        <f>N209-I211</f>
        <v>35.300000000000004</v>
      </c>
      <c r="O211" s="4">
        <v>46166</v>
      </c>
    </row>
    <row r="212" spans="1:15" ht="7.5" customHeight="1" x14ac:dyDescent="0.15">
      <c r="A212" s="3">
        <v>2576</v>
      </c>
      <c r="B212" s="3" t="s">
        <v>18</v>
      </c>
      <c r="C212" s="3" t="s">
        <v>19</v>
      </c>
      <c r="D212" s="3" t="s">
        <v>20</v>
      </c>
      <c r="E212" s="4">
        <v>46162.693055555603</v>
      </c>
      <c r="F212" s="3" t="s">
        <v>31</v>
      </c>
      <c r="G212" s="3" t="s">
        <v>26</v>
      </c>
      <c r="H212" s="3" t="s">
        <v>23</v>
      </c>
      <c r="I212" s="5">
        <v>0</v>
      </c>
      <c r="J212" s="5">
        <v>0</v>
      </c>
      <c r="K212" s="5">
        <v>-6.5</v>
      </c>
      <c r="L212" s="5">
        <f t="shared" si="13"/>
        <v>64.920000000000897</v>
      </c>
      <c r="M212" s="5">
        <f t="shared" si="12"/>
        <v>58.420000000000897</v>
      </c>
      <c r="N212" s="5"/>
      <c r="O212" s="3"/>
    </row>
    <row r="213" spans="1:15" ht="7.5" customHeight="1" x14ac:dyDescent="0.15">
      <c r="A213" s="3">
        <v>2577</v>
      </c>
      <c r="B213" s="3" t="s">
        <v>18</v>
      </c>
      <c r="C213" s="3" t="s">
        <v>19</v>
      </c>
      <c r="D213" s="3" t="s">
        <v>20</v>
      </c>
      <c r="E213" s="4">
        <v>46162.704166666699</v>
      </c>
      <c r="F213" s="3" t="s">
        <v>30</v>
      </c>
      <c r="G213" s="3" t="s">
        <v>26</v>
      </c>
      <c r="H213" s="3" t="s">
        <v>27</v>
      </c>
      <c r="I213" s="5">
        <v>4.9000000000000004</v>
      </c>
      <c r="J213" s="5">
        <v>0</v>
      </c>
      <c r="K213" s="5">
        <v>1.6</v>
      </c>
      <c r="L213" s="5">
        <f t="shared" si="13"/>
        <v>58.420000000000897</v>
      </c>
      <c r="M213" s="5">
        <f t="shared" si="12"/>
        <v>60.020000000000898</v>
      </c>
      <c r="N213" s="5">
        <f>N211-I213</f>
        <v>30.400000000000006</v>
      </c>
      <c r="O213" s="4">
        <v>46166</v>
      </c>
    </row>
    <row r="214" spans="1:15" ht="7.5" customHeight="1" x14ac:dyDescent="0.15">
      <c r="A214" s="3">
        <v>2578</v>
      </c>
      <c r="B214" s="3" t="s">
        <v>18</v>
      </c>
      <c r="C214" s="3" t="s">
        <v>19</v>
      </c>
      <c r="D214" s="3" t="s">
        <v>20</v>
      </c>
      <c r="E214" s="4">
        <v>46163.359722222202</v>
      </c>
      <c r="F214" s="3" t="s">
        <v>31</v>
      </c>
      <c r="G214" s="3" t="s">
        <v>22</v>
      </c>
      <c r="H214" s="3" t="s">
        <v>23</v>
      </c>
      <c r="I214" s="5">
        <v>0</v>
      </c>
      <c r="J214" s="5">
        <v>0</v>
      </c>
      <c r="K214" s="5">
        <v>-6.5</v>
      </c>
      <c r="L214" s="5">
        <f t="shared" si="13"/>
        <v>60.020000000000898</v>
      </c>
      <c r="M214" s="5">
        <f t="shared" si="12"/>
        <v>53.520000000000898</v>
      </c>
      <c r="N214" s="5"/>
      <c r="O214" s="3"/>
    </row>
    <row r="215" spans="1:15" ht="7.5" customHeight="1" x14ac:dyDescent="0.15">
      <c r="A215" s="3">
        <v>2579</v>
      </c>
      <c r="B215" s="3" t="s">
        <v>18</v>
      </c>
      <c r="C215" s="3" t="s">
        <v>19</v>
      </c>
      <c r="D215" s="3" t="s">
        <v>20</v>
      </c>
      <c r="E215" s="4">
        <v>46163.368055555598</v>
      </c>
      <c r="F215" s="3" t="s">
        <v>30</v>
      </c>
      <c r="G215" s="3" t="s">
        <v>22</v>
      </c>
      <c r="H215" s="3" t="s">
        <v>25</v>
      </c>
      <c r="I215" s="5">
        <v>4.9000000000000004</v>
      </c>
      <c r="J215" s="5">
        <v>0</v>
      </c>
      <c r="K215" s="5">
        <v>1.6</v>
      </c>
      <c r="L215" s="5">
        <f t="shared" si="13"/>
        <v>53.520000000000898</v>
      </c>
      <c r="M215" s="5">
        <f t="shared" si="12"/>
        <v>55.1200000000009</v>
      </c>
      <c r="N215" s="5">
        <f>N213-I215</f>
        <v>25.500000000000007</v>
      </c>
      <c r="O215" s="4">
        <v>46166</v>
      </c>
    </row>
    <row r="216" spans="1:15" ht="7.5" customHeight="1" x14ac:dyDescent="0.15">
      <c r="A216" s="3">
        <v>2580</v>
      </c>
      <c r="B216" s="3" t="s">
        <v>18</v>
      </c>
      <c r="C216" s="3" t="s">
        <v>19</v>
      </c>
      <c r="D216" s="3" t="s">
        <v>20</v>
      </c>
      <c r="E216" s="4">
        <v>46163.692361111098</v>
      </c>
      <c r="F216" s="3" t="s">
        <v>31</v>
      </c>
      <c r="G216" s="3" t="s">
        <v>26</v>
      </c>
      <c r="H216" s="3" t="s">
        <v>23</v>
      </c>
      <c r="I216" s="5">
        <v>0</v>
      </c>
      <c r="J216" s="5">
        <v>0</v>
      </c>
      <c r="K216" s="5">
        <v>-6.5</v>
      </c>
      <c r="L216" s="5">
        <f t="shared" si="13"/>
        <v>55.1200000000009</v>
      </c>
      <c r="M216" s="5">
        <f t="shared" si="12"/>
        <v>48.6200000000009</v>
      </c>
      <c r="N216" s="5"/>
      <c r="O216" s="3"/>
    </row>
    <row r="217" spans="1:15" ht="7.5" customHeight="1" x14ac:dyDescent="0.15">
      <c r="A217" s="3">
        <v>2581</v>
      </c>
      <c r="B217" s="3" t="s">
        <v>18</v>
      </c>
      <c r="C217" s="3" t="s">
        <v>19</v>
      </c>
      <c r="D217" s="3" t="s">
        <v>20</v>
      </c>
      <c r="E217" s="4">
        <v>46163.699305555601</v>
      </c>
      <c r="F217" s="3" t="s">
        <v>30</v>
      </c>
      <c r="G217" s="3" t="s">
        <v>26</v>
      </c>
      <c r="H217" s="3" t="s">
        <v>27</v>
      </c>
      <c r="I217" s="5">
        <v>4.9000000000000004</v>
      </c>
      <c r="J217" s="5">
        <v>0</v>
      </c>
      <c r="K217" s="5">
        <v>1.6</v>
      </c>
      <c r="L217" s="5">
        <f t="shared" si="13"/>
        <v>48.6200000000009</v>
      </c>
      <c r="M217" s="5">
        <f t="shared" si="12"/>
        <v>50.220000000000901</v>
      </c>
      <c r="N217" s="5">
        <f>N215-I217</f>
        <v>20.600000000000009</v>
      </c>
      <c r="O217" s="4">
        <v>46166</v>
      </c>
    </row>
    <row r="218" spans="1:15" ht="7.5" customHeight="1" x14ac:dyDescent="0.15">
      <c r="A218" s="3">
        <v>2582</v>
      </c>
      <c r="B218" s="3" t="s">
        <v>18</v>
      </c>
      <c r="C218" s="3" t="s">
        <v>19</v>
      </c>
      <c r="D218" s="3" t="s">
        <v>20</v>
      </c>
      <c r="E218" s="4">
        <v>46168.359722222202</v>
      </c>
      <c r="F218" s="3" t="s">
        <v>31</v>
      </c>
      <c r="G218" s="3" t="s">
        <v>22</v>
      </c>
      <c r="H218" s="3" t="s">
        <v>23</v>
      </c>
      <c r="I218" s="5">
        <v>0</v>
      </c>
      <c r="J218" s="5">
        <v>0</v>
      </c>
      <c r="K218" s="5">
        <v>-6.5</v>
      </c>
      <c r="L218" s="5">
        <f t="shared" si="13"/>
        <v>50.220000000000901</v>
      </c>
      <c r="M218" s="5">
        <f t="shared" si="12"/>
        <v>43.720000000000901</v>
      </c>
      <c r="N218" s="3"/>
      <c r="O218" s="4"/>
    </row>
    <row r="219" spans="1:15" ht="7.5" customHeight="1" x14ac:dyDescent="0.15">
      <c r="A219" s="3">
        <v>2583</v>
      </c>
      <c r="B219" s="3" t="s">
        <v>18</v>
      </c>
      <c r="C219" s="3" t="s">
        <v>19</v>
      </c>
      <c r="D219" s="3" t="s">
        <v>20</v>
      </c>
      <c r="E219" s="4">
        <v>46168.372222222199</v>
      </c>
      <c r="F219" s="3" t="s">
        <v>30</v>
      </c>
      <c r="G219" s="3" t="s">
        <v>22</v>
      </c>
      <c r="H219" s="3" t="s">
        <v>25</v>
      </c>
      <c r="I219" s="5">
        <v>4.9000000000000004</v>
      </c>
      <c r="J219" s="5">
        <v>0</v>
      </c>
      <c r="K219" s="5">
        <v>1.6</v>
      </c>
      <c r="L219" s="5">
        <f t="shared" si="13"/>
        <v>43.720000000000901</v>
      </c>
      <c r="M219" s="5">
        <f t="shared" si="12"/>
        <v>45.320000000000903</v>
      </c>
      <c r="N219" s="5">
        <f>50-4.9</f>
        <v>45.1</v>
      </c>
      <c r="O219" s="4">
        <v>46173</v>
      </c>
    </row>
    <row r="220" spans="1:15" ht="7.5" customHeight="1" x14ac:dyDescent="0.15">
      <c r="A220" s="3">
        <v>2584</v>
      </c>
      <c r="B220" s="3" t="s">
        <v>18</v>
      </c>
      <c r="C220" s="3" t="s">
        <v>19</v>
      </c>
      <c r="D220" s="3" t="s">
        <v>20</v>
      </c>
      <c r="E220" s="4">
        <v>46168.688888888901</v>
      </c>
      <c r="F220" s="3" t="s">
        <v>31</v>
      </c>
      <c r="G220" s="3" t="s">
        <v>26</v>
      </c>
      <c r="H220" s="3" t="s">
        <v>23</v>
      </c>
      <c r="I220" s="5">
        <v>0</v>
      </c>
      <c r="J220" s="5">
        <v>0</v>
      </c>
      <c r="K220" s="5">
        <v>-6.5</v>
      </c>
      <c r="L220" s="5">
        <f t="shared" si="13"/>
        <v>45.320000000000903</v>
      </c>
      <c r="M220" s="5">
        <f t="shared" si="12"/>
        <v>38.820000000000903</v>
      </c>
      <c r="N220" s="3"/>
      <c r="O220" s="4"/>
    </row>
    <row r="221" spans="1:15" ht="7.5" customHeight="1" x14ac:dyDescent="0.15">
      <c r="A221" s="3">
        <v>2585</v>
      </c>
      <c r="B221" s="3" t="s">
        <v>18</v>
      </c>
      <c r="C221" s="3" t="s">
        <v>19</v>
      </c>
      <c r="D221" s="3" t="s">
        <v>20</v>
      </c>
      <c r="E221" s="4">
        <v>46168.699305555601</v>
      </c>
      <c r="F221" s="3" t="s">
        <v>30</v>
      </c>
      <c r="G221" s="3" t="s">
        <v>26</v>
      </c>
      <c r="H221" s="3" t="s">
        <v>27</v>
      </c>
      <c r="I221" s="5">
        <v>4.9000000000000004</v>
      </c>
      <c r="J221" s="5">
        <v>0</v>
      </c>
      <c r="K221" s="5">
        <v>1.6</v>
      </c>
      <c r="L221" s="5">
        <f t="shared" si="13"/>
        <v>38.820000000000903</v>
      </c>
      <c r="M221" s="5">
        <f t="shared" si="12"/>
        <v>40.420000000000904</v>
      </c>
      <c r="N221" s="5">
        <f>N219-I221</f>
        <v>40.200000000000003</v>
      </c>
      <c r="O221" s="4">
        <v>46173</v>
      </c>
    </row>
    <row r="222" spans="1:15" ht="7.5" customHeight="1" x14ac:dyDescent="0.15">
      <c r="A222" s="3">
        <v>2586</v>
      </c>
      <c r="B222" s="3" t="s">
        <v>18</v>
      </c>
      <c r="C222" s="3" t="s">
        <v>19</v>
      </c>
      <c r="D222" s="3" t="s">
        <v>20</v>
      </c>
      <c r="E222" s="4">
        <v>46169.363888888904</v>
      </c>
      <c r="F222" s="3" t="s">
        <v>31</v>
      </c>
      <c r="G222" s="3" t="s">
        <v>22</v>
      </c>
      <c r="H222" s="3" t="s">
        <v>23</v>
      </c>
      <c r="I222" s="5">
        <v>0</v>
      </c>
      <c r="J222" s="5">
        <v>0</v>
      </c>
      <c r="K222" s="5">
        <v>-6.5</v>
      </c>
      <c r="L222" s="5">
        <f t="shared" si="13"/>
        <v>40.420000000000904</v>
      </c>
      <c r="M222" s="5">
        <f t="shared" si="12"/>
        <v>33.920000000000904</v>
      </c>
      <c r="N222" s="5"/>
      <c r="O222" s="4"/>
    </row>
    <row r="223" spans="1:15" ht="7.5" customHeight="1" x14ac:dyDescent="0.15">
      <c r="A223" s="3">
        <v>2587</v>
      </c>
      <c r="B223" s="3" t="s">
        <v>18</v>
      </c>
      <c r="C223" s="3" t="s">
        <v>19</v>
      </c>
      <c r="D223" s="3" t="s">
        <v>20</v>
      </c>
      <c r="E223" s="4">
        <v>46169.371527777803</v>
      </c>
      <c r="F223" s="3" t="s">
        <v>30</v>
      </c>
      <c r="G223" s="3" t="s">
        <v>22</v>
      </c>
      <c r="H223" s="3" t="s">
        <v>25</v>
      </c>
      <c r="I223" s="5">
        <v>4.9000000000000004</v>
      </c>
      <c r="J223" s="5">
        <v>0</v>
      </c>
      <c r="K223" s="5">
        <v>1.6</v>
      </c>
      <c r="L223" s="5">
        <f t="shared" si="13"/>
        <v>33.920000000000904</v>
      </c>
      <c r="M223" s="5">
        <f t="shared" si="12"/>
        <v>35.520000000000906</v>
      </c>
      <c r="N223" s="5">
        <f>N221-I223</f>
        <v>35.300000000000004</v>
      </c>
      <c r="O223" s="4">
        <v>46173</v>
      </c>
    </row>
    <row r="224" spans="1:15" ht="7.5" customHeight="1" x14ac:dyDescent="0.15">
      <c r="A224" s="3">
        <v>2588</v>
      </c>
      <c r="B224" s="3" t="s">
        <v>18</v>
      </c>
      <c r="C224" s="3" t="s">
        <v>19</v>
      </c>
      <c r="D224" s="3" t="s">
        <v>20</v>
      </c>
      <c r="E224" s="4">
        <v>46169.694444444503</v>
      </c>
      <c r="F224" s="3" t="s">
        <v>31</v>
      </c>
      <c r="G224" s="3" t="s">
        <v>26</v>
      </c>
      <c r="H224" s="3" t="s">
        <v>23</v>
      </c>
      <c r="I224" s="5">
        <v>0</v>
      </c>
      <c r="J224" s="5">
        <v>0</v>
      </c>
      <c r="K224" s="5">
        <v>-6.5</v>
      </c>
      <c r="L224" s="5">
        <f t="shared" si="13"/>
        <v>35.520000000000906</v>
      </c>
      <c r="M224" s="5">
        <f t="shared" si="12"/>
        <v>29.020000000000906</v>
      </c>
      <c r="N224" s="5"/>
      <c r="O224" s="4"/>
    </row>
    <row r="225" spans="1:16" ht="7.5" customHeight="1" x14ac:dyDescent="0.15">
      <c r="A225" s="3">
        <v>2589</v>
      </c>
      <c r="B225" s="3" t="s">
        <v>18</v>
      </c>
      <c r="C225" s="3" t="s">
        <v>19</v>
      </c>
      <c r="D225" s="3" t="s">
        <v>20</v>
      </c>
      <c r="E225" s="4">
        <v>46169.7055555556</v>
      </c>
      <c r="F225" s="3" t="s">
        <v>30</v>
      </c>
      <c r="G225" s="3" t="s">
        <v>26</v>
      </c>
      <c r="H225" s="3" t="s">
        <v>27</v>
      </c>
      <c r="I225" s="5">
        <v>4.9000000000000004</v>
      </c>
      <c r="J225" s="5">
        <v>0</v>
      </c>
      <c r="K225" s="5">
        <v>1.6</v>
      </c>
      <c r="L225" s="5">
        <f t="shared" si="13"/>
        <v>29.020000000000906</v>
      </c>
      <c r="M225" s="5">
        <f t="shared" si="12"/>
        <v>30.620000000000907</v>
      </c>
      <c r="N225" s="5">
        <f>N223-I225</f>
        <v>30.400000000000006</v>
      </c>
      <c r="O225" s="4">
        <v>46173</v>
      </c>
    </row>
    <row r="226" spans="1:16" ht="7.5" customHeight="1" x14ac:dyDescent="0.15">
      <c r="A226" s="3">
        <v>2590</v>
      </c>
      <c r="B226" s="3" t="s">
        <v>18</v>
      </c>
      <c r="C226" s="3" t="s">
        <v>19</v>
      </c>
      <c r="D226" s="3" t="s">
        <v>20</v>
      </c>
      <c r="E226" s="4">
        <v>46170.3659722222</v>
      </c>
      <c r="F226" s="3" t="s">
        <v>31</v>
      </c>
      <c r="G226" s="3" t="s">
        <v>22</v>
      </c>
      <c r="H226" s="3" t="s">
        <v>23</v>
      </c>
      <c r="I226" s="5">
        <v>0</v>
      </c>
      <c r="J226" s="5">
        <v>0</v>
      </c>
      <c r="K226" s="5">
        <v>-6.5</v>
      </c>
      <c r="L226" s="5">
        <f t="shared" si="13"/>
        <v>30.620000000000907</v>
      </c>
      <c r="M226" s="5">
        <f t="shared" si="12"/>
        <v>24.120000000000907</v>
      </c>
      <c r="N226" s="5"/>
      <c r="O226" s="3"/>
    </row>
    <row r="227" spans="1:16" ht="7.5" customHeight="1" x14ac:dyDescent="0.15">
      <c r="A227" s="3">
        <v>2591</v>
      </c>
      <c r="B227" s="3" t="s">
        <v>18</v>
      </c>
      <c r="C227" s="3" t="s">
        <v>19</v>
      </c>
      <c r="D227" s="3" t="s">
        <v>20</v>
      </c>
      <c r="E227" s="4">
        <v>46170.371527777803</v>
      </c>
      <c r="F227" s="3" t="s">
        <v>30</v>
      </c>
      <c r="G227" s="3" t="s">
        <v>22</v>
      </c>
      <c r="H227" s="3" t="s">
        <v>25</v>
      </c>
      <c r="I227" s="5">
        <v>4.9000000000000004</v>
      </c>
      <c r="J227" s="5">
        <v>0</v>
      </c>
      <c r="K227" s="5">
        <v>1.6</v>
      </c>
      <c r="L227" s="5">
        <f t="shared" si="13"/>
        <v>24.120000000000907</v>
      </c>
      <c r="M227" s="5">
        <f t="shared" si="12"/>
        <v>25.720000000000908</v>
      </c>
      <c r="N227" s="5">
        <f>N225-I227</f>
        <v>25.500000000000007</v>
      </c>
      <c r="O227" s="4">
        <v>46173</v>
      </c>
    </row>
    <row r="228" spans="1:16" ht="7.5" customHeight="1" x14ac:dyDescent="0.15">
      <c r="A228" s="3">
        <v>2592</v>
      </c>
      <c r="B228" s="3" t="s">
        <v>18</v>
      </c>
      <c r="C228" s="3" t="s">
        <v>19</v>
      </c>
      <c r="D228" s="3" t="s">
        <v>20</v>
      </c>
      <c r="E228" s="4">
        <v>46170.694444444503</v>
      </c>
      <c r="F228" s="3" t="s">
        <v>31</v>
      </c>
      <c r="G228" s="3" t="s">
        <v>26</v>
      </c>
      <c r="H228" s="3" t="s">
        <v>23</v>
      </c>
      <c r="I228" s="5">
        <v>0</v>
      </c>
      <c r="J228" s="5">
        <v>0</v>
      </c>
      <c r="K228" s="5">
        <v>-6.5</v>
      </c>
      <c r="L228" s="5">
        <f t="shared" si="13"/>
        <v>25.720000000000908</v>
      </c>
      <c r="M228" s="5">
        <f t="shared" si="12"/>
        <v>19.220000000000908</v>
      </c>
      <c r="N228" s="5"/>
      <c r="O228" s="3"/>
    </row>
    <row r="229" spans="1:16" ht="7.5" customHeight="1" x14ac:dyDescent="0.15">
      <c r="A229" s="9">
        <v>2593</v>
      </c>
      <c r="B229" s="9" t="s">
        <v>18</v>
      </c>
      <c r="C229" s="9" t="s">
        <v>19</v>
      </c>
      <c r="D229" s="9" t="s">
        <v>20</v>
      </c>
      <c r="E229" s="10">
        <v>46170.698611111096</v>
      </c>
      <c r="F229" s="9" t="s">
        <v>30</v>
      </c>
      <c r="G229" s="9" t="s">
        <v>26</v>
      </c>
      <c r="H229" s="9" t="s">
        <v>27</v>
      </c>
      <c r="I229" s="11">
        <v>4.9000000000000004</v>
      </c>
      <c r="J229" s="11">
        <v>0</v>
      </c>
      <c r="K229" s="11">
        <v>1.6</v>
      </c>
      <c r="L229" s="11">
        <f t="shared" si="13"/>
        <v>19.220000000000908</v>
      </c>
      <c r="M229" s="11">
        <f t="shared" si="12"/>
        <v>20.82000000000091</v>
      </c>
      <c r="N229" s="11">
        <f>N227-I229</f>
        <v>20.600000000000009</v>
      </c>
      <c r="O229" s="10">
        <v>46173</v>
      </c>
    </row>
    <row r="230" spans="1:16" ht="7.5" customHeight="1" x14ac:dyDescent="0.25">
      <c r="A230" s="9">
        <v>2594</v>
      </c>
      <c r="B230" s="9" t="s">
        <v>18</v>
      </c>
      <c r="C230" s="9" t="s">
        <v>19</v>
      </c>
      <c r="D230" s="9" t="s">
        <v>20</v>
      </c>
      <c r="E230" s="10">
        <v>46175.362500000003</v>
      </c>
      <c r="F230" s="9" t="s">
        <v>31</v>
      </c>
      <c r="G230" s="9" t="s">
        <v>22</v>
      </c>
      <c r="H230" s="9" t="s">
        <v>23</v>
      </c>
      <c r="I230" s="11">
        <v>0</v>
      </c>
      <c r="J230" s="11">
        <v>0</v>
      </c>
      <c r="K230" s="11">
        <v>-6.5</v>
      </c>
      <c r="L230" s="11">
        <f>M229</f>
        <v>20.82000000000091</v>
      </c>
      <c r="M230" s="11">
        <f t="shared" si="12"/>
        <v>14.32000000000091</v>
      </c>
      <c r="N230" s="12"/>
      <c r="O230" s="12"/>
      <c r="P230"/>
    </row>
    <row r="231" spans="1:16" ht="7.5" customHeight="1" x14ac:dyDescent="0.25">
      <c r="A231" s="9">
        <v>2595</v>
      </c>
      <c r="B231" s="9" t="s">
        <v>18</v>
      </c>
      <c r="C231" s="9" t="s">
        <v>19</v>
      </c>
      <c r="D231" s="9" t="s">
        <v>20</v>
      </c>
      <c r="E231" s="10">
        <v>46175.370833333334</v>
      </c>
      <c r="F231" s="9" t="s">
        <v>30</v>
      </c>
      <c r="G231" s="9" t="s">
        <v>22</v>
      </c>
      <c r="H231" s="9" t="s">
        <v>25</v>
      </c>
      <c r="I231" s="11">
        <v>4.9000000000000004</v>
      </c>
      <c r="J231" s="11">
        <v>0</v>
      </c>
      <c r="K231" s="11">
        <v>1.6</v>
      </c>
      <c r="L231" s="11">
        <f>M230</f>
        <v>14.32000000000091</v>
      </c>
      <c r="M231" s="11">
        <f t="shared" si="12"/>
        <v>15.920000000000909</v>
      </c>
      <c r="N231" s="11">
        <f>50-4.9</f>
        <v>45.1</v>
      </c>
      <c r="O231" s="10">
        <v>46180</v>
      </c>
      <c r="P231"/>
    </row>
    <row r="232" spans="1:16" ht="7.5" customHeight="1" x14ac:dyDescent="0.25">
      <c r="A232" s="9">
        <v>2596</v>
      </c>
      <c r="B232" s="9" t="s">
        <v>18</v>
      </c>
      <c r="C232" s="9" t="s">
        <v>19</v>
      </c>
      <c r="D232" s="9" t="s">
        <v>20</v>
      </c>
      <c r="E232" s="10">
        <v>46175.690972222219</v>
      </c>
      <c r="F232" s="9" t="s">
        <v>31</v>
      </c>
      <c r="G232" s="9" t="s">
        <v>26</v>
      </c>
      <c r="H232" s="9" t="s">
        <v>23</v>
      </c>
      <c r="I232" s="11">
        <v>0</v>
      </c>
      <c r="J232" s="11">
        <v>0</v>
      </c>
      <c r="K232" s="11">
        <v>-6.5</v>
      </c>
      <c r="L232" s="11">
        <f t="shared" si="13"/>
        <v>15.920000000000909</v>
      </c>
      <c r="M232" s="11">
        <f t="shared" si="12"/>
        <v>9.4200000000009094</v>
      </c>
      <c r="N232" s="9"/>
      <c r="O232" s="12"/>
      <c r="P232"/>
    </row>
    <row r="233" spans="1:16" ht="7.5" customHeight="1" x14ac:dyDescent="0.15">
      <c r="A233" s="9">
        <v>2597</v>
      </c>
      <c r="B233" s="9" t="s">
        <v>18</v>
      </c>
      <c r="C233" s="9" t="s">
        <v>19</v>
      </c>
      <c r="D233" s="9" t="s">
        <v>20</v>
      </c>
      <c r="E233" s="10">
        <v>46175.700694444444</v>
      </c>
      <c r="F233" s="9" t="s">
        <v>30</v>
      </c>
      <c r="G233" s="9" t="s">
        <v>26</v>
      </c>
      <c r="H233" s="9" t="s">
        <v>27</v>
      </c>
      <c r="I233" s="11">
        <v>4.9000000000000004</v>
      </c>
      <c r="J233" s="11">
        <v>0</v>
      </c>
      <c r="K233" s="11">
        <v>1.6</v>
      </c>
      <c r="L233" s="11">
        <f t="shared" si="13"/>
        <v>9.4200000000009094</v>
      </c>
      <c r="M233" s="11">
        <f t="shared" si="12"/>
        <v>11.020000000000909</v>
      </c>
      <c r="N233" s="11">
        <f>N231-I233</f>
        <v>40.200000000000003</v>
      </c>
      <c r="O233" s="10">
        <v>46180</v>
      </c>
    </row>
    <row r="234" spans="1:16" ht="7.5" customHeight="1" x14ac:dyDescent="0.15">
      <c r="A234" s="9">
        <v>2598</v>
      </c>
      <c r="B234" s="9" t="s">
        <v>18</v>
      </c>
      <c r="C234" s="9" t="s">
        <v>28</v>
      </c>
      <c r="D234" s="9" t="s">
        <v>28</v>
      </c>
      <c r="E234" s="10">
        <v>46176.36041666667</v>
      </c>
      <c r="F234" s="9" t="s">
        <v>29</v>
      </c>
      <c r="G234" s="9" t="s">
        <v>22</v>
      </c>
      <c r="H234" s="9" t="s">
        <v>23</v>
      </c>
      <c r="I234" s="11">
        <v>0</v>
      </c>
      <c r="J234" s="11">
        <v>0</v>
      </c>
      <c r="K234" s="11">
        <v>200</v>
      </c>
      <c r="L234" s="11">
        <f t="shared" si="13"/>
        <v>11.020000000000909</v>
      </c>
      <c r="M234" s="11">
        <f t="shared" si="12"/>
        <v>211.02000000000092</v>
      </c>
      <c r="N234" s="11"/>
      <c r="O234" s="9"/>
    </row>
    <row r="235" spans="1:16" ht="7.5" customHeight="1" x14ac:dyDescent="0.15">
      <c r="A235" s="9">
        <v>2599</v>
      </c>
      <c r="B235" s="9" t="s">
        <v>18</v>
      </c>
      <c r="C235" s="9" t="s">
        <v>19</v>
      </c>
      <c r="D235" s="9" t="s">
        <v>20</v>
      </c>
      <c r="E235" s="10">
        <v>46176.36041666667</v>
      </c>
      <c r="F235" s="9" t="s">
        <v>31</v>
      </c>
      <c r="G235" s="9" t="s">
        <v>22</v>
      </c>
      <c r="H235" s="9" t="s">
        <v>23</v>
      </c>
      <c r="I235" s="11">
        <v>0</v>
      </c>
      <c r="J235" s="11">
        <v>0</v>
      </c>
      <c r="K235" s="11">
        <v>-6.5</v>
      </c>
      <c r="L235" s="11">
        <f t="shared" si="13"/>
        <v>211.02000000000092</v>
      </c>
      <c r="M235" s="11">
        <f t="shared" si="12"/>
        <v>204.52000000000092</v>
      </c>
      <c r="N235" s="11"/>
      <c r="O235" s="12"/>
    </row>
    <row r="236" spans="1:16" ht="7.5" customHeight="1" x14ac:dyDescent="0.15">
      <c r="A236" s="9">
        <v>2600</v>
      </c>
      <c r="B236" s="9" t="s">
        <v>18</v>
      </c>
      <c r="C236" s="9" t="s">
        <v>19</v>
      </c>
      <c r="D236" s="9" t="s">
        <v>20</v>
      </c>
      <c r="E236" s="10">
        <v>46176.369444444441</v>
      </c>
      <c r="F236" s="9" t="s">
        <v>30</v>
      </c>
      <c r="G236" s="9" t="s">
        <v>22</v>
      </c>
      <c r="H236" s="9" t="s">
        <v>25</v>
      </c>
      <c r="I236" s="11">
        <v>4.9000000000000004</v>
      </c>
      <c r="J236" s="11">
        <v>0</v>
      </c>
      <c r="K236" s="11">
        <v>1.6</v>
      </c>
      <c r="L236" s="11">
        <f t="shared" si="13"/>
        <v>204.52000000000092</v>
      </c>
      <c r="M236" s="11">
        <f t="shared" si="12"/>
        <v>206.12000000000091</v>
      </c>
      <c r="N236" s="11">
        <f>N233-I236</f>
        <v>35.300000000000004</v>
      </c>
      <c r="O236" s="10">
        <v>46180</v>
      </c>
    </row>
    <row r="237" spans="1:16" ht="7.5" customHeight="1" x14ac:dyDescent="0.15">
      <c r="A237" s="9">
        <v>2601</v>
      </c>
      <c r="B237" s="9" t="s">
        <v>18</v>
      </c>
      <c r="C237" s="9" t="s">
        <v>19</v>
      </c>
      <c r="D237" s="9" t="s">
        <v>20</v>
      </c>
      <c r="E237" s="10">
        <v>46176.693055555559</v>
      </c>
      <c r="F237" s="9" t="s">
        <v>31</v>
      </c>
      <c r="G237" s="9" t="s">
        <v>26</v>
      </c>
      <c r="H237" s="9" t="s">
        <v>23</v>
      </c>
      <c r="I237" s="11">
        <v>0</v>
      </c>
      <c r="J237" s="11">
        <v>0</v>
      </c>
      <c r="K237" s="11">
        <v>-6.5</v>
      </c>
      <c r="L237" s="11">
        <f t="shared" si="13"/>
        <v>206.12000000000091</v>
      </c>
      <c r="M237" s="11">
        <f t="shared" si="12"/>
        <v>199.62000000000091</v>
      </c>
      <c r="N237" s="13"/>
      <c r="O237" s="9"/>
    </row>
    <row r="238" spans="1:16" ht="7.5" customHeight="1" x14ac:dyDescent="0.15">
      <c r="A238" s="9">
        <v>2602</v>
      </c>
      <c r="B238" s="9" t="s">
        <v>18</v>
      </c>
      <c r="C238" s="9" t="s">
        <v>19</v>
      </c>
      <c r="D238" s="9" t="s">
        <v>20</v>
      </c>
      <c r="E238" s="10">
        <v>46176.703472222223</v>
      </c>
      <c r="F238" s="9" t="s">
        <v>30</v>
      </c>
      <c r="G238" s="9" t="s">
        <v>26</v>
      </c>
      <c r="H238" s="9" t="s">
        <v>27</v>
      </c>
      <c r="I238" s="11">
        <v>4.9000000000000004</v>
      </c>
      <c r="J238" s="11">
        <v>0</v>
      </c>
      <c r="K238" s="11">
        <v>1.6</v>
      </c>
      <c r="L238" s="11">
        <f t="shared" si="13"/>
        <v>199.62000000000091</v>
      </c>
      <c r="M238" s="11">
        <f t="shared" si="12"/>
        <v>201.22000000000091</v>
      </c>
      <c r="N238" s="11">
        <f>N236-I238</f>
        <v>30.400000000000006</v>
      </c>
      <c r="O238" s="10">
        <v>46180</v>
      </c>
    </row>
    <row r="239" spans="1:16" ht="7.5" customHeight="1" x14ac:dyDescent="0.15">
      <c r="A239" s="9">
        <v>2603</v>
      </c>
      <c r="B239" s="9" t="s">
        <v>18</v>
      </c>
      <c r="C239" s="9" t="s">
        <v>19</v>
      </c>
      <c r="D239" s="9" t="s">
        <v>20</v>
      </c>
      <c r="E239" s="10">
        <v>46182.361805555556</v>
      </c>
      <c r="F239" s="9" t="s">
        <v>31</v>
      </c>
      <c r="G239" s="9" t="s">
        <v>22</v>
      </c>
      <c r="H239" s="9" t="s">
        <v>23</v>
      </c>
      <c r="I239" s="11">
        <v>0</v>
      </c>
      <c r="J239" s="11">
        <v>0</v>
      </c>
      <c r="K239" s="11">
        <v>-6.5</v>
      </c>
      <c r="L239" s="11">
        <f t="shared" si="13"/>
        <v>201.22000000000091</v>
      </c>
      <c r="M239" s="11">
        <f t="shared" si="12"/>
        <v>194.72000000000091</v>
      </c>
      <c r="N239" s="11"/>
      <c r="O239" s="9"/>
    </row>
    <row r="240" spans="1:16" ht="7.5" customHeight="1" x14ac:dyDescent="0.15">
      <c r="A240" s="9">
        <v>2604</v>
      </c>
      <c r="B240" s="9" t="s">
        <v>18</v>
      </c>
      <c r="C240" s="9" t="s">
        <v>19</v>
      </c>
      <c r="D240" s="9" t="s">
        <v>20</v>
      </c>
      <c r="E240" s="10">
        <v>46182.371527777781</v>
      </c>
      <c r="F240" s="9" t="s">
        <v>30</v>
      </c>
      <c r="G240" s="9" t="s">
        <v>22</v>
      </c>
      <c r="H240" s="9" t="s">
        <v>25</v>
      </c>
      <c r="I240" s="11">
        <v>4.9000000000000004</v>
      </c>
      <c r="J240" s="11">
        <v>0</v>
      </c>
      <c r="K240" s="11">
        <v>1.6</v>
      </c>
      <c r="L240" s="11">
        <f t="shared" si="13"/>
        <v>194.72000000000091</v>
      </c>
      <c r="M240" s="11">
        <f t="shared" si="12"/>
        <v>196.3200000000009</v>
      </c>
      <c r="N240" s="11">
        <f>50-4.9</f>
        <v>45.1</v>
      </c>
      <c r="O240" s="10">
        <v>46187</v>
      </c>
    </row>
    <row r="241" spans="1:15" ht="7.5" customHeight="1" x14ac:dyDescent="0.15">
      <c r="A241" s="9">
        <v>2605</v>
      </c>
      <c r="B241" s="9" t="s">
        <v>18</v>
      </c>
      <c r="C241" s="9" t="s">
        <v>19</v>
      </c>
      <c r="D241" s="9" t="s">
        <v>20</v>
      </c>
      <c r="E241" s="10">
        <v>46182.692361111112</v>
      </c>
      <c r="F241" s="9" t="s">
        <v>31</v>
      </c>
      <c r="G241" s="9" t="s">
        <v>26</v>
      </c>
      <c r="H241" s="9" t="s">
        <v>23</v>
      </c>
      <c r="I241" s="11">
        <v>0</v>
      </c>
      <c r="J241" s="11">
        <v>0</v>
      </c>
      <c r="K241" s="11">
        <v>-6.5</v>
      </c>
      <c r="L241" s="11">
        <f t="shared" si="13"/>
        <v>196.3200000000009</v>
      </c>
      <c r="M241" s="11">
        <f t="shared" si="12"/>
        <v>189.8200000000009</v>
      </c>
      <c r="N241" s="9"/>
      <c r="O241" s="9"/>
    </row>
    <row r="242" spans="1:15" ht="7.5" customHeight="1" x14ac:dyDescent="0.15">
      <c r="A242" s="9">
        <v>2606</v>
      </c>
      <c r="B242" s="9" t="s">
        <v>18</v>
      </c>
      <c r="C242" s="9" t="s">
        <v>19</v>
      </c>
      <c r="D242" s="9" t="s">
        <v>20</v>
      </c>
      <c r="E242" s="10">
        <v>46182.702777777777</v>
      </c>
      <c r="F242" s="9" t="s">
        <v>30</v>
      </c>
      <c r="G242" s="9" t="s">
        <v>26</v>
      </c>
      <c r="H242" s="9" t="s">
        <v>27</v>
      </c>
      <c r="I242" s="11">
        <v>4.9000000000000004</v>
      </c>
      <c r="J242" s="11">
        <v>0</v>
      </c>
      <c r="K242" s="11">
        <v>1.6</v>
      </c>
      <c r="L242" s="11">
        <f t="shared" si="13"/>
        <v>189.8200000000009</v>
      </c>
      <c r="M242" s="11">
        <f t="shared" si="12"/>
        <v>191.4200000000009</v>
      </c>
      <c r="N242" s="11">
        <f>N240-I242</f>
        <v>40.200000000000003</v>
      </c>
      <c r="O242" s="10">
        <v>46187</v>
      </c>
    </row>
    <row r="243" spans="1:15" ht="7.5" customHeight="1" x14ac:dyDescent="0.15">
      <c r="A243" s="9">
        <v>2607</v>
      </c>
      <c r="B243" s="9" t="s">
        <v>18</v>
      </c>
      <c r="C243" s="9" t="s">
        <v>19</v>
      </c>
      <c r="D243" s="9" t="s">
        <v>20</v>
      </c>
      <c r="E243" s="10">
        <v>46183.363888888889</v>
      </c>
      <c r="F243" s="9" t="s">
        <v>31</v>
      </c>
      <c r="G243" s="9" t="s">
        <v>22</v>
      </c>
      <c r="H243" s="9" t="s">
        <v>23</v>
      </c>
      <c r="I243" s="11">
        <v>0</v>
      </c>
      <c r="J243" s="11">
        <v>0</v>
      </c>
      <c r="K243" s="11">
        <v>-6.5</v>
      </c>
      <c r="L243" s="11">
        <f t="shared" si="13"/>
        <v>191.4200000000009</v>
      </c>
      <c r="M243" s="11">
        <f t="shared" si="12"/>
        <v>184.9200000000009</v>
      </c>
      <c r="N243" s="11"/>
      <c r="O243" s="9"/>
    </row>
    <row r="244" spans="1:15" ht="7.5" customHeight="1" x14ac:dyDescent="0.15">
      <c r="A244" s="9">
        <v>2608</v>
      </c>
      <c r="B244" s="9" t="s">
        <v>18</v>
      </c>
      <c r="C244" s="9" t="s">
        <v>19</v>
      </c>
      <c r="D244" s="9" t="s">
        <v>20</v>
      </c>
      <c r="E244" s="10">
        <v>46183.37222222222</v>
      </c>
      <c r="F244" s="9" t="s">
        <v>30</v>
      </c>
      <c r="G244" s="9" t="s">
        <v>22</v>
      </c>
      <c r="H244" s="9" t="s">
        <v>25</v>
      </c>
      <c r="I244" s="11">
        <v>4.9000000000000004</v>
      </c>
      <c r="J244" s="11">
        <v>0</v>
      </c>
      <c r="K244" s="11">
        <v>1.6</v>
      </c>
      <c r="L244" s="11">
        <f t="shared" si="13"/>
        <v>184.9200000000009</v>
      </c>
      <c r="M244" s="11">
        <f t="shared" si="12"/>
        <v>186.52000000000089</v>
      </c>
      <c r="N244" s="11">
        <f>N242-I244</f>
        <v>35.300000000000004</v>
      </c>
      <c r="O244" s="10">
        <v>46187</v>
      </c>
    </row>
    <row r="245" spans="1:15" ht="7.5" customHeight="1" x14ac:dyDescent="0.15">
      <c r="A245" s="9">
        <v>2609</v>
      </c>
      <c r="B245" s="9" t="s">
        <v>18</v>
      </c>
      <c r="C245" s="9" t="s">
        <v>19</v>
      </c>
      <c r="D245" s="9" t="s">
        <v>20</v>
      </c>
      <c r="E245" s="10">
        <v>46183.694444444445</v>
      </c>
      <c r="F245" s="9" t="s">
        <v>31</v>
      </c>
      <c r="G245" s="9" t="s">
        <v>26</v>
      </c>
      <c r="H245" s="9" t="s">
        <v>23</v>
      </c>
      <c r="I245" s="11">
        <v>0</v>
      </c>
      <c r="J245" s="11">
        <v>0</v>
      </c>
      <c r="K245" s="11">
        <v>-6.5</v>
      </c>
      <c r="L245" s="11">
        <f t="shared" si="13"/>
        <v>186.52000000000089</v>
      </c>
      <c r="M245" s="11">
        <f t="shared" si="12"/>
        <v>180.02000000000089</v>
      </c>
      <c r="N245" s="11"/>
      <c r="O245" s="9"/>
    </row>
    <row r="246" spans="1:15" ht="7.5" customHeight="1" x14ac:dyDescent="0.15">
      <c r="A246" s="9">
        <v>2610</v>
      </c>
      <c r="B246" s="9" t="s">
        <v>18</v>
      </c>
      <c r="C246" s="9" t="s">
        <v>19</v>
      </c>
      <c r="D246" s="9" t="s">
        <v>20</v>
      </c>
      <c r="E246" s="10">
        <v>46183.704861111109</v>
      </c>
      <c r="F246" s="9" t="s">
        <v>30</v>
      </c>
      <c r="G246" s="9" t="s">
        <v>26</v>
      </c>
      <c r="H246" s="9" t="s">
        <v>27</v>
      </c>
      <c r="I246" s="11">
        <v>4.9000000000000004</v>
      </c>
      <c r="J246" s="11">
        <v>0</v>
      </c>
      <c r="K246" s="11">
        <v>1.6</v>
      </c>
      <c r="L246" s="11">
        <f t="shared" si="13"/>
        <v>180.02000000000089</v>
      </c>
      <c r="M246" s="11">
        <f t="shared" si="12"/>
        <v>181.62000000000089</v>
      </c>
      <c r="N246" s="11">
        <f>N244-I246</f>
        <v>30.400000000000006</v>
      </c>
      <c r="O246" s="10">
        <v>46187</v>
      </c>
    </row>
    <row r="247" spans="1:15" ht="7.5" customHeight="1" x14ac:dyDescent="0.15">
      <c r="A247" s="9">
        <v>2611</v>
      </c>
      <c r="B247" s="9" t="s">
        <v>18</v>
      </c>
      <c r="C247" s="9" t="s">
        <v>19</v>
      </c>
      <c r="D247" s="9" t="s">
        <v>20</v>
      </c>
      <c r="E247" s="10">
        <v>46184.359722222223</v>
      </c>
      <c r="F247" s="9" t="s">
        <v>31</v>
      </c>
      <c r="G247" s="9" t="s">
        <v>22</v>
      </c>
      <c r="H247" s="9" t="s">
        <v>23</v>
      </c>
      <c r="I247" s="11">
        <v>0</v>
      </c>
      <c r="J247" s="11">
        <v>0</v>
      </c>
      <c r="K247" s="11">
        <v>-6.5</v>
      </c>
      <c r="L247" s="11">
        <f t="shared" si="13"/>
        <v>181.62000000000089</v>
      </c>
      <c r="M247" s="11">
        <f t="shared" si="12"/>
        <v>175.12000000000089</v>
      </c>
      <c r="N247" s="11"/>
      <c r="O247" s="9"/>
    </row>
    <row r="248" spans="1:15" ht="7.5" customHeight="1" x14ac:dyDescent="0.15">
      <c r="A248" s="9">
        <v>2612</v>
      </c>
      <c r="B248" s="9" t="s">
        <v>18</v>
      </c>
      <c r="C248" s="9" t="s">
        <v>19</v>
      </c>
      <c r="D248" s="9" t="s">
        <v>20</v>
      </c>
      <c r="E248" s="10">
        <v>46184.368750000001</v>
      </c>
      <c r="F248" s="9" t="s">
        <v>30</v>
      </c>
      <c r="G248" s="9" t="s">
        <v>22</v>
      </c>
      <c r="H248" s="9" t="s">
        <v>25</v>
      </c>
      <c r="I248" s="11">
        <v>4.9000000000000004</v>
      </c>
      <c r="J248" s="11">
        <v>0</v>
      </c>
      <c r="K248" s="11">
        <v>1.6</v>
      </c>
      <c r="L248" s="11">
        <f t="shared" si="13"/>
        <v>175.12000000000089</v>
      </c>
      <c r="M248" s="11">
        <f t="shared" si="12"/>
        <v>176.72000000000088</v>
      </c>
      <c r="N248" s="11">
        <f>N246-I248</f>
        <v>25.500000000000007</v>
      </c>
      <c r="O248" s="10">
        <v>46187</v>
      </c>
    </row>
    <row r="249" spans="1:15" ht="7.5" customHeight="1" x14ac:dyDescent="0.15">
      <c r="A249" s="9">
        <v>2613</v>
      </c>
      <c r="B249" s="9" t="s">
        <v>18</v>
      </c>
      <c r="C249" s="9" t="s">
        <v>19</v>
      </c>
      <c r="D249" s="9" t="s">
        <v>20</v>
      </c>
      <c r="E249" s="10">
        <v>46184.689583333333</v>
      </c>
      <c r="F249" s="9" t="s">
        <v>31</v>
      </c>
      <c r="G249" s="9" t="s">
        <v>26</v>
      </c>
      <c r="H249" s="9" t="s">
        <v>23</v>
      </c>
      <c r="I249" s="11">
        <v>0</v>
      </c>
      <c r="J249" s="11">
        <v>0</v>
      </c>
      <c r="K249" s="11">
        <v>-6.5</v>
      </c>
      <c r="L249" s="11">
        <f t="shared" si="13"/>
        <v>176.72000000000088</v>
      </c>
      <c r="M249" s="11">
        <f t="shared" si="12"/>
        <v>170.22000000000088</v>
      </c>
      <c r="N249" s="11"/>
      <c r="O249" s="12"/>
    </row>
    <row r="250" spans="1:15" ht="7.5" customHeight="1" x14ac:dyDescent="0.15">
      <c r="A250" s="9">
        <v>2614</v>
      </c>
      <c r="B250" s="9" t="s">
        <v>18</v>
      </c>
      <c r="C250" s="9" t="s">
        <v>19</v>
      </c>
      <c r="D250" s="9" t="s">
        <v>20</v>
      </c>
      <c r="E250" s="10">
        <v>46184.699305555558</v>
      </c>
      <c r="F250" s="9" t="s">
        <v>30</v>
      </c>
      <c r="G250" s="9" t="s">
        <v>26</v>
      </c>
      <c r="H250" s="9" t="s">
        <v>27</v>
      </c>
      <c r="I250" s="11">
        <v>4.9000000000000004</v>
      </c>
      <c r="J250" s="11">
        <v>0</v>
      </c>
      <c r="K250" s="11">
        <v>1.6</v>
      </c>
      <c r="L250" s="11">
        <f t="shared" si="13"/>
        <v>170.22000000000088</v>
      </c>
      <c r="M250" s="11">
        <f t="shared" si="12"/>
        <v>171.82000000000087</v>
      </c>
      <c r="N250" s="11">
        <f>N248-I250</f>
        <v>20.600000000000009</v>
      </c>
      <c r="O250" s="10">
        <v>46187</v>
      </c>
    </row>
    <row r="251" spans="1:15" ht="7.5" customHeight="1" x14ac:dyDescent="0.15">
      <c r="A251" s="9">
        <v>2615</v>
      </c>
      <c r="B251" s="9" t="s">
        <v>18</v>
      </c>
      <c r="C251" s="9" t="s">
        <v>19</v>
      </c>
      <c r="D251" s="9" t="s">
        <v>20</v>
      </c>
      <c r="E251" s="10">
        <v>46189.363194444442</v>
      </c>
      <c r="F251" s="9" t="s">
        <v>31</v>
      </c>
      <c r="G251" s="9" t="s">
        <v>22</v>
      </c>
      <c r="H251" s="9" t="s">
        <v>23</v>
      </c>
      <c r="I251" s="11">
        <v>0</v>
      </c>
      <c r="J251" s="11">
        <v>0</v>
      </c>
      <c r="K251" s="11">
        <v>-6.5</v>
      </c>
      <c r="L251" s="11">
        <f t="shared" si="13"/>
        <v>171.82000000000087</v>
      </c>
      <c r="M251" s="11">
        <f t="shared" si="12"/>
        <v>165.32000000000087</v>
      </c>
      <c r="N251" s="12"/>
      <c r="O251" s="12"/>
    </row>
    <row r="252" spans="1:15" ht="7.5" customHeight="1" x14ac:dyDescent="0.15">
      <c r="A252" s="9">
        <v>2616</v>
      </c>
      <c r="B252" s="9" t="s">
        <v>18</v>
      </c>
      <c r="C252" s="9" t="s">
        <v>19</v>
      </c>
      <c r="D252" s="9" t="s">
        <v>20</v>
      </c>
      <c r="E252" s="10">
        <v>46189.371527777781</v>
      </c>
      <c r="F252" s="9" t="s">
        <v>30</v>
      </c>
      <c r="G252" s="9" t="s">
        <v>22</v>
      </c>
      <c r="H252" s="9" t="s">
        <v>25</v>
      </c>
      <c r="I252" s="11">
        <v>4.9000000000000004</v>
      </c>
      <c r="J252" s="11">
        <v>0</v>
      </c>
      <c r="K252" s="11">
        <v>1.6</v>
      </c>
      <c r="L252" s="11">
        <f t="shared" si="13"/>
        <v>165.32000000000087</v>
      </c>
      <c r="M252" s="11">
        <f t="shared" si="12"/>
        <v>166.92000000000087</v>
      </c>
      <c r="N252" s="11">
        <f>50-4.9</f>
        <v>45.1</v>
      </c>
      <c r="O252" s="10">
        <v>46194</v>
      </c>
    </row>
    <row r="253" spans="1:15" ht="7.5" customHeight="1" x14ac:dyDescent="0.15">
      <c r="A253" s="9">
        <v>2617</v>
      </c>
      <c r="B253" s="9" t="s">
        <v>18</v>
      </c>
      <c r="C253" s="9" t="s">
        <v>19</v>
      </c>
      <c r="D253" s="9" t="s">
        <v>20</v>
      </c>
      <c r="E253" s="10">
        <v>46189.691666666666</v>
      </c>
      <c r="F253" s="9" t="s">
        <v>31</v>
      </c>
      <c r="G253" s="9" t="s">
        <v>26</v>
      </c>
      <c r="H253" s="9" t="s">
        <v>23</v>
      </c>
      <c r="I253" s="11">
        <v>0</v>
      </c>
      <c r="J253" s="11">
        <v>0</v>
      </c>
      <c r="K253" s="11">
        <v>-6.5</v>
      </c>
      <c r="L253" s="11">
        <f t="shared" si="13"/>
        <v>166.92000000000087</v>
      </c>
      <c r="M253" s="11">
        <f t="shared" si="12"/>
        <v>160.42000000000087</v>
      </c>
      <c r="N253" s="9"/>
      <c r="O253" s="12"/>
    </row>
    <row r="254" spans="1:15" ht="7.5" customHeight="1" x14ac:dyDescent="0.15">
      <c r="A254" s="9">
        <v>2618</v>
      </c>
      <c r="B254" s="9" t="s">
        <v>18</v>
      </c>
      <c r="C254" s="9" t="s">
        <v>19</v>
      </c>
      <c r="D254" s="9" t="s">
        <v>20</v>
      </c>
      <c r="E254" s="10">
        <v>46189.701388888891</v>
      </c>
      <c r="F254" s="9" t="s">
        <v>30</v>
      </c>
      <c r="G254" s="9" t="s">
        <v>26</v>
      </c>
      <c r="H254" s="9" t="s">
        <v>27</v>
      </c>
      <c r="I254" s="11">
        <v>4.9000000000000004</v>
      </c>
      <c r="J254" s="11">
        <v>0</v>
      </c>
      <c r="K254" s="11">
        <v>1.6</v>
      </c>
      <c r="L254" s="11">
        <f t="shared" si="13"/>
        <v>160.42000000000087</v>
      </c>
      <c r="M254" s="11">
        <f t="shared" si="12"/>
        <v>162.02000000000086</v>
      </c>
      <c r="N254" s="11">
        <f>N252-I254</f>
        <v>40.200000000000003</v>
      </c>
      <c r="O254" s="10">
        <v>46194</v>
      </c>
    </row>
    <row r="255" spans="1:15" ht="7.5" customHeight="1" x14ac:dyDescent="0.15">
      <c r="A255" s="9">
        <v>2619</v>
      </c>
      <c r="B255" s="9" t="s">
        <v>18</v>
      </c>
      <c r="C255" s="9" t="s">
        <v>19</v>
      </c>
      <c r="D255" s="9" t="s">
        <v>20</v>
      </c>
      <c r="E255" s="10">
        <v>46191.365972222222</v>
      </c>
      <c r="F255" s="9" t="s">
        <v>31</v>
      </c>
      <c r="G255" s="9" t="s">
        <v>22</v>
      </c>
      <c r="H255" s="9" t="s">
        <v>23</v>
      </c>
      <c r="I255" s="11">
        <v>0</v>
      </c>
      <c r="J255" s="11">
        <v>0</v>
      </c>
      <c r="K255" s="11">
        <v>-6.5</v>
      </c>
      <c r="L255" s="11">
        <f t="shared" si="13"/>
        <v>162.02000000000086</v>
      </c>
      <c r="M255" s="11">
        <f t="shared" si="12"/>
        <v>155.52000000000086</v>
      </c>
      <c r="N255" s="11"/>
      <c r="O255" s="12"/>
    </row>
    <row r="256" spans="1:15" ht="7.5" customHeight="1" x14ac:dyDescent="0.15">
      <c r="A256" s="9">
        <v>2620</v>
      </c>
      <c r="B256" s="9" t="s">
        <v>18</v>
      </c>
      <c r="C256" s="9" t="s">
        <v>19</v>
      </c>
      <c r="D256" s="9" t="s">
        <v>20</v>
      </c>
      <c r="E256" s="10">
        <v>46191.373611111114</v>
      </c>
      <c r="F256" s="9" t="s">
        <v>30</v>
      </c>
      <c r="G256" s="9" t="s">
        <v>22</v>
      </c>
      <c r="H256" s="9" t="s">
        <v>25</v>
      </c>
      <c r="I256" s="11">
        <v>4.9000000000000004</v>
      </c>
      <c r="J256" s="11">
        <v>0</v>
      </c>
      <c r="K256" s="11">
        <v>1.6</v>
      </c>
      <c r="L256" s="11">
        <f t="shared" si="13"/>
        <v>155.52000000000086</v>
      </c>
      <c r="M256" s="11">
        <f t="shared" si="12"/>
        <v>157.12000000000086</v>
      </c>
      <c r="N256" s="11">
        <f>N254-I256</f>
        <v>35.300000000000004</v>
      </c>
      <c r="O256" s="10">
        <v>46194</v>
      </c>
    </row>
    <row r="257" spans="1:15" ht="7.5" customHeight="1" x14ac:dyDescent="0.15">
      <c r="A257" s="9">
        <v>2621</v>
      </c>
      <c r="B257" s="9" t="s">
        <v>18</v>
      </c>
      <c r="C257" s="9" t="s">
        <v>19</v>
      </c>
      <c r="D257" s="9" t="s">
        <v>20</v>
      </c>
      <c r="E257" s="10">
        <v>46191.690972222219</v>
      </c>
      <c r="F257" s="9" t="s">
        <v>31</v>
      </c>
      <c r="G257" s="9" t="s">
        <v>26</v>
      </c>
      <c r="H257" s="9" t="s">
        <v>23</v>
      </c>
      <c r="I257" s="11">
        <v>0</v>
      </c>
      <c r="J257" s="11">
        <v>0</v>
      </c>
      <c r="K257" s="11">
        <v>-6.5</v>
      </c>
      <c r="L257" s="11">
        <f t="shared" si="13"/>
        <v>157.12000000000086</v>
      </c>
      <c r="M257" s="11">
        <f t="shared" si="12"/>
        <v>150.62000000000086</v>
      </c>
      <c r="N257" s="11"/>
      <c r="O257" s="12"/>
    </row>
    <row r="258" spans="1:15" ht="7.5" customHeight="1" x14ac:dyDescent="0.15">
      <c r="A258" s="9">
        <v>2622</v>
      </c>
      <c r="B258" s="9" t="s">
        <v>18</v>
      </c>
      <c r="C258" s="9" t="s">
        <v>19</v>
      </c>
      <c r="D258" s="9" t="s">
        <v>20</v>
      </c>
      <c r="E258" s="10">
        <v>46191.700694444444</v>
      </c>
      <c r="F258" s="9" t="s">
        <v>30</v>
      </c>
      <c r="G258" s="9" t="s">
        <v>26</v>
      </c>
      <c r="H258" s="9" t="s">
        <v>27</v>
      </c>
      <c r="I258" s="11">
        <v>4.9000000000000004</v>
      </c>
      <c r="J258" s="11">
        <v>0</v>
      </c>
      <c r="K258" s="11">
        <v>1.6</v>
      </c>
      <c r="L258" s="11">
        <f t="shared" si="13"/>
        <v>150.62000000000086</v>
      </c>
      <c r="M258" s="11">
        <f t="shared" si="12"/>
        <v>152.22000000000085</v>
      </c>
      <c r="N258" s="11">
        <f>N256-I258</f>
        <v>30.400000000000006</v>
      </c>
      <c r="O258" s="10">
        <v>46194</v>
      </c>
    </row>
    <row r="259" spans="1:15" ht="7.5" customHeight="1" x14ac:dyDescent="0.15">
      <c r="A259" s="9">
        <v>2623</v>
      </c>
      <c r="B259" s="9" t="s">
        <v>18</v>
      </c>
      <c r="C259" s="9" t="s">
        <v>19</v>
      </c>
      <c r="D259" s="9" t="s">
        <v>20</v>
      </c>
      <c r="E259" s="10">
        <v>46196.36041666667</v>
      </c>
      <c r="F259" s="9" t="s">
        <v>31</v>
      </c>
      <c r="G259" s="9" t="s">
        <v>22</v>
      </c>
      <c r="H259" s="9" t="s">
        <v>23</v>
      </c>
      <c r="I259" s="11">
        <v>0</v>
      </c>
      <c r="J259" s="11">
        <v>0</v>
      </c>
      <c r="K259" s="11">
        <v>-6.5</v>
      </c>
      <c r="L259" s="11">
        <f t="shared" si="13"/>
        <v>152.22000000000085</v>
      </c>
      <c r="M259" s="11">
        <f t="shared" si="12"/>
        <v>145.72000000000085</v>
      </c>
      <c r="N259" s="11"/>
      <c r="O259" s="12"/>
    </row>
    <row r="260" spans="1:15" ht="7.5" customHeight="1" x14ac:dyDescent="0.15">
      <c r="A260" s="9">
        <v>2624</v>
      </c>
      <c r="B260" s="9" t="s">
        <v>18</v>
      </c>
      <c r="C260" s="9" t="s">
        <v>19</v>
      </c>
      <c r="D260" s="9" t="s">
        <v>20</v>
      </c>
      <c r="E260" s="10">
        <v>46196.369444444441</v>
      </c>
      <c r="F260" s="9" t="s">
        <v>30</v>
      </c>
      <c r="G260" s="9" t="s">
        <v>22</v>
      </c>
      <c r="H260" s="9" t="s">
        <v>25</v>
      </c>
      <c r="I260" s="11">
        <v>4.9000000000000004</v>
      </c>
      <c r="J260" s="11">
        <v>0</v>
      </c>
      <c r="K260" s="11">
        <v>1.6</v>
      </c>
      <c r="L260" s="11">
        <f t="shared" si="13"/>
        <v>145.72000000000085</v>
      </c>
      <c r="M260" s="11">
        <f t="shared" si="12"/>
        <v>147.32000000000085</v>
      </c>
      <c r="N260" s="11">
        <f>N258-I260</f>
        <v>25.500000000000007</v>
      </c>
      <c r="O260" s="10">
        <v>46201</v>
      </c>
    </row>
    <row r="261" spans="1:15" ht="7.5" customHeight="1" x14ac:dyDescent="0.15"/>
    <row r="262" spans="1:15" ht="7.5" customHeight="1" x14ac:dyDescent="0.15">
      <c r="E262" s="2"/>
    </row>
    <row r="263" spans="1:15" ht="7.5" customHeight="1" x14ac:dyDescent="0.15">
      <c r="E263" s="2"/>
    </row>
    <row r="264" spans="1:15" ht="7.5" customHeight="1" x14ac:dyDescent="0.15">
      <c r="E264" s="2"/>
    </row>
    <row r="265" spans="1:15" ht="7.5" customHeight="1" x14ac:dyDescent="0.15">
      <c r="E265" s="2"/>
    </row>
    <row r="266" spans="1:15" ht="7.5" customHeight="1" x14ac:dyDescent="0.25">
      <c r="E266" s="2"/>
      <c r="I266"/>
      <c r="J266"/>
      <c r="K266"/>
      <c r="L266"/>
    </row>
    <row r="267" spans="1:15" ht="7.5" customHeight="1" x14ac:dyDescent="0.15">
      <c r="A267" s="3">
        <v>2625</v>
      </c>
      <c r="B267" s="3" t="s">
        <v>18</v>
      </c>
      <c r="C267" s="3" t="s">
        <v>19</v>
      </c>
      <c r="D267" s="3" t="s">
        <v>20</v>
      </c>
      <c r="E267" s="4">
        <v>46196.69027777778</v>
      </c>
      <c r="F267" s="3" t="s">
        <v>31</v>
      </c>
      <c r="G267" s="9" t="s">
        <v>26</v>
      </c>
      <c r="H267" s="9" t="s">
        <v>23</v>
      </c>
      <c r="I267" s="5">
        <v>0</v>
      </c>
      <c r="J267" s="5">
        <v>0</v>
      </c>
      <c r="K267" s="5">
        <v>-6.5</v>
      </c>
      <c r="L267" s="5">
        <f>M260</f>
        <v>147.32000000000085</v>
      </c>
      <c r="M267" s="5">
        <f>L267+K267</f>
        <v>140.82000000000085</v>
      </c>
      <c r="N267" s="3"/>
      <c r="O267" s="3"/>
    </row>
    <row r="268" spans="1:15" ht="7.5" customHeight="1" x14ac:dyDescent="0.15">
      <c r="A268" s="3">
        <v>2626</v>
      </c>
      <c r="B268" s="3" t="s">
        <v>18</v>
      </c>
      <c r="C268" s="3" t="s">
        <v>19</v>
      </c>
      <c r="D268" s="3" t="s">
        <v>20</v>
      </c>
      <c r="E268" s="4">
        <v>46196.7</v>
      </c>
      <c r="F268" s="3" t="s">
        <v>30</v>
      </c>
      <c r="G268" s="9" t="s">
        <v>26</v>
      </c>
      <c r="H268" s="9" t="s">
        <v>27</v>
      </c>
      <c r="I268" s="5">
        <v>4.9000000000000004</v>
      </c>
      <c r="J268" s="5">
        <v>0</v>
      </c>
      <c r="K268" s="5">
        <v>1.6</v>
      </c>
      <c r="L268" s="5">
        <f>M267</f>
        <v>140.82000000000085</v>
      </c>
      <c r="M268" s="5">
        <f t="shared" ref="M268:M326" si="14">L268+K268</f>
        <v>142.42000000000084</v>
      </c>
      <c r="N268" s="5">
        <f>N260-I268</f>
        <v>20.600000000000009</v>
      </c>
      <c r="O268" s="4">
        <v>46201</v>
      </c>
    </row>
    <row r="269" spans="1:15" ht="7.5" customHeight="1" x14ac:dyDescent="0.15">
      <c r="A269" s="3">
        <v>2627</v>
      </c>
      <c r="B269" s="3" t="s">
        <v>18</v>
      </c>
      <c r="C269" s="3" t="s">
        <v>19</v>
      </c>
      <c r="D269" s="3" t="s">
        <v>20</v>
      </c>
      <c r="E269" s="4">
        <v>46197.364583333336</v>
      </c>
      <c r="F269" s="3" t="s">
        <v>31</v>
      </c>
      <c r="G269" s="9" t="s">
        <v>22</v>
      </c>
      <c r="H269" s="9" t="s">
        <v>23</v>
      </c>
      <c r="I269" s="5">
        <v>0</v>
      </c>
      <c r="J269" s="5">
        <v>0</v>
      </c>
      <c r="K269" s="5">
        <v>-6.5</v>
      </c>
      <c r="L269" s="5">
        <f t="shared" ref="L269:L326" si="15">M268</f>
        <v>142.42000000000084</v>
      </c>
      <c r="M269" s="5">
        <f t="shared" si="14"/>
        <v>135.92000000000084</v>
      </c>
      <c r="N269" s="3"/>
      <c r="O269" s="3"/>
    </row>
    <row r="270" spans="1:15" ht="7.5" customHeight="1" x14ac:dyDescent="0.15">
      <c r="A270" s="3">
        <v>2628</v>
      </c>
      <c r="B270" s="3" t="s">
        <v>18</v>
      </c>
      <c r="C270" s="3" t="s">
        <v>19</v>
      </c>
      <c r="D270" s="3" t="s">
        <v>20</v>
      </c>
      <c r="E270" s="4">
        <v>46197.372916666667</v>
      </c>
      <c r="F270" s="3" t="s">
        <v>30</v>
      </c>
      <c r="G270" s="9" t="s">
        <v>22</v>
      </c>
      <c r="H270" s="9" t="s">
        <v>25</v>
      </c>
      <c r="I270" s="5">
        <v>4.9000000000000004</v>
      </c>
      <c r="J270" s="5">
        <v>0</v>
      </c>
      <c r="K270" s="5">
        <v>1.6</v>
      </c>
      <c r="L270" s="5">
        <f t="shared" si="15"/>
        <v>135.92000000000084</v>
      </c>
      <c r="M270" s="5">
        <f t="shared" si="14"/>
        <v>137.52000000000083</v>
      </c>
      <c r="N270" s="5">
        <f>50-4.9</f>
        <v>45.1</v>
      </c>
      <c r="O270" s="4">
        <v>46201</v>
      </c>
    </row>
    <row r="271" spans="1:15" ht="7.5" customHeight="1" x14ac:dyDescent="0.15">
      <c r="A271" s="3">
        <v>2629</v>
      </c>
      <c r="B271" s="3" t="s">
        <v>18</v>
      </c>
      <c r="C271" s="3" t="s">
        <v>19</v>
      </c>
      <c r="D271" s="3" t="s">
        <v>20</v>
      </c>
      <c r="E271" s="4">
        <v>46197.692361111112</v>
      </c>
      <c r="F271" s="3" t="s">
        <v>31</v>
      </c>
      <c r="G271" s="9" t="s">
        <v>26</v>
      </c>
      <c r="H271" s="9" t="s">
        <v>23</v>
      </c>
      <c r="I271" s="5">
        <v>0</v>
      </c>
      <c r="J271" s="5">
        <v>0</v>
      </c>
      <c r="K271" s="5">
        <v>-6.5</v>
      </c>
      <c r="L271" s="5">
        <f t="shared" si="15"/>
        <v>137.52000000000083</v>
      </c>
      <c r="M271" s="5">
        <f t="shared" si="14"/>
        <v>131.02000000000083</v>
      </c>
      <c r="N271" s="3"/>
      <c r="O271" s="3"/>
    </row>
    <row r="272" spans="1:15" ht="7.5" customHeight="1" x14ac:dyDescent="0.15">
      <c r="A272" s="3">
        <v>2630</v>
      </c>
      <c r="B272" s="3" t="s">
        <v>18</v>
      </c>
      <c r="C272" s="3" t="s">
        <v>19</v>
      </c>
      <c r="D272" s="3" t="s">
        <v>20</v>
      </c>
      <c r="E272" s="4">
        <v>46197.702777777777</v>
      </c>
      <c r="F272" s="3" t="s">
        <v>30</v>
      </c>
      <c r="G272" s="9" t="s">
        <v>26</v>
      </c>
      <c r="H272" s="9" t="s">
        <v>27</v>
      </c>
      <c r="I272" s="5">
        <v>4.9000000000000004</v>
      </c>
      <c r="J272" s="5">
        <v>0</v>
      </c>
      <c r="K272" s="5">
        <v>1.6</v>
      </c>
      <c r="L272" s="5">
        <f t="shared" si="15"/>
        <v>131.02000000000083</v>
      </c>
      <c r="M272" s="5">
        <f t="shared" si="14"/>
        <v>132.62000000000083</v>
      </c>
      <c r="N272" s="5">
        <f>N270-I272</f>
        <v>40.200000000000003</v>
      </c>
      <c r="O272" s="4">
        <v>46201</v>
      </c>
    </row>
    <row r="273" spans="1:15" ht="7.5" customHeight="1" x14ac:dyDescent="0.15">
      <c r="A273" s="3">
        <v>2631</v>
      </c>
      <c r="B273" s="3" t="s">
        <v>18</v>
      </c>
      <c r="C273" s="3" t="s">
        <v>19</v>
      </c>
      <c r="D273" s="3" t="s">
        <v>20</v>
      </c>
      <c r="E273" s="4">
        <v>46198.361805555556</v>
      </c>
      <c r="F273" s="3" t="s">
        <v>31</v>
      </c>
      <c r="G273" s="9" t="s">
        <v>22</v>
      </c>
      <c r="H273" s="9" t="s">
        <v>23</v>
      </c>
      <c r="I273" s="5">
        <v>0</v>
      </c>
      <c r="J273" s="5">
        <v>0</v>
      </c>
      <c r="K273" s="5">
        <v>-6.5</v>
      </c>
      <c r="L273" s="5">
        <f t="shared" si="15"/>
        <v>132.62000000000083</v>
      </c>
      <c r="M273" s="5">
        <f t="shared" si="14"/>
        <v>126.12000000000083</v>
      </c>
      <c r="N273" s="5"/>
      <c r="O273" s="3"/>
    </row>
    <row r="274" spans="1:15" ht="7.5" customHeight="1" x14ac:dyDescent="0.15">
      <c r="A274" s="3">
        <v>2632</v>
      </c>
      <c r="B274" s="3" t="s">
        <v>18</v>
      </c>
      <c r="C274" s="3" t="s">
        <v>19</v>
      </c>
      <c r="D274" s="3" t="s">
        <v>20</v>
      </c>
      <c r="E274" s="4">
        <v>46198.370833333334</v>
      </c>
      <c r="F274" s="3" t="s">
        <v>30</v>
      </c>
      <c r="G274" s="9" t="s">
        <v>22</v>
      </c>
      <c r="H274" s="9" t="s">
        <v>25</v>
      </c>
      <c r="I274" s="5">
        <v>4.9000000000000004</v>
      </c>
      <c r="J274" s="5">
        <v>0</v>
      </c>
      <c r="K274" s="5">
        <v>1.6</v>
      </c>
      <c r="L274" s="5">
        <f t="shared" si="15"/>
        <v>126.12000000000083</v>
      </c>
      <c r="M274" s="5">
        <f t="shared" si="14"/>
        <v>127.72000000000082</v>
      </c>
      <c r="N274" s="5">
        <f>N272-I274</f>
        <v>35.300000000000004</v>
      </c>
      <c r="O274" s="4">
        <v>46201</v>
      </c>
    </row>
    <row r="275" spans="1:15" ht="7.5" customHeight="1" x14ac:dyDescent="0.15">
      <c r="A275" s="3">
        <v>2633</v>
      </c>
      <c r="B275" s="3" t="s">
        <v>18</v>
      </c>
      <c r="C275" s="3" t="s">
        <v>19</v>
      </c>
      <c r="D275" s="3" t="s">
        <v>20</v>
      </c>
      <c r="E275" s="4">
        <v>46198.688888888886</v>
      </c>
      <c r="F275" s="3" t="s">
        <v>31</v>
      </c>
      <c r="G275" s="9" t="s">
        <v>26</v>
      </c>
      <c r="H275" s="9" t="s">
        <v>23</v>
      </c>
      <c r="I275" s="5">
        <v>0</v>
      </c>
      <c r="J275" s="5">
        <v>0</v>
      </c>
      <c r="K275" s="5">
        <v>-6.5</v>
      </c>
      <c r="L275" s="5">
        <f t="shared" si="15"/>
        <v>127.72000000000082</v>
      </c>
      <c r="M275" s="5">
        <f t="shared" si="14"/>
        <v>121.22000000000082</v>
      </c>
      <c r="N275" s="5"/>
      <c r="O275" s="3"/>
    </row>
    <row r="276" spans="1:15" ht="7.5" customHeight="1" x14ac:dyDescent="0.15">
      <c r="A276" s="3">
        <v>2634</v>
      </c>
      <c r="B276" s="3" t="s">
        <v>18</v>
      </c>
      <c r="C276" s="3" t="s">
        <v>19</v>
      </c>
      <c r="D276" s="3" t="s">
        <v>20</v>
      </c>
      <c r="E276" s="4">
        <v>46198.698611111111</v>
      </c>
      <c r="F276" s="3" t="s">
        <v>30</v>
      </c>
      <c r="G276" s="9" t="s">
        <v>26</v>
      </c>
      <c r="H276" s="9" t="s">
        <v>27</v>
      </c>
      <c r="I276" s="5">
        <v>4.9000000000000004</v>
      </c>
      <c r="J276" s="5">
        <v>0</v>
      </c>
      <c r="K276" s="5">
        <v>1.6</v>
      </c>
      <c r="L276" s="5">
        <f t="shared" si="15"/>
        <v>121.22000000000082</v>
      </c>
      <c r="M276" s="5">
        <f t="shared" si="14"/>
        <v>122.82000000000082</v>
      </c>
      <c r="N276" s="5">
        <f>N274-I276</f>
        <v>30.400000000000006</v>
      </c>
      <c r="O276" s="4">
        <v>46201</v>
      </c>
    </row>
    <row r="277" spans="1:15" ht="7.5" customHeight="1" x14ac:dyDescent="0.15">
      <c r="A277" s="3">
        <v>2635</v>
      </c>
      <c r="B277" s="3" t="s">
        <v>18</v>
      </c>
      <c r="C277" s="3" t="s">
        <v>19</v>
      </c>
      <c r="D277" s="3" t="s">
        <v>20</v>
      </c>
      <c r="E277" s="4">
        <v>46204.361111111109</v>
      </c>
      <c r="F277" s="3" t="s">
        <v>31</v>
      </c>
      <c r="G277" s="9" t="s">
        <v>22</v>
      </c>
      <c r="H277" s="9" t="s">
        <v>23</v>
      </c>
      <c r="I277" s="5">
        <v>0</v>
      </c>
      <c r="J277" s="5">
        <v>0</v>
      </c>
      <c r="K277" s="5">
        <v>-6.5</v>
      </c>
      <c r="L277" s="5">
        <f t="shared" si="15"/>
        <v>122.82000000000082</v>
      </c>
      <c r="M277" s="5">
        <f t="shared" si="14"/>
        <v>116.32000000000082</v>
      </c>
      <c r="N277" s="5"/>
      <c r="O277" s="3"/>
    </row>
    <row r="278" spans="1:15" ht="7.5" customHeight="1" x14ac:dyDescent="0.15">
      <c r="A278" s="3">
        <v>2636</v>
      </c>
      <c r="B278" s="3" t="s">
        <v>18</v>
      </c>
      <c r="C278" s="3" t="s">
        <v>19</v>
      </c>
      <c r="D278" s="3" t="s">
        <v>20</v>
      </c>
      <c r="E278" s="4">
        <v>46204.369444444441</v>
      </c>
      <c r="F278" s="3" t="s">
        <v>30</v>
      </c>
      <c r="G278" s="9" t="s">
        <v>22</v>
      </c>
      <c r="H278" s="9" t="s">
        <v>25</v>
      </c>
      <c r="I278" s="5">
        <v>4.9000000000000004</v>
      </c>
      <c r="J278" s="5">
        <v>0</v>
      </c>
      <c r="K278" s="5">
        <v>1.6</v>
      </c>
      <c r="L278" s="5">
        <f t="shared" si="15"/>
        <v>116.32000000000082</v>
      </c>
      <c r="M278" s="5">
        <f t="shared" si="14"/>
        <v>117.92000000000081</v>
      </c>
      <c r="N278" s="5">
        <f>N276-I278</f>
        <v>25.500000000000007</v>
      </c>
      <c r="O278" s="4">
        <v>46208</v>
      </c>
    </row>
    <row r="279" spans="1:15" ht="7.5" customHeight="1" x14ac:dyDescent="0.15">
      <c r="A279" s="3">
        <v>2637</v>
      </c>
      <c r="B279" s="3" t="s">
        <v>18</v>
      </c>
      <c r="C279" s="3" t="s">
        <v>19</v>
      </c>
      <c r="D279" s="3" t="s">
        <v>20</v>
      </c>
      <c r="E279" s="4">
        <v>46204.690972222219</v>
      </c>
      <c r="F279" s="3" t="s">
        <v>31</v>
      </c>
      <c r="G279" s="9" t="s">
        <v>26</v>
      </c>
      <c r="H279" s="9" t="s">
        <v>23</v>
      </c>
      <c r="I279" s="5">
        <v>0</v>
      </c>
      <c r="J279" s="5">
        <v>0</v>
      </c>
      <c r="K279" s="5">
        <v>-6.5</v>
      </c>
      <c r="L279" s="5">
        <f t="shared" si="15"/>
        <v>117.92000000000081</v>
      </c>
      <c r="M279" s="5">
        <f t="shared" si="14"/>
        <v>111.42000000000081</v>
      </c>
      <c r="N279" s="5"/>
      <c r="O279" s="3"/>
    </row>
    <row r="280" spans="1:15" ht="7.5" customHeight="1" x14ac:dyDescent="0.15">
      <c r="A280" s="3">
        <v>2638</v>
      </c>
      <c r="B280" s="3" t="s">
        <v>18</v>
      </c>
      <c r="C280" s="3" t="s">
        <v>19</v>
      </c>
      <c r="D280" s="3" t="s">
        <v>20</v>
      </c>
      <c r="E280" s="4">
        <v>46204.701388888891</v>
      </c>
      <c r="F280" s="3" t="s">
        <v>30</v>
      </c>
      <c r="G280" s="9" t="s">
        <v>26</v>
      </c>
      <c r="H280" s="9" t="s">
        <v>27</v>
      </c>
      <c r="I280" s="5">
        <v>4.9000000000000004</v>
      </c>
      <c r="J280" s="5">
        <v>0</v>
      </c>
      <c r="K280" s="5">
        <v>1.6</v>
      </c>
      <c r="L280" s="5">
        <f t="shared" si="15"/>
        <v>111.42000000000081</v>
      </c>
      <c r="M280" s="5">
        <f t="shared" si="14"/>
        <v>113.02000000000081</v>
      </c>
      <c r="N280" s="5">
        <f>N278-I280</f>
        <v>20.600000000000009</v>
      </c>
      <c r="O280" s="4">
        <v>46208</v>
      </c>
    </row>
    <row r="281" spans="1:15" ht="7.5" customHeight="1" x14ac:dyDescent="0.15">
      <c r="A281" s="3">
        <v>2639</v>
      </c>
      <c r="B281" s="3" t="s">
        <v>18</v>
      </c>
      <c r="C281" s="3" t="s">
        <v>19</v>
      </c>
      <c r="D281" s="3" t="s">
        <v>20</v>
      </c>
      <c r="E281" s="4">
        <v>46205.365277777775</v>
      </c>
      <c r="F281" s="3" t="s">
        <v>31</v>
      </c>
      <c r="G281" s="9" t="s">
        <v>22</v>
      </c>
      <c r="H281" s="9" t="s">
        <v>23</v>
      </c>
      <c r="I281" s="5">
        <v>0</v>
      </c>
      <c r="J281" s="5">
        <v>0</v>
      </c>
      <c r="K281" s="5">
        <v>-6.5</v>
      </c>
      <c r="L281" s="5">
        <f t="shared" si="15"/>
        <v>113.02000000000081</v>
      </c>
      <c r="M281" s="5">
        <f t="shared" si="14"/>
        <v>106.52000000000081</v>
      </c>
      <c r="N281" s="3"/>
      <c r="O281" s="3"/>
    </row>
    <row r="282" spans="1:15" ht="7.5" customHeight="1" x14ac:dyDescent="0.15">
      <c r="A282" s="3">
        <v>2640</v>
      </c>
      <c r="B282" s="3" t="s">
        <v>18</v>
      </c>
      <c r="C282" s="3" t="s">
        <v>19</v>
      </c>
      <c r="D282" s="3" t="s">
        <v>20</v>
      </c>
      <c r="E282" s="4">
        <v>46205.372916666667</v>
      </c>
      <c r="F282" s="3" t="s">
        <v>30</v>
      </c>
      <c r="G282" s="9" t="s">
        <v>22</v>
      </c>
      <c r="H282" s="9" t="s">
        <v>25</v>
      </c>
      <c r="I282" s="5">
        <v>4.9000000000000004</v>
      </c>
      <c r="J282" s="5">
        <v>0</v>
      </c>
      <c r="K282" s="5">
        <v>1.6</v>
      </c>
      <c r="L282" s="5">
        <f t="shared" si="15"/>
        <v>106.52000000000081</v>
      </c>
      <c r="M282" s="5">
        <f t="shared" si="14"/>
        <v>108.1200000000008</v>
      </c>
      <c r="N282" s="5">
        <f>50-4.9</f>
        <v>45.1</v>
      </c>
      <c r="O282" s="4">
        <v>46208</v>
      </c>
    </row>
    <row r="283" spans="1:15" ht="7.5" customHeight="1" x14ac:dyDescent="0.15">
      <c r="A283" s="3">
        <v>2641</v>
      </c>
      <c r="B283" s="3" t="s">
        <v>18</v>
      </c>
      <c r="C283" s="3" t="s">
        <v>19</v>
      </c>
      <c r="D283" s="3" t="s">
        <v>20</v>
      </c>
      <c r="E283" s="4">
        <v>46205.693749999999</v>
      </c>
      <c r="F283" s="3" t="s">
        <v>31</v>
      </c>
      <c r="G283" s="9" t="s">
        <v>26</v>
      </c>
      <c r="H283" s="9" t="s">
        <v>23</v>
      </c>
      <c r="I283" s="5">
        <v>0</v>
      </c>
      <c r="J283" s="5">
        <v>0</v>
      </c>
      <c r="K283" s="5">
        <v>-6.5</v>
      </c>
      <c r="L283" s="5">
        <f t="shared" si="15"/>
        <v>108.1200000000008</v>
      </c>
      <c r="M283" s="5">
        <f t="shared" si="14"/>
        <v>101.6200000000008</v>
      </c>
      <c r="N283" s="3"/>
      <c r="O283" s="3"/>
    </row>
    <row r="284" spans="1:15" ht="7.5" customHeight="1" x14ac:dyDescent="0.15">
      <c r="A284" s="3">
        <v>2642</v>
      </c>
      <c r="B284" s="3" t="s">
        <v>18</v>
      </c>
      <c r="C284" s="3" t="s">
        <v>19</v>
      </c>
      <c r="D284" s="3" t="s">
        <v>20</v>
      </c>
      <c r="E284" s="4">
        <v>46205.70416666667</v>
      </c>
      <c r="F284" s="3" t="s">
        <v>30</v>
      </c>
      <c r="G284" s="9" t="s">
        <v>26</v>
      </c>
      <c r="H284" s="9" t="s">
        <v>27</v>
      </c>
      <c r="I284" s="5">
        <v>4.9000000000000004</v>
      </c>
      <c r="J284" s="5">
        <v>0</v>
      </c>
      <c r="K284" s="5">
        <v>1.6</v>
      </c>
      <c r="L284" s="5">
        <f t="shared" si="15"/>
        <v>101.6200000000008</v>
      </c>
      <c r="M284" s="5">
        <f t="shared" si="14"/>
        <v>103.22000000000079</v>
      </c>
      <c r="N284" s="5">
        <f>N282-I284</f>
        <v>40.200000000000003</v>
      </c>
      <c r="O284" s="4">
        <v>46208</v>
      </c>
    </row>
    <row r="285" spans="1:15" ht="7.5" customHeight="1" x14ac:dyDescent="0.15">
      <c r="A285" s="3">
        <v>2643</v>
      </c>
      <c r="B285" s="3" t="s">
        <v>18</v>
      </c>
      <c r="C285" s="3" t="s">
        <v>19</v>
      </c>
      <c r="D285" s="3" t="s">
        <v>20</v>
      </c>
      <c r="E285" s="4">
        <v>46210.362500000003</v>
      </c>
      <c r="F285" s="3" t="s">
        <v>31</v>
      </c>
      <c r="G285" s="9" t="s">
        <v>22</v>
      </c>
      <c r="H285" s="9" t="s">
        <v>23</v>
      </c>
      <c r="I285" s="5">
        <v>0</v>
      </c>
      <c r="J285" s="5">
        <v>0</v>
      </c>
      <c r="K285" s="5">
        <v>-6.5</v>
      </c>
      <c r="L285" s="5">
        <f t="shared" si="15"/>
        <v>103.22000000000079</v>
      </c>
      <c r="M285" s="5">
        <f t="shared" si="14"/>
        <v>96.720000000000795</v>
      </c>
      <c r="N285" s="5"/>
      <c r="O285" s="3"/>
    </row>
    <row r="286" spans="1:15" ht="7.5" customHeight="1" x14ac:dyDescent="0.15">
      <c r="A286" s="3">
        <v>2644</v>
      </c>
      <c r="B286" s="3" t="s">
        <v>18</v>
      </c>
      <c r="C286" s="3" t="s">
        <v>19</v>
      </c>
      <c r="D286" s="3" t="s">
        <v>20</v>
      </c>
      <c r="E286" s="4">
        <v>46210.371527777781</v>
      </c>
      <c r="F286" s="3" t="s">
        <v>30</v>
      </c>
      <c r="G286" s="9" t="s">
        <v>22</v>
      </c>
      <c r="H286" s="9" t="s">
        <v>25</v>
      </c>
      <c r="I286" s="5">
        <v>4.9000000000000004</v>
      </c>
      <c r="J286" s="5">
        <v>0</v>
      </c>
      <c r="K286" s="5">
        <v>1.6</v>
      </c>
      <c r="L286" s="5">
        <f t="shared" si="15"/>
        <v>96.720000000000795</v>
      </c>
      <c r="M286" s="5">
        <f t="shared" si="14"/>
        <v>98.320000000000789</v>
      </c>
      <c r="N286" s="5">
        <f>N284-I286</f>
        <v>35.300000000000004</v>
      </c>
      <c r="O286" s="4">
        <v>46215</v>
      </c>
    </row>
    <row r="287" spans="1:15" ht="7.5" customHeight="1" x14ac:dyDescent="0.15">
      <c r="A287" s="3">
        <v>2645</v>
      </c>
      <c r="B287" s="3" t="s">
        <v>18</v>
      </c>
      <c r="C287" s="3" t="s">
        <v>19</v>
      </c>
      <c r="D287" s="3" t="s">
        <v>20</v>
      </c>
      <c r="E287" s="4">
        <v>46210.69027777778</v>
      </c>
      <c r="F287" s="3" t="s">
        <v>31</v>
      </c>
      <c r="G287" s="9" t="s">
        <v>26</v>
      </c>
      <c r="H287" s="9" t="s">
        <v>23</v>
      </c>
      <c r="I287" s="5">
        <v>0</v>
      </c>
      <c r="J287" s="5">
        <v>0</v>
      </c>
      <c r="K287" s="5">
        <v>-6.5</v>
      </c>
      <c r="L287" s="5">
        <f t="shared" si="15"/>
        <v>98.320000000000789</v>
      </c>
      <c r="M287" s="5">
        <f t="shared" si="14"/>
        <v>91.820000000000789</v>
      </c>
      <c r="N287" s="5"/>
      <c r="O287" s="3"/>
    </row>
    <row r="288" spans="1:15" ht="7.5" customHeight="1" x14ac:dyDescent="0.15">
      <c r="A288" s="3">
        <v>2646</v>
      </c>
      <c r="B288" s="3" t="s">
        <v>18</v>
      </c>
      <c r="C288" s="3" t="s">
        <v>19</v>
      </c>
      <c r="D288" s="3" t="s">
        <v>20</v>
      </c>
      <c r="E288" s="4">
        <v>46210.700694444444</v>
      </c>
      <c r="F288" s="3" t="s">
        <v>30</v>
      </c>
      <c r="G288" s="9" t="s">
        <v>26</v>
      </c>
      <c r="H288" s="9" t="s">
        <v>27</v>
      </c>
      <c r="I288" s="5">
        <v>4.9000000000000004</v>
      </c>
      <c r="J288" s="5">
        <v>0</v>
      </c>
      <c r="K288" s="5">
        <v>1.6</v>
      </c>
      <c r="L288" s="5">
        <f t="shared" si="15"/>
        <v>91.820000000000789</v>
      </c>
      <c r="M288" s="5">
        <f t="shared" si="14"/>
        <v>93.420000000000783</v>
      </c>
      <c r="N288" s="5">
        <f>N286-I288</f>
        <v>30.400000000000006</v>
      </c>
      <c r="O288" s="4">
        <v>46215</v>
      </c>
    </row>
    <row r="289" spans="1:15" ht="7.5" customHeight="1" x14ac:dyDescent="0.15">
      <c r="A289" s="3">
        <v>2647</v>
      </c>
      <c r="B289" s="3" t="s">
        <v>18</v>
      </c>
      <c r="C289" s="3" t="s">
        <v>19</v>
      </c>
      <c r="D289" s="3" t="s">
        <v>20</v>
      </c>
      <c r="E289" s="4">
        <v>46212.364583333336</v>
      </c>
      <c r="F289" s="3" t="s">
        <v>31</v>
      </c>
      <c r="G289" s="9" t="s">
        <v>22</v>
      </c>
      <c r="H289" s="9" t="s">
        <v>23</v>
      </c>
      <c r="I289" s="5">
        <v>0</v>
      </c>
      <c r="J289" s="5">
        <v>0</v>
      </c>
      <c r="K289" s="5">
        <v>-6.5</v>
      </c>
      <c r="L289" s="5">
        <f t="shared" si="15"/>
        <v>93.420000000000783</v>
      </c>
      <c r="M289" s="5">
        <f t="shared" si="14"/>
        <v>86.920000000000783</v>
      </c>
      <c r="N289" s="5"/>
      <c r="O289" s="3"/>
    </row>
    <row r="290" spans="1:15" ht="7.5" customHeight="1" x14ac:dyDescent="0.15">
      <c r="A290" s="3">
        <v>2648</v>
      </c>
      <c r="B290" s="3" t="s">
        <v>18</v>
      </c>
      <c r="C290" s="3" t="s">
        <v>19</v>
      </c>
      <c r="D290" s="3" t="s">
        <v>20</v>
      </c>
      <c r="E290" s="4">
        <v>46212.37222222222</v>
      </c>
      <c r="F290" s="3" t="s">
        <v>30</v>
      </c>
      <c r="G290" s="9" t="s">
        <v>22</v>
      </c>
      <c r="H290" s="9" t="s">
        <v>25</v>
      </c>
      <c r="I290" s="5">
        <v>4.9000000000000004</v>
      </c>
      <c r="J290" s="5">
        <v>0</v>
      </c>
      <c r="K290" s="5">
        <v>1.6</v>
      </c>
      <c r="L290" s="5">
        <f t="shared" si="15"/>
        <v>86.920000000000783</v>
      </c>
      <c r="M290" s="5">
        <f t="shared" si="14"/>
        <v>88.520000000000778</v>
      </c>
      <c r="N290" s="5">
        <f>N288-I290</f>
        <v>25.500000000000007</v>
      </c>
      <c r="O290" s="4">
        <v>46215</v>
      </c>
    </row>
    <row r="291" spans="1:15" ht="7.5" customHeight="1" x14ac:dyDescent="0.15">
      <c r="A291" s="3">
        <v>2649</v>
      </c>
      <c r="B291" s="3" t="s">
        <v>18</v>
      </c>
      <c r="C291" s="3" t="s">
        <v>19</v>
      </c>
      <c r="D291" s="3" t="s">
        <v>20</v>
      </c>
      <c r="E291" s="4">
        <v>46212.689583333333</v>
      </c>
      <c r="F291" s="3" t="s">
        <v>31</v>
      </c>
      <c r="G291" s="9" t="s">
        <v>26</v>
      </c>
      <c r="H291" s="9" t="s">
        <v>23</v>
      </c>
      <c r="I291" s="5">
        <v>0</v>
      </c>
      <c r="J291" s="5">
        <v>0</v>
      </c>
      <c r="K291" s="5">
        <v>-6.5</v>
      </c>
      <c r="L291" s="5">
        <f t="shared" si="15"/>
        <v>88.520000000000778</v>
      </c>
      <c r="M291" s="5">
        <f t="shared" si="14"/>
        <v>82.020000000000778</v>
      </c>
      <c r="N291" s="5"/>
      <c r="O291" s="3"/>
    </row>
    <row r="292" spans="1:15" ht="7.5" customHeight="1" x14ac:dyDescent="0.15">
      <c r="A292" s="3">
        <v>2650</v>
      </c>
      <c r="B292" s="3" t="s">
        <v>18</v>
      </c>
      <c r="C292" s="3" t="s">
        <v>19</v>
      </c>
      <c r="D292" s="3" t="s">
        <v>20</v>
      </c>
      <c r="E292" s="4">
        <v>46212.7</v>
      </c>
      <c r="F292" s="3" t="s">
        <v>30</v>
      </c>
      <c r="G292" s="9" t="s">
        <v>26</v>
      </c>
      <c r="H292" s="9" t="s">
        <v>27</v>
      </c>
      <c r="I292" s="5">
        <v>4.9000000000000004</v>
      </c>
      <c r="J292" s="5">
        <v>0</v>
      </c>
      <c r="K292" s="5">
        <v>1.6</v>
      </c>
      <c r="L292" s="5">
        <f t="shared" si="15"/>
        <v>82.020000000000778</v>
      </c>
      <c r="M292" s="5">
        <f t="shared" si="14"/>
        <v>83.620000000000772</v>
      </c>
      <c r="N292" s="5">
        <f>N290-I292</f>
        <v>20.600000000000009</v>
      </c>
      <c r="O292" s="4">
        <v>46215</v>
      </c>
    </row>
    <row r="293" spans="1:15" ht="7.5" customHeight="1" x14ac:dyDescent="0.15">
      <c r="A293" s="3">
        <v>2651</v>
      </c>
      <c r="B293" s="3" t="s">
        <v>18</v>
      </c>
      <c r="C293" s="3" t="s">
        <v>19</v>
      </c>
      <c r="D293" s="3" t="s">
        <v>20</v>
      </c>
      <c r="E293" s="4">
        <v>46217.361111111109</v>
      </c>
      <c r="F293" s="3" t="s">
        <v>31</v>
      </c>
      <c r="G293" s="9" t="s">
        <v>22</v>
      </c>
      <c r="H293" s="9" t="s">
        <v>23</v>
      </c>
      <c r="I293" s="5">
        <v>0</v>
      </c>
      <c r="J293" s="5">
        <v>0</v>
      </c>
      <c r="K293" s="5">
        <v>-6.5</v>
      </c>
      <c r="L293" s="5">
        <f t="shared" si="15"/>
        <v>83.620000000000772</v>
      </c>
      <c r="M293" s="5">
        <f t="shared" si="14"/>
        <v>77.120000000000772</v>
      </c>
      <c r="N293" s="3"/>
      <c r="O293" s="3"/>
    </row>
    <row r="294" spans="1:15" ht="7.5" customHeight="1" x14ac:dyDescent="0.15">
      <c r="A294" s="3">
        <v>2652</v>
      </c>
      <c r="B294" s="3" t="s">
        <v>18</v>
      </c>
      <c r="C294" s="3" t="s">
        <v>19</v>
      </c>
      <c r="D294" s="3" t="s">
        <v>20</v>
      </c>
      <c r="E294" s="4">
        <v>46217.370833333334</v>
      </c>
      <c r="F294" s="3" t="s">
        <v>30</v>
      </c>
      <c r="G294" s="9" t="s">
        <v>22</v>
      </c>
      <c r="H294" s="9" t="s">
        <v>25</v>
      </c>
      <c r="I294" s="5">
        <v>4.9000000000000004</v>
      </c>
      <c r="J294" s="5">
        <v>0</v>
      </c>
      <c r="K294" s="5">
        <v>1.6</v>
      </c>
      <c r="L294" s="5">
        <f t="shared" si="15"/>
        <v>77.120000000000772</v>
      </c>
      <c r="M294" s="5">
        <f t="shared" si="14"/>
        <v>78.720000000000766</v>
      </c>
      <c r="N294" s="5">
        <f>50-4.9</f>
        <v>45.1</v>
      </c>
      <c r="O294" s="4">
        <v>46222</v>
      </c>
    </row>
    <row r="295" spans="1:15" ht="7.5" customHeight="1" x14ac:dyDescent="0.15">
      <c r="A295" s="3">
        <v>2653</v>
      </c>
      <c r="B295" s="3" t="s">
        <v>18</v>
      </c>
      <c r="C295" s="3" t="s">
        <v>19</v>
      </c>
      <c r="D295" s="3" t="s">
        <v>20</v>
      </c>
      <c r="E295" s="4">
        <v>46217.691666666666</v>
      </c>
      <c r="F295" s="3" t="s">
        <v>31</v>
      </c>
      <c r="G295" s="9" t="s">
        <v>26</v>
      </c>
      <c r="H295" s="9" t="s">
        <v>23</v>
      </c>
      <c r="I295" s="5">
        <v>0</v>
      </c>
      <c r="J295" s="5">
        <v>0</v>
      </c>
      <c r="K295" s="5">
        <v>-6.5</v>
      </c>
      <c r="L295" s="5">
        <f t="shared" si="15"/>
        <v>78.720000000000766</v>
      </c>
      <c r="M295" s="5">
        <f t="shared" si="14"/>
        <v>72.220000000000766</v>
      </c>
      <c r="N295" s="3"/>
      <c r="O295" s="3"/>
    </row>
    <row r="296" spans="1:15" ht="7.5" customHeight="1" x14ac:dyDescent="0.15">
      <c r="A296" s="3">
        <v>2654</v>
      </c>
      <c r="B296" s="3" t="s">
        <v>18</v>
      </c>
      <c r="C296" s="3" t="s">
        <v>19</v>
      </c>
      <c r="D296" s="3" t="s">
        <v>20</v>
      </c>
      <c r="E296" s="4">
        <v>46217.70208333333</v>
      </c>
      <c r="F296" s="3" t="s">
        <v>30</v>
      </c>
      <c r="G296" s="9" t="s">
        <v>26</v>
      </c>
      <c r="H296" s="9" t="s">
        <v>27</v>
      </c>
      <c r="I296" s="5">
        <v>4.9000000000000004</v>
      </c>
      <c r="J296" s="5">
        <v>0</v>
      </c>
      <c r="K296" s="5">
        <v>1.6</v>
      </c>
      <c r="L296" s="5">
        <f t="shared" si="15"/>
        <v>72.220000000000766</v>
      </c>
      <c r="M296" s="5">
        <f t="shared" si="14"/>
        <v>73.820000000000761</v>
      </c>
      <c r="N296" s="5">
        <f>N294-I296</f>
        <v>40.200000000000003</v>
      </c>
      <c r="O296" s="4">
        <v>46222</v>
      </c>
    </row>
    <row r="297" spans="1:15" ht="7.5" customHeight="1" x14ac:dyDescent="0.15">
      <c r="A297" s="3">
        <v>2655</v>
      </c>
      <c r="B297" s="3" t="s">
        <v>18</v>
      </c>
      <c r="C297" s="3" t="s">
        <v>19</v>
      </c>
      <c r="D297" s="3" t="s">
        <v>20</v>
      </c>
      <c r="E297" s="4">
        <v>46218.363194444442</v>
      </c>
      <c r="F297" s="3" t="s">
        <v>31</v>
      </c>
      <c r="G297" s="9" t="s">
        <v>22</v>
      </c>
      <c r="H297" s="9" t="s">
        <v>23</v>
      </c>
      <c r="I297" s="5">
        <v>0</v>
      </c>
      <c r="J297" s="5">
        <v>0</v>
      </c>
      <c r="K297" s="5">
        <v>-6.5</v>
      </c>
      <c r="L297" s="5">
        <f t="shared" si="15"/>
        <v>73.820000000000761</v>
      </c>
      <c r="M297" s="5">
        <f t="shared" si="14"/>
        <v>67.320000000000761</v>
      </c>
      <c r="N297" s="5"/>
      <c r="O297" s="3"/>
    </row>
    <row r="298" spans="1:15" ht="7.5" customHeight="1" x14ac:dyDescent="0.15">
      <c r="A298" s="3">
        <v>2656</v>
      </c>
      <c r="B298" s="3" t="s">
        <v>18</v>
      </c>
      <c r="C298" s="3" t="s">
        <v>19</v>
      </c>
      <c r="D298" s="3" t="s">
        <v>20</v>
      </c>
      <c r="E298" s="4">
        <v>46218.372916666667</v>
      </c>
      <c r="F298" s="3" t="s">
        <v>30</v>
      </c>
      <c r="G298" s="9" t="s">
        <v>22</v>
      </c>
      <c r="H298" s="9" t="s">
        <v>25</v>
      </c>
      <c r="I298" s="5">
        <v>4.9000000000000004</v>
      </c>
      <c r="J298" s="5">
        <v>0</v>
      </c>
      <c r="K298" s="5">
        <v>1.6</v>
      </c>
      <c r="L298" s="5">
        <f t="shared" si="15"/>
        <v>67.320000000000761</v>
      </c>
      <c r="M298" s="5">
        <f t="shared" si="14"/>
        <v>68.920000000000755</v>
      </c>
      <c r="N298" s="5">
        <f>N296-I298</f>
        <v>35.300000000000004</v>
      </c>
      <c r="O298" s="4">
        <v>46222</v>
      </c>
    </row>
    <row r="299" spans="1:15" ht="7.5" customHeight="1" x14ac:dyDescent="0.15">
      <c r="A299" s="3">
        <v>2657</v>
      </c>
      <c r="B299" s="3" t="s">
        <v>18</v>
      </c>
      <c r="C299" s="3" t="s">
        <v>19</v>
      </c>
      <c r="D299" s="3" t="s">
        <v>20</v>
      </c>
      <c r="E299" s="4">
        <v>46218.693749999999</v>
      </c>
      <c r="F299" s="3" t="s">
        <v>31</v>
      </c>
      <c r="G299" s="9" t="s">
        <v>26</v>
      </c>
      <c r="H299" s="9" t="s">
        <v>23</v>
      </c>
      <c r="I299" s="5">
        <v>0</v>
      </c>
      <c r="J299" s="5">
        <v>0</v>
      </c>
      <c r="K299" s="5">
        <v>-6.5</v>
      </c>
      <c r="L299" s="5">
        <f t="shared" si="15"/>
        <v>68.920000000000755</v>
      </c>
      <c r="M299" s="5">
        <f t="shared" si="14"/>
        <v>62.420000000000755</v>
      </c>
      <c r="N299" s="5"/>
      <c r="O299" s="3"/>
    </row>
    <row r="300" spans="1:15" ht="7.5" customHeight="1" x14ac:dyDescent="0.15">
      <c r="A300" s="3">
        <v>2658</v>
      </c>
      <c r="B300" s="3" t="s">
        <v>18</v>
      </c>
      <c r="C300" s="3" t="s">
        <v>19</v>
      </c>
      <c r="D300" s="3" t="s">
        <v>20</v>
      </c>
      <c r="E300" s="4">
        <v>46218.703472222223</v>
      </c>
      <c r="F300" s="3" t="s">
        <v>30</v>
      </c>
      <c r="G300" s="9" t="s">
        <v>26</v>
      </c>
      <c r="H300" s="9" t="s">
        <v>27</v>
      </c>
      <c r="I300" s="5">
        <v>4.9000000000000004</v>
      </c>
      <c r="J300" s="5">
        <v>0</v>
      </c>
      <c r="K300" s="5">
        <v>1.6</v>
      </c>
      <c r="L300" s="5">
        <f t="shared" si="15"/>
        <v>62.420000000000755</v>
      </c>
      <c r="M300" s="5">
        <f t="shared" si="14"/>
        <v>64.020000000000749</v>
      </c>
      <c r="N300" s="5">
        <f>N298-I300</f>
        <v>30.400000000000006</v>
      </c>
      <c r="O300" s="4">
        <v>46222</v>
      </c>
    </row>
    <row r="301" spans="1:15" ht="7.5" customHeight="1" x14ac:dyDescent="0.15">
      <c r="A301" s="3">
        <v>2659</v>
      </c>
      <c r="B301" s="3" t="s">
        <v>18</v>
      </c>
      <c r="C301" s="3" t="s">
        <v>19</v>
      </c>
      <c r="D301" s="3" t="s">
        <v>20</v>
      </c>
      <c r="E301" s="4">
        <v>46219.361805555556</v>
      </c>
      <c r="F301" s="3" t="s">
        <v>31</v>
      </c>
      <c r="G301" s="9" t="s">
        <v>22</v>
      </c>
      <c r="H301" s="9" t="s">
        <v>23</v>
      </c>
      <c r="I301" s="5">
        <v>0</v>
      </c>
      <c r="J301" s="5">
        <v>0</v>
      </c>
      <c r="K301" s="5">
        <v>-6.5</v>
      </c>
      <c r="L301" s="5">
        <f t="shared" si="15"/>
        <v>64.020000000000749</v>
      </c>
      <c r="M301" s="5">
        <f t="shared" si="14"/>
        <v>57.520000000000749</v>
      </c>
      <c r="N301" s="5"/>
      <c r="O301" s="3"/>
    </row>
    <row r="302" spans="1:15" ht="7.5" customHeight="1" x14ac:dyDescent="0.15">
      <c r="A302" s="3">
        <v>2660</v>
      </c>
      <c r="B302" s="3" t="s">
        <v>18</v>
      </c>
      <c r="C302" s="3" t="s">
        <v>19</v>
      </c>
      <c r="D302" s="3" t="s">
        <v>20</v>
      </c>
      <c r="E302" s="4">
        <v>46219.371527777781</v>
      </c>
      <c r="F302" s="3" t="s">
        <v>30</v>
      </c>
      <c r="G302" s="9" t="s">
        <v>22</v>
      </c>
      <c r="H302" s="9" t="s">
        <v>25</v>
      </c>
      <c r="I302" s="5">
        <v>4.9000000000000004</v>
      </c>
      <c r="J302" s="5">
        <v>0</v>
      </c>
      <c r="K302" s="5">
        <v>1.6</v>
      </c>
      <c r="L302" s="5">
        <f t="shared" si="15"/>
        <v>57.520000000000749</v>
      </c>
      <c r="M302" s="5">
        <f t="shared" si="14"/>
        <v>59.120000000000751</v>
      </c>
      <c r="N302" s="5">
        <f>N300-I302</f>
        <v>25.500000000000007</v>
      </c>
      <c r="O302" s="4">
        <v>46222</v>
      </c>
    </row>
    <row r="303" spans="1:15" ht="7.5" customHeight="1" x14ac:dyDescent="0.15">
      <c r="A303" s="3">
        <v>2661</v>
      </c>
      <c r="B303" s="3" t="s">
        <v>18</v>
      </c>
      <c r="C303" s="3" t="s">
        <v>19</v>
      </c>
      <c r="D303" s="3" t="s">
        <v>20</v>
      </c>
      <c r="E303" s="4">
        <v>46219.690972222219</v>
      </c>
      <c r="F303" s="3" t="s">
        <v>31</v>
      </c>
      <c r="G303" s="9" t="s">
        <v>26</v>
      </c>
      <c r="H303" s="9" t="s">
        <v>23</v>
      </c>
      <c r="I303" s="5">
        <v>0</v>
      </c>
      <c r="J303" s="5">
        <v>0</v>
      </c>
      <c r="K303" s="5">
        <v>-6.5</v>
      </c>
      <c r="L303" s="5">
        <f t="shared" si="15"/>
        <v>59.120000000000751</v>
      </c>
      <c r="M303" s="5">
        <f t="shared" si="14"/>
        <v>52.620000000000751</v>
      </c>
      <c r="N303" s="5"/>
      <c r="O303" s="3"/>
    </row>
    <row r="304" spans="1:15" ht="7.5" customHeight="1" x14ac:dyDescent="0.15">
      <c r="A304" s="3">
        <v>2662</v>
      </c>
      <c r="B304" s="3" t="s">
        <v>18</v>
      </c>
      <c r="C304" s="3" t="s">
        <v>19</v>
      </c>
      <c r="D304" s="3" t="s">
        <v>20</v>
      </c>
      <c r="E304" s="4">
        <v>46219.700694444444</v>
      </c>
      <c r="F304" s="3" t="s">
        <v>30</v>
      </c>
      <c r="G304" s="9" t="s">
        <v>26</v>
      </c>
      <c r="H304" s="9" t="s">
        <v>27</v>
      </c>
      <c r="I304" s="5">
        <v>4.9000000000000004</v>
      </c>
      <c r="J304" s="5">
        <v>0</v>
      </c>
      <c r="K304" s="5">
        <v>1.6</v>
      </c>
      <c r="L304" s="5">
        <f t="shared" si="15"/>
        <v>52.620000000000751</v>
      </c>
      <c r="M304" s="5">
        <f t="shared" si="14"/>
        <v>54.220000000000752</v>
      </c>
      <c r="N304" s="5">
        <f>N302-I304</f>
        <v>20.600000000000009</v>
      </c>
      <c r="O304" s="4">
        <v>46222</v>
      </c>
    </row>
    <row r="305" spans="1:15" ht="7.5" customHeight="1" x14ac:dyDescent="0.15">
      <c r="A305" s="3">
        <v>2663</v>
      </c>
      <c r="B305" s="3" t="s">
        <v>18</v>
      </c>
      <c r="C305" s="3" t="s">
        <v>19</v>
      </c>
      <c r="D305" s="3" t="s">
        <v>20</v>
      </c>
      <c r="E305" s="4">
        <v>46225.364583333336</v>
      </c>
      <c r="F305" s="3" t="s">
        <v>31</v>
      </c>
      <c r="G305" s="9" t="s">
        <v>22</v>
      </c>
      <c r="H305" s="9" t="s">
        <v>23</v>
      </c>
      <c r="I305" s="5">
        <v>0</v>
      </c>
      <c r="J305" s="5">
        <v>0</v>
      </c>
      <c r="K305" s="5">
        <v>-6.5</v>
      </c>
      <c r="L305" s="5">
        <f t="shared" si="15"/>
        <v>54.220000000000752</v>
      </c>
      <c r="M305" s="5">
        <f t="shared" si="14"/>
        <v>47.720000000000752</v>
      </c>
      <c r="N305" s="3"/>
      <c r="O305" s="3"/>
    </row>
    <row r="306" spans="1:15" ht="7.5" customHeight="1" x14ac:dyDescent="0.15">
      <c r="A306" s="3">
        <v>2664</v>
      </c>
      <c r="B306" s="3" t="s">
        <v>18</v>
      </c>
      <c r="C306" s="3" t="s">
        <v>19</v>
      </c>
      <c r="D306" s="3" t="s">
        <v>20</v>
      </c>
      <c r="E306" s="4">
        <v>46225.37222222222</v>
      </c>
      <c r="F306" s="3" t="s">
        <v>30</v>
      </c>
      <c r="G306" s="9" t="s">
        <v>22</v>
      </c>
      <c r="H306" s="9" t="s">
        <v>25</v>
      </c>
      <c r="I306" s="5">
        <v>4.9000000000000004</v>
      </c>
      <c r="J306" s="5">
        <v>0</v>
      </c>
      <c r="K306" s="5">
        <v>1.6</v>
      </c>
      <c r="L306" s="5">
        <f t="shared" si="15"/>
        <v>47.720000000000752</v>
      </c>
      <c r="M306" s="5">
        <f t="shared" si="14"/>
        <v>49.320000000000753</v>
      </c>
      <c r="N306" s="5">
        <f>50-4.9</f>
        <v>45.1</v>
      </c>
      <c r="O306" s="4">
        <v>46229</v>
      </c>
    </row>
    <row r="307" spans="1:15" ht="7.5" customHeight="1" x14ac:dyDescent="0.15">
      <c r="A307" s="3">
        <v>2665</v>
      </c>
      <c r="B307" s="3" t="s">
        <v>18</v>
      </c>
      <c r="C307" s="3" t="s">
        <v>19</v>
      </c>
      <c r="D307" s="3" t="s">
        <v>20</v>
      </c>
      <c r="E307" s="4">
        <v>46225.693055555559</v>
      </c>
      <c r="F307" s="3" t="s">
        <v>31</v>
      </c>
      <c r="G307" s="9" t="s">
        <v>26</v>
      </c>
      <c r="H307" s="9" t="s">
        <v>23</v>
      </c>
      <c r="I307" s="5">
        <v>0</v>
      </c>
      <c r="J307" s="5">
        <v>0</v>
      </c>
      <c r="K307" s="5">
        <v>-6.5</v>
      </c>
      <c r="L307" s="5">
        <f t="shared" si="15"/>
        <v>49.320000000000753</v>
      </c>
      <c r="M307" s="5">
        <f t="shared" si="14"/>
        <v>42.820000000000753</v>
      </c>
      <c r="N307" s="3"/>
      <c r="O307" s="3"/>
    </row>
    <row r="308" spans="1:15" ht="7.5" customHeight="1" x14ac:dyDescent="0.15">
      <c r="A308" s="3">
        <v>2666</v>
      </c>
      <c r="B308" s="3" t="s">
        <v>18</v>
      </c>
      <c r="C308" s="3" t="s">
        <v>19</v>
      </c>
      <c r="D308" s="3" t="s">
        <v>20</v>
      </c>
      <c r="E308" s="4">
        <v>46225.702777777777</v>
      </c>
      <c r="F308" s="3" t="s">
        <v>30</v>
      </c>
      <c r="G308" s="9" t="s">
        <v>26</v>
      </c>
      <c r="H308" s="9" t="s">
        <v>27</v>
      </c>
      <c r="I308" s="5">
        <v>4.9000000000000004</v>
      </c>
      <c r="J308" s="5">
        <v>0</v>
      </c>
      <c r="K308" s="5">
        <v>1.6</v>
      </c>
      <c r="L308" s="5">
        <f t="shared" si="15"/>
        <v>42.820000000000753</v>
      </c>
      <c r="M308" s="5">
        <f t="shared" si="14"/>
        <v>44.420000000000755</v>
      </c>
      <c r="N308" s="5">
        <f>N306-I308</f>
        <v>40.200000000000003</v>
      </c>
      <c r="O308" s="4">
        <v>46229</v>
      </c>
    </row>
    <row r="309" spans="1:15" ht="7.5" customHeight="1" x14ac:dyDescent="0.15">
      <c r="A309" s="3">
        <v>2667</v>
      </c>
      <c r="B309" s="3" t="s">
        <v>18</v>
      </c>
      <c r="C309" s="3" t="s">
        <v>19</v>
      </c>
      <c r="D309" s="3" t="s">
        <v>20</v>
      </c>
      <c r="E309" s="4">
        <v>46226.362500000003</v>
      </c>
      <c r="F309" s="3" t="s">
        <v>31</v>
      </c>
      <c r="G309" s="9" t="s">
        <v>22</v>
      </c>
      <c r="H309" s="9" t="s">
        <v>23</v>
      </c>
      <c r="I309" s="5">
        <v>0</v>
      </c>
      <c r="J309" s="5">
        <v>0</v>
      </c>
      <c r="K309" s="5">
        <v>-6.5</v>
      </c>
      <c r="L309" s="5">
        <f t="shared" si="15"/>
        <v>44.420000000000755</v>
      </c>
      <c r="M309" s="5">
        <f t="shared" si="14"/>
        <v>37.920000000000755</v>
      </c>
      <c r="N309" s="5"/>
      <c r="O309" s="3"/>
    </row>
    <row r="310" spans="1:15" ht="7.5" customHeight="1" x14ac:dyDescent="0.15">
      <c r="A310" s="3">
        <v>2668</v>
      </c>
      <c r="B310" s="3" t="s">
        <v>18</v>
      </c>
      <c r="C310" s="3" t="s">
        <v>19</v>
      </c>
      <c r="D310" s="3" t="s">
        <v>20</v>
      </c>
      <c r="E310" s="4">
        <v>46226.371527777781</v>
      </c>
      <c r="F310" s="3" t="s">
        <v>30</v>
      </c>
      <c r="G310" s="9" t="s">
        <v>22</v>
      </c>
      <c r="H310" s="9" t="s">
        <v>25</v>
      </c>
      <c r="I310" s="5">
        <v>4.9000000000000004</v>
      </c>
      <c r="J310" s="5">
        <v>0</v>
      </c>
      <c r="K310" s="5">
        <v>1.6</v>
      </c>
      <c r="L310" s="5">
        <f t="shared" si="15"/>
        <v>37.920000000000755</v>
      </c>
      <c r="M310" s="5">
        <f t="shared" si="14"/>
        <v>39.520000000000756</v>
      </c>
      <c r="N310" s="5">
        <f>N308-I310</f>
        <v>35.300000000000004</v>
      </c>
      <c r="O310" s="4">
        <v>46229</v>
      </c>
    </row>
    <row r="311" spans="1:15" ht="7.5" customHeight="1" x14ac:dyDescent="0.15">
      <c r="A311" s="3">
        <v>2669</v>
      </c>
      <c r="B311" s="3" t="s">
        <v>18</v>
      </c>
      <c r="C311" s="3" t="s">
        <v>19</v>
      </c>
      <c r="D311" s="3" t="s">
        <v>20</v>
      </c>
      <c r="E311" s="4">
        <v>46226.691666666666</v>
      </c>
      <c r="F311" s="3" t="s">
        <v>31</v>
      </c>
      <c r="G311" s="9" t="s">
        <v>26</v>
      </c>
      <c r="H311" s="9" t="s">
        <v>23</v>
      </c>
      <c r="I311" s="5">
        <v>0</v>
      </c>
      <c r="J311" s="5">
        <v>0</v>
      </c>
      <c r="K311" s="5">
        <v>-6.5</v>
      </c>
      <c r="L311" s="5">
        <f t="shared" si="15"/>
        <v>39.520000000000756</v>
      </c>
      <c r="M311" s="5">
        <f t="shared" si="14"/>
        <v>33.020000000000756</v>
      </c>
      <c r="N311" s="5"/>
      <c r="O311" s="3"/>
    </row>
    <row r="312" spans="1:15" ht="7.5" customHeight="1" x14ac:dyDescent="0.15">
      <c r="A312" s="3">
        <v>2670</v>
      </c>
      <c r="B312" s="3" t="s">
        <v>18</v>
      </c>
      <c r="C312" s="3" t="s">
        <v>19</v>
      </c>
      <c r="D312" s="3" t="s">
        <v>20</v>
      </c>
      <c r="E312" s="4">
        <v>46226.701388888891</v>
      </c>
      <c r="F312" s="3" t="s">
        <v>30</v>
      </c>
      <c r="G312" s="9" t="s">
        <v>26</v>
      </c>
      <c r="H312" s="9" t="s">
        <v>27</v>
      </c>
      <c r="I312" s="5">
        <v>4.9000000000000004</v>
      </c>
      <c r="J312" s="5">
        <v>0</v>
      </c>
      <c r="K312" s="5">
        <v>1.6</v>
      </c>
      <c r="L312" s="5">
        <f t="shared" si="15"/>
        <v>33.020000000000756</v>
      </c>
      <c r="M312" s="5">
        <f t="shared" si="14"/>
        <v>34.620000000000758</v>
      </c>
      <c r="N312" s="5">
        <f>N310-I312</f>
        <v>30.400000000000006</v>
      </c>
      <c r="O312" s="4">
        <v>46229</v>
      </c>
    </row>
    <row r="313" spans="1:15" ht="7.5" customHeight="1" x14ac:dyDescent="0.15">
      <c r="A313" s="3">
        <v>2671</v>
      </c>
      <c r="B313" s="3" t="s">
        <v>18</v>
      </c>
      <c r="C313" s="3" t="s">
        <v>19</v>
      </c>
      <c r="D313" s="3" t="s">
        <v>20</v>
      </c>
      <c r="E313" s="4">
        <v>46231.363888888889</v>
      </c>
      <c r="F313" s="3" t="s">
        <v>21</v>
      </c>
      <c r="G313" s="9" t="s">
        <v>22</v>
      </c>
      <c r="H313" s="9" t="s">
        <v>23</v>
      </c>
      <c r="I313" s="5">
        <v>0</v>
      </c>
      <c r="J313" s="5">
        <v>0</v>
      </c>
      <c r="K313" s="5">
        <v>-6.5</v>
      </c>
      <c r="L313" s="5">
        <f t="shared" si="15"/>
        <v>34.620000000000758</v>
      </c>
      <c r="M313" s="5">
        <f t="shared" si="14"/>
        <v>28.120000000000758</v>
      </c>
      <c r="N313" s="5"/>
      <c r="O313" s="3"/>
    </row>
    <row r="314" spans="1:15" ht="7.5" customHeight="1" x14ac:dyDescent="0.15">
      <c r="A314" s="3">
        <v>2672</v>
      </c>
      <c r="B314" s="3" t="s">
        <v>18</v>
      </c>
      <c r="C314" s="3" t="s">
        <v>19</v>
      </c>
      <c r="D314" s="3" t="s">
        <v>20</v>
      </c>
      <c r="E314" s="4">
        <v>46231.372916666667</v>
      </c>
      <c r="F314" s="3" t="s">
        <v>24</v>
      </c>
      <c r="G314" s="9" t="s">
        <v>22</v>
      </c>
      <c r="H314" s="9" t="s">
        <v>25</v>
      </c>
      <c r="I314" s="5">
        <v>4.9000000000000004</v>
      </c>
      <c r="J314" s="5">
        <v>0</v>
      </c>
      <c r="K314" s="5">
        <v>1.6</v>
      </c>
      <c r="L314" s="5">
        <f t="shared" si="15"/>
        <v>28.120000000000758</v>
      </c>
      <c r="M314" s="5">
        <f t="shared" si="14"/>
        <v>29.720000000000759</v>
      </c>
      <c r="N314" s="5">
        <f>N312-I314</f>
        <v>25.500000000000007</v>
      </c>
      <c r="O314" s="4">
        <v>46236</v>
      </c>
    </row>
    <row r="315" spans="1:15" ht="7.5" customHeight="1" x14ac:dyDescent="0.15">
      <c r="A315" s="3">
        <v>2673</v>
      </c>
      <c r="B315" s="3" t="s">
        <v>18</v>
      </c>
      <c r="C315" s="3" t="s">
        <v>19</v>
      </c>
      <c r="D315" s="3" t="s">
        <v>20</v>
      </c>
      <c r="E315" s="4">
        <v>46231.693749999999</v>
      </c>
      <c r="F315" s="3" t="s">
        <v>21</v>
      </c>
      <c r="G315" s="9" t="s">
        <v>26</v>
      </c>
      <c r="H315" s="9" t="s">
        <v>23</v>
      </c>
      <c r="I315" s="5">
        <v>0</v>
      </c>
      <c r="J315" s="5">
        <v>0</v>
      </c>
      <c r="K315" s="5">
        <v>-6.5</v>
      </c>
      <c r="L315" s="5">
        <f t="shared" si="15"/>
        <v>29.720000000000759</v>
      </c>
      <c r="M315" s="5">
        <f t="shared" si="14"/>
        <v>23.220000000000759</v>
      </c>
      <c r="N315" s="5"/>
      <c r="O315" s="3"/>
    </row>
    <row r="316" spans="1:15" ht="7.5" customHeight="1" x14ac:dyDescent="0.15">
      <c r="A316" s="3">
        <v>2674</v>
      </c>
      <c r="B316" s="3" t="s">
        <v>18</v>
      </c>
      <c r="C316" s="3" t="s">
        <v>19</v>
      </c>
      <c r="D316" s="3" t="s">
        <v>20</v>
      </c>
      <c r="E316" s="4">
        <v>46231.70416666667</v>
      </c>
      <c r="F316" s="3" t="s">
        <v>24</v>
      </c>
      <c r="G316" s="9" t="s">
        <v>26</v>
      </c>
      <c r="H316" s="9" t="s">
        <v>27</v>
      </c>
      <c r="I316" s="5">
        <v>4.9000000000000004</v>
      </c>
      <c r="J316" s="5">
        <v>0</v>
      </c>
      <c r="K316" s="5">
        <v>1.6</v>
      </c>
      <c r="L316" s="5">
        <f t="shared" si="15"/>
        <v>23.220000000000759</v>
      </c>
      <c r="M316" s="5">
        <f t="shared" si="14"/>
        <v>24.820000000000761</v>
      </c>
      <c r="N316" s="5">
        <f>N314-I316</f>
        <v>20.600000000000009</v>
      </c>
      <c r="O316" s="4">
        <v>46236</v>
      </c>
    </row>
    <row r="317" spans="1:15" ht="7.5" customHeight="1" x14ac:dyDescent="0.15">
      <c r="A317" s="3">
        <v>2675</v>
      </c>
      <c r="B317" s="3" t="s">
        <v>18</v>
      </c>
      <c r="C317" s="3" t="s">
        <v>19</v>
      </c>
      <c r="D317" s="3" t="s">
        <v>20</v>
      </c>
      <c r="E317" s="4">
        <v>46232.361805555556</v>
      </c>
      <c r="F317" s="3" t="s">
        <v>21</v>
      </c>
      <c r="G317" s="9" t="s">
        <v>22</v>
      </c>
      <c r="H317" s="9" t="s">
        <v>23</v>
      </c>
      <c r="I317" s="5">
        <v>0</v>
      </c>
      <c r="J317" s="5">
        <v>0</v>
      </c>
      <c r="K317" s="5">
        <v>-6.5</v>
      </c>
      <c r="L317" s="5">
        <f t="shared" si="15"/>
        <v>24.820000000000761</v>
      </c>
      <c r="M317" s="5">
        <f t="shared" si="14"/>
        <v>18.320000000000761</v>
      </c>
      <c r="N317" s="3"/>
      <c r="O317" s="3"/>
    </row>
    <row r="318" spans="1:15" ht="7.5" customHeight="1" x14ac:dyDescent="0.15">
      <c r="A318" s="3">
        <v>2676</v>
      </c>
      <c r="B318" s="3" t="s">
        <v>18</v>
      </c>
      <c r="C318" s="3" t="s">
        <v>19</v>
      </c>
      <c r="D318" s="3" t="s">
        <v>20</v>
      </c>
      <c r="E318" s="4">
        <v>46232.370138888888</v>
      </c>
      <c r="F318" s="3" t="s">
        <v>30</v>
      </c>
      <c r="G318" s="9" t="s">
        <v>22</v>
      </c>
      <c r="H318" s="9" t="s">
        <v>25</v>
      </c>
      <c r="I318" s="5">
        <v>4.9000000000000004</v>
      </c>
      <c r="J318" s="5">
        <v>0</v>
      </c>
      <c r="K318" s="5">
        <v>1.6</v>
      </c>
      <c r="L318" s="5">
        <f t="shared" si="15"/>
        <v>18.320000000000761</v>
      </c>
      <c r="M318" s="5">
        <f t="shared" si="14"/>
        <v>19.920000000000762</v>
      </c>
      <c r="N318" s="5">
        <f>50-4.9</f>
        <v>45.1</v>
      </c>
      <c r="O318" s="4">
        <v>46236</v>
      </c>
    </row>
    <row r="319" spans="1:15" ht="7.5" customHeight="1" x14ac:dyDescent="0.15">
      <c r="A319" s="3">
        <v>2677</v>
      </c>
      <c r="B319" s="3" t="s">
        <v>18</v>
      </c>
      <c r="C319" s="3" t="s">
        <v>19</v>
      </c>
      <c r="D319" s="3" t="s">
        <v>20</v>
      </c>
      <c r="E319" s="4">
        <v>46232.690972222219</v>
      </c>
      <c r="F319" s="3" t="s">
        <v>31</v>
      </c>
      <c r="G319" s="9" t="s">
        <v>26</v>
      </c>
      <c r="H319" s="9" t="s">
        <v>23</v>
      </c>
      <c r="I319" s="5">
        <v>0</v>
      </c>
      <c r="J319" s="5">
        <v>0</v>
      </c>
      <c r="K319" s="5">
        <v>-6.5</v>
      </c>
      <c r="L319" s="5">
        <f t="shared" si="15"/>
        <v>19.920000000000762</v>
      </c>
      <c r="M319" s="5">
        <f t="shared" si="14"/>
        <v>13.420000000000762</v>
      </c>
      <c r="N319" s="3"/>
      <c r="O319" s="3"/>
    </row>
    <row r="320" spans="1:15" ht="7.5" customHeight="1" x14ac:dyDescent="0.15">
      <c r="A320" s="3">
        <v>2678</v>
      </c>
      <c r="B320" s="3" t="s">
        <v>18</v>
      </c>
      <c r="C320" s="3" t="s">
        <v>19</v>
      </c>
      <c r="D320" s="3" t="s">
        <v>20</v>
      </c>
      <c r="E320" s="4">
        <v>46232.700694444444</v>
      </c>
      <c r="F320" s="3" t="s">
        <v>30</v>
      </c>
      <c r="G320" s="9" t="s">
        <v>26</v>
      </c>
      <c r="H320" s="9" t="s">
        <v>27</v>
      </c>
      <c r="I320" s="5">
        <v>4.9000000000000004</v>
      </c>
      <c r="J320" s="5">
        <v>0</v>
      </c>
      <c r="K320" s="5">
        <v>1.6</v>
      </c>
      <c r="L320" s="5">
        <f t="shared" si="15"/>
        <v>13.420000000000762</v>
      </c>
      <c r="M320" s="5">
        <f t="shared" si="14"/>
        <v>15.020000000000762</v>
      </c>
      <c r="N320" s="5">
        <f>N318-I320</f>
        <v>40.200000000000003</v>
      </c>
      <c r="O320" s="4">
        <v>46236</v>
      </c>
    </row>
    <row r="321" spans="1:15" ht="7.5" customHeight="1" x14ac:dyDescent="0.15">
      <c r="A321" s="3">
        <v>2679</v>
      </c>
      <c r="B321" s="3" t="s">
        <v>18</v>
      </c>
      <c r="C321" s="3" t="s">
        <v>19</v>
      </c>
      <c r="D321" s="3" t="s">
        <v>20</v>
      </c>
      <c r="E321" s="4">
        <v>46233.365277777775</v>
      </c>
      <c r="F321" s="3" t="s">
        <v>31</v>
      </c>
      <c r="G321" s="9" t="s">
        <v>22</v>
      </c>
      <c r="H321" s="9" t="s">
        <v>23</v>
      </c>
      <c r="I321" s="5">
        <v>0</v>
      </c>
      <c r="J321" s="5">
        <v>0</v>
      </c>
      <c r="K321" s="5">
        <v>-6.5</v>
      </c>
      <c r="L321" s="5">
        <f t="shared" si="15"/>
        <v>15.020000000000762</v>
      </c>
      <c r="M321" s="5">
        <f t="shared" si="14"/>
        <v>8.5200000000007616</v>
      </c>
      <c r="N321" s="5"/>
      <c r="O321" s="3"/>
    </row>
    <row r="322" spans="1:15" ht="7.5" customHeight="1" x14ac:dyDescent="0.15">
      <c r="A322" s="3">
        <v>2680</v>
      </c>
      <c r="B322" s="3" t="s">
        <v>18</v>
      </c>
      <c r="C322" s="3" t="s">
        <v>19</v>
      </c>
      <c r="D322" s="3" t="s">
        <v>20</v>
      </c>
      <c r="E322" s="4">
        <v>46233.373611111114</v>
      </c>
      <c r="F322" s="3" t="s">
        <v>30</v>
      </c>
      <c r="G322" s="9" t="s">
        <v>22</v>
      </c>
      <c r="H322" s="9" t="s">
        <v>25</v>
      </c>
      <c r="I322" s="5">
        <v>4.9000000000000004</v>
      </c>
      <c r="J322" s="5">
        <v>0</v>
      </c>
      <c r="K322" s="5">
        <v>1.6</v>
      </c>
      <c r="L322" s="5">
        <f t="shared" si="15"/>
        <v>8.5200000000007616</v>
      </c>
      <c r="M322" s="5">
        <f t="shared" si="14"/>
        <v>10.120000000000761</v>
      </c>
      <c r="N322" s="5">
        <f>N320-I322</f>
        <v>35.300000000000004</v>
      </c>
      <c r="O322" s="4">
        <v>46236</v>
      </c>
    </row>
    <row r="323" spans="1:15" ht="7.5" customHeight="1" x14ac:dyDescent="0.15">
      <c r="A323" s="3">
        <v>2681</v>
      </c>
      <c r="B323" s="3" t="s">
        <v>18</v>
      </c>
      <c r="C323" s="3" t="s">
        <v>19</v>
      </c>
      <c r="D323" s="3" t="s">
        <v>20</v>
      </c>
      <c r="E323" s="4">
        <v>46233.694444444445</v>
      </c>
      <c r="F323" s="3" t="s">
        <v>31</v>
      </c>
      <c r="G323" s="9" t="s">
        <v>26</v>
      </c>
      <c r="H323" s="9" t="s">
        <v>23</v>
      </c>
      <c r="I323" s="5">
        <v>0</v>
      </c>
      <c r="J323" s="5">
        <v>0</v>
      </c>
      <c r="K323" s="5">
        <v>-6.5</v>
      </c>
      <c r="L323" s="5">
        <f t="shared" si="15"/>
        <v>10.120000000000761</v>
      </c>
      <c r="M323" s="5">
        <f t="shared" si="14"/>
        <v>3.6200000000007613</v>
      </c>
      <c r="N323" s="5"/>
      <c r="O323" s="3"/>
    </row>
    <row r="324" spans="1:15" ht="7.5" customHeight="1" x14ac:dyDescent="0.15">
      <c r="A324" s="3">
        <v>2682</v>
      </c>
      <c r="B324" s="3" t="s">
        <v>18</v>
      </c>
      <c r="C324" s="3" t="s">
        <v>19</v>
      </c>
      <c r="D324" s="3" t="s">
        <v>20</v>
      </c>
      <c r="E324" s="4">
        <v>46233.704861111109</v>
      </c>
      <c r="F324" s="3" t="s">
        <v>30</v>
      </c>
      <c r="G324" s="9" t="s">
        <v>26</v>
      </c>
      <c r="H324" s="9" t="s">
        <v>27</v>
      </c>
      <c r="I324" s="5">
        <v>4.9000000000000004</v>
      </c>
      <c r="J324" s="5">
        <v>0</v>
      </c>
      <c r="K324" s="5">
        <v>1.6</v>
      </c>
      <c r="L324" s="5">
        <f t="shared" si="15"/>
        <v>3.6200000000007613</v>
      </c>
      <c r="M324" s="5">
        <f t="shared" si="14"/>
        <v>5.2200000000007609</v>
      </c>
      <c r="N324" s="5">
        <f>N322-I324</f>
        <v>30.400000000000006</v>
      </c>
      <c r="O324" s="4">
        <v>46236</v>
      </c>
    </row>
    <row r="325" spans="1:15" ht="7.5" customHeight="1" x14ac:dyDescent="0.15">
      <c r="A325" s="3">
        <v>2683</v>
      </c>
      <c r="B325" s="3" t="s">
        <v>18</v>
      </c>
      <c r="C325" s="3" t="s">
        <v>19</v>
      </c>
      <c r="D325" s="3" t="s">
        <v>20</v>
      </c>
      <c r="E325" s="4">
        <v>46238.361111111109</v>
      </c>
      <c r="F325" s="3" t="s">
        <v>31</v>
      </c>
      <c r="G325" s="9" t="s">
        <v>22</v>
      </c>
      <c r="H325" s="9" t="s">
        <v>23</v>
      </c>
      <c r="I325" s="5">
        <v>0</v>
      </c>
      <c r="J325" s="5">
        <v>0</v>
      </c>
      <c r="K325" s="5">
        <v>-6.5</v>
      </c>
      <c r="L325" s="5">
        <f t="shared" si="15"/>
        <v>5.2200000000007609</v>
      </c>
      <c r="M325" s="5">
        <f t="shared" si="14"/>
        <v>-1.2799999999992391</v>
      </c>
      <c r="N325" s="3"/>
      <c r="O325" s="3"/>
    </row>
    <row r="326" spans="1:15" ht="7.5" customHeight="1" x14ac:dyDescent="0.15">
      <c r="A326" s="3">
        <v>2684</v>
      </c>
      <c r="B326" s="3" t="s">
        <v>18</v>
      </c>
      <c r="C326" s="3" t="s">
        <v>19</v>
      </c>
      <c r="D326" s="3" t="s">
        <v>20</v>
      </c>
      <c r="E326" s="4">
        <v>46238.370833333334</v>
      </c>
      <c r="F326" s="3" t="s">
        <v>30</v>
      </c>
      <c r="G326" s="9" t="s">
        <v>22</v>
      </c>
      <c r="H326" s="9" t="s">
        <v>25</v>
      </c>
      <c r="I326" s="5">
        <v>4.9000000000000004</v>
      </c>
      <c r="J326" s="5">
        <v>0</v>
      </c>
      <c r="K326" s="5">
        <v>1.6</v>
      </c>
      <c r="L326" s="5">
        <f t="shared" si="15"/>
        <v>-1.2799999999992391</v>
      </c>
      <c r="M326" s="5">
        <f t="shared" si="14"/>
        <v>0.32000000000076101</v>
      </c>
      <c r="N326" s="5">
        <f>50-4.9</f>
        <v>45.1</v>
      </c>
      <c r="O326" s="4">
        <v>46243</v>
      </c>
    </row>
    <row r="327" spans="1:15" ht="7.5" customHeight="1" x14ac:dyDescent="0.15">
      <c r="E327" s="2"/>
    </row>
    <row r="328" spans="1:15" ht="7.5" customHeight="1" x14ac:dyDescent="0.15">
      <c r="E328" s="2"/>
    </row>
    <row r="329" spans="1:15" ht="7.5" customHeight="1" x14ac:dyDescent="0.15">
      <c r="E329" s="2"/>
    </row>
    <row r="330" spans="1:15" ht="7.5" customHeight="1" x14ac:dyDescent="0.15">
      <c r="E330" s="2"/>
    </row>
    <row r="331" spans="1:15" ht="7.5" customHeight="1" x14ac:dyDescent="0.15"/>
    <row r="332" spans="1:15" ht="7.5" customHeight="1" x14ac:dyDescent="0.15"/>
    <row r="333" spans="1:15" ht="7.5" customHeight="1" x14ac:dyDescent="0.15">
      <c r="A333" s="3">
        <v>2685</v>
      </c>
      <c r="B333" s="9" t="s">
        <v>18</v>
      </c>
      <c r="C333" s="9" t="s">
        <v>28</v>
      </c>
      <c r="D333" s="9" t="s">
        <v>28</v>
      </c>
      <c r="E333" s="4">
        <v>46238.695138888892</v>
      </c>
      <c r="F333" s="9" t="s">
        <v>29</v>
      </c>
      <c r="G333" s="9" t="s">
        <v>26</v>
      </c>
      <c r="H333" s="9" t="s">
        <v>23</v>
      </c>
      <c r="I333" s="11">
        <v>0</v>
      </c>
      <c r="J333" s="11">
        <v>0</v>
      </c>
      <c r="K333" s="11">
        <v>200</v>
      </c>
      <c r="L333" s="11">
        <f>M326</f>
        <v>0.32000000000076101</v>
      </c>
      <c r="M333" s="11">
        <f t="shared" ref="M333:M339" si="16">L333+K333</f>
        <v>200.32000000000076</v>
      </c>
      <c r="N333" s="3"/>
      <c r="O333" s="3"/>
    </row>
    <row r="334" spans="1:15" ht="7.5" customHeight="1" x14ac:dyDescent="0.15">
      <c r="A334" s="3">
        <v>2686</v>
      </c>
      <c r="B334" s="3" t="s">
        <v>18</v>
      </c>
      <c r="C334" s="3" t="s">
        <v>19</v>
      </c>
      <c r="D334" s="3" t="s">
        <v>20</v>
      </c>
      <c r="E334" s="4">
        <v>46238.695138888892</v>
      </c>
      <c r="F334" s="3" t="s">
        <v>31</v>
      </c>
      <c r="G334" s="9" t="s">
        <v>26</v>
      </c>
      <c r="H334" s="9" t="s">
        <v>23</v>
      </c>
      <c r="I334" s="5">
        <v>0</v>
      </c>
      <c r="J334" s="5">
        <v>0</v>
      </c>
      <c r="K334" s="5">
        <v>-6.5</v>
      </c>
      <c r="L334" s="5">
        <f t="shared" ref="L334:L339" si="17">M333</f>
        <v>200.32000000000076</v>
      </c>
      <c r="M334" s="11">
        <f t="shared" si="16"/>
        <v>193.82000000000076</v>
      </c>
      <c r="N334" s="3"/>
      <c r="O334" s="3"/>
    </row>
    <row r="335" spans="1:15" ht="7.5" customHeight="1" x14ac:dyDescent="0.15">
      <c r="A335" s="3">
        <v>2687</v>
      </c>
      <c r="B335" s="3" t="s">
        <v>18</v>
      </c>
      <c r="C335" s="3" t="s">
        <v>19</v>
      </c>
      <c r="D335" s="3" t="s">
        <v>20</v>
      </c>
      <c r="E335" s="4">
        <v>46238.71597222222</v>
      </c>
      <c r="F335" s="3" t="s">
        <v>30</v>
      </c>
      <c r="G335" s="9" t="s">
        <v>26</v>
      </c>
      <c r="H335" s="9" t="s">
        <v>27</v>
      </c>
      <c r="I335" s="5">
        <v>4.9000000000000004</v>
      </c>
      <c r="J335" s="5">
        <v>0</v>
      </c>
      <c r="K335" s="5">
        <v>1.6</v>
      </c>
      <c r="L335" s="5">
        <f t="shared" si="17"/>
        <v>193.82000000000076</v>
      </c>
      <c r="M335" s="11">
        <f t="shared" si="16"/>
        <v>195.42000000000075</v>
      </c>
      <c r="N335" s="5">
        <v>40.200000000000003</v>
      </c>
      <c r="O335" s="4">
        <v>46243</v>
      </c>
    </row>
    <row r="336" spans="1:15" ht="7.5" customHeight="1" x14ac:dyDescent="0.15">
      <c r="A336" s="3">
        <v>2688</v>
      </c>
      <c r="B336" s="3" t="s">
        <v>18</v>
      </c>
      <c r="C336" s="3" t="s">
        <v>19</v>
      </c>
      <c r="D336" s="3" t="s">
        <v>20</v>
      </c>
      <c r="E336" s="4">
        <v>46239.359722222223</v>
      </c>
      <c r="F336" s="3" t="s">
        <v>31</v>
      </c>
      <c r="G336" s="9" t="s">
        <v>22</v>
      </c>
      <c r="H336" s="9" t="s">
        <v>23</v>
      </c>
      <c r="I336" s="5">
        <v>0</v>
      </c>
      <c r="J336" s="5">
        <v>0</v>
      </c>
      <c r="K336" s="5">
        <v>-6.5</v>
      </c>
      <c r="L336" s="5">
        <f t="shared" si="17"/>
        <v>195.42000000000075</v>
      </c>
      <c r="M336" s="11">
        <f t="shared" si="16"/>
        <v>188.92000000000075</v>
      </c>
      <c r="N336" s="3"/>
      <c r="O336" s="3"/>
    </row>
    <row r="337" spans="1:15" ht="7.5" customHeight="1" x14ac:dyDescent="0.15">
      <c r="A337" s="3">
        <v>2689</v>
      </c>
      <c r="B337" s="3" t="s">
        <v>18</v>
      </c>
      <c r="C337" s="3" t="s">
        <v>19</v>
      </c>
      <c r="D337" s="3" t="s">
        <v>20</v>
      </c>
      <c r="E337" s="4">
        <v>46239.368055555555</v>
      </c>
      <c r="F337" s="3" t="s">
        <v>30</v>
      </c>
      <c r="G337" s="9" t="s">
        <v>22</v>
      </c>
      <c r="H337" s="9" t="s">
        <v>25</v>
      </c>
      <c r="I337" s="5">
        <v>4.9000000000000004</v>
      </c>
      <c r="J337" s="5">
        <v>0</v>
      </c>
      <c r="K337" s="5">
        <v>1.6</v>
      </c>
      <c r="L337" s="5">
        <f t="shared" si="17"/>
        <v>188.92000000000075</v>
      </c>
      <c r="M337" s="11">
        <f t="shared" si="16"/>
        <v>190.52000000000075</v>
      </c>
      <c r="N337" s="5">
        <f>N335-I337</f>
        <v>35.300000000000004</v>
      </c>
      <c r="O337" s="4">
        <v>46243</v>
      </c>
    </row>
    <row r="338" spans="1:15" ht="7.5" customHeight="1" x14ac:dyDescent="0.15">
      <c r="A338" s="3">
        <v>2690</v>
      </c>
      <c r="B338" s="3" t="s">
        <v>18</v>
      </c>
      <c r="C338" s="3" t="s">
        <v>19</v>
      </c>
      <c r="D338" s="3" t="s">
        <v>20</v>
      </c>
      <c r="E338" s="4">
        <v>46239.69027777778</v>
      </c>
      <c r="F338" s="3" t="s">
        <v>31</v>
      </c>
      <c r="G338" s="9" t="s">
        <v>26</v>
      </c>
      <c r="H338" s="9" t="s">
        <v>23</v>
      </c>
      <c r="I338" s="5">
        <v>0</v>
      </c>
      <c r="J338" s="5">
        <v>0</v>
      </c>
      <c r="K338" s="5">
        <v>-6.5</v>
      </c>
      <c r="L338" s="5">
        <f t="shared" si="17"/>
        <v>190.52000000000075</v>
      </c>
      <c r="M338" s="11">
        <f t="shared" si="16"/>
        <v>184.02000000000075</v>
      </c>
      <c r="N338" s="3"/>
      <c r="O338" s="3"/>
    </row>
    <row r="339" spans="1:15" ht="7.5" customHeight="1" x14ac:dyDescent="0.15">
      <c r="A339" s="3">
        <v>2691</v>
      </c>
      <c r="B339" s="3" t="s">
        <v>18</v>
      </c>
      <c r="C339" s="3" t="s">
        <v>19</v>
      </c>
      <c r="D339" s="3" t="s">
        <v>20</v>
      </c>
      <c r="E339" s="4">
        <v>46239.710416666669</v>
      </c>
      <c r="F339" s="3" t="s">
        <v>30</v>
      </c>
      <c r="G339" s="9" t="s">
        <v>26</v>
      </c>
      <c r="H339" s="9" t="s">
        <v>27</v>
      </c>
      <c r="I339" s="5">
        <v>4.9000000000000004</v>
      </c>
      <c r="J339" s="5">
        <v>0</v>
      </c>
      <c r="K339" s="5">
        <v>1.6</v>
      </c>
      <c r="L339" s="5">
        <f t="shared" si="17"/>
        <v>184.02000000000075</v>
      </c>
      <c r="M339" s="11">
        <f t="shared" si="16"/>
        <v>185.62000000000074</v>
      </c>
      <c r="N339" s="5">
        <f>N337-I339</f>
        <v>30.400000000000006</v>
      </c>
      <c r="O339" s="4">
        <v>46243</v>
      </c>
    </row>
    <row r="340" spans="1:15" ht="7.5" customHeight="1" x14ac:dyDescent="0.15"/>
    <row r="341" spans="1:15" ht="7.5" customHeight="1" x14ac:dyDescent="0.15"/>
    <row r="342" spans="1:15" ht="7.5" customHeight="1" x14ac:dyDescent="0.15"/>
    <row r="343" spans="1:15" ht="7.5" customHeight="1" x14ac:dyDescent="0.15"/>
    <row r="344" spans="1:15" ht="7.5" customHeight="1" x14ac:dyDescent="0.15"/>
    <row r="345" spans="1:15" ht="7.5" customHeight="1" x14ac:dyDescent="0.15"/>
    <row r="346" spans="1:15" ht="7.5" customHeight="1" x14ac:dyDescent="0.15"/>
    <row r="347" spans="1:15" ht="7.5" customHeight="1" x14ac:dyDescent="0.15"/>
    <row r="348" spans="1:15" ht="7.5" customHeight="1" x14ac:dyDescent="0.15"/>
    <row r="349" spans="1:15" ht="7.5" customHeight="1" x14ac:dyDescent="0.15"/>
    <row r="350" spans="1:15" ht="7.5" customHeight="1" x14ac:dyDescent="0.15"/>
    <row r="351" spans="1:15" ht="7.5" customHeight="1" x14ac:dyDescent="0.15"/>
    <row r="352" spans="1:15" ht="7.5" customHeight="1" x14ac:dyDescent="0.15"/>
    <row r="353" ht="7.5" customHeight="1" x14ac:dyDescent="0.15"/>
    <row r="354" ht="7.5" customHeight="1" x14ac:dyDescent="0.15"/>
    <row r="355" ht="7.5" customHeight="1" x14ac:dyDescent="0.15"/>
    <row r="356" ht="7.5" customHeight="1" x14ac:dyDescent="0.15"/>
    <row r="357" ht="7.5" customHeight="1" x14ac:dyDescent="0.15"/>
    <row r="358" ht="7.5" customHeight="1" x14ac:dyDescent="0.15"/>
    <row r="359" ht="7.5" customHeight="1" x14ac:dyDescent="0.15"/>
    <row r="360" ht="7.5" customHeight="1" x14ac:dyDescent="0.15"/>
    <row r="361" ht="7.5" customHeight="1" x14ac:dyDescent="0.15"/>
    <row r="362" ht="7.5" customHeight="1" x14ac:dyDescent="0.15"/>
    <row r="363" ht="7.5" customHeight="1" x14ac:dyDescent="0.15"/>
    <row r="364" ht="7.5" customHeight="1" x14ac:dyDescent="0.15"/>
    <row r="365" ht="7.5" customHeight="1" x14ac:dyDescent="0.15"/>
    <row r="366" ht="7.5" customHeight="1" x14ac:dyDescent="0.15"/>
    <row r="367" ht="7.5" customHeight="1" x14ac:dyDescent="0.15"/>
    <row r="368" ht="7.5" customHeight="1" x14ac:dyDescent="0.15"/>
    <row r="369" ht="7.5" customHeight="1" x14ac:dyDescent="0.15"/>
    <row r="370" ht="7.5" customHeight="1" x14ac:dyDescent="0.15"/>
    <row r="371" ht="7.5" customHeight="1" x14ac:dyDescent="0.15"/>
    <row r="372" ht="7.5" customHeight="1" x14ac:dyDescent="0.15"/>
    <row r="373" ht="7.5" customHeight="1" x14ac:dyDescent="0.15"/>
    <row r="374" ht="7.5" customHeight="1" x14ac:dyDescent="0.15"/>
    <row r="375" ht="7.5" customHeight="1" x14ac:dyDescent="0.15"/>
    <row r="376" ht="7.5" customHeight="1" x14ac:dyDescent="0.15"/>
    <row r="377" ht="7.5" customHeight="1" x14ac:dyDescent="0.15"/>
    <row r="378" ht="7.5" customHeight="1" x14ac:dyDescent="0.15"/>
    <row r="379" ht="7.5" customHeight="1" x14ac:dyDescent="0.15"/>
    <row r="380" ht="7.5" customHeight="1" x14ac:dyDescent="0.15"/>
    <row r="381" ht="7.5" customHeight="1" x14ac:dyDescent="0.15"/>
    <row r="382" ht="7.5" customHeight="1" x14ac:dyDescent="0.15"/>
    <row r="383" ht="7.5" customHeight="1" x14ac:dyDescent="0.15"/>
    <row r="384" ht="7.5" customHeight="1" x14ac:dyDescent="0.15"/>
    <row r="385" ht="7.5" customHeight="1" x14ac:dyDescent="0.15"/>
    <row r="386" ht="7.5" customHeight="1" x14ac:dyDescent="0.15"/>
    <row r="387" ht="7.5" customHeight="1" x14ac:dyDescent="0.15"/>
    <row r="388" ht="7.5" customHeight="1" x14ac:dyDescent="0.15"/>
    <row r="389" ht="7.5" customHeight="1" x14ac:dyDescent="0.15"/>
    <row r="390" ht="7.5" customHeight="1" x14ac:dyDescent="0.15"/>
    <row r="391" ht="7.5" customHeight="1" x14ac:dyDescent="0.15"/>
    <row r="392" ht="7.5" customHeight="1" x14ac:dyDescent="0.15"/>
    <row r="393" ht="7.5" customHeight="1" x14ac:dyDescent="0.15"/>
    <row r="394" ht="7.5" customHeight="1" x14ac:dyDescent="0.15"/>
    <row r="395" ht="7.5" customHeight="1" x14ac:dyDescent="0.15"/>
    <row r="396" ht="7.5" customHeight="1" x14ac:dyDescent="0.15"/>
    <row r="397" ht="7.5" customHeight="1" x14ac:dyDescent="0.15"/>
    <row r="398" ht="7.5" customHeight="1" x14ac:dyDescent="0.15"/>
    <row r="399" ht="7.5" customHeight="1" x14ac:dyDescent="0.15"/>
    <row r="400" ht="7.5" customHeight="1" x14ac:dyDescent="0.15"/>
    <row r="401" ht="7.5" customHeight="1" x14ac:dyDescent="0.15"/>
    <row r="402" ht="7.5" customHeight="1" x14ac:dyDescent="0.15"/>
    <row r="403" ht="7.5" customHeight="1" x14ac:dyDescent="0.15"/>
    <row r="404" ht="7.5" customHeight="1" x14ac:dyDescent="0.15"/>
    <row r="405" ht="7.5" customHeight="1" x14ac:dyDescent="0.15"/>
    <row r="406" ht="7.5" customHeight="1" x14ac:dyDescent="0.15"/>
    <row r="407" ht="7.5" customHeight="1" x14ac:dyDescent="0.15"/>
    <row r="408" ht="7.5" customHeight="1" x14ac:dyDescent="0.15"/>
    <row r="409" ht="7.5" customHeight="1" x14ac:dyDescent="0.15"/>
    <row r="410" ht="7.5" customHeight="1" x14ac:dyDescent="0.15"/>
    <row r="411" ht="7.5" customHeight="1" x14ac:dyDescent="0.15"/>
    <row r="412" ht="7.5" customHeight="1" x14ac:dyDescent="0.15"/>
    <row r="413" ht="7.5" customHeight="1" x14ac:dyDescent="0.15"/>
    <row r="414" ht="7.5" customHeight="1" x14ac:dyDescent="0.15"/>
    <row r="415" ht="7.5" customHeight="1" x14ac:dyDescent="0.15"/>
    <row r="416" ht="7.5" customHeight="1" x14ac:dyDescent="0.15"/>
    <row r="417" ht="7.5" customHeight="1" x14ac:dyDescent="0.15"/>
    <row r="418" ht="7.5" customHeight="1" x14ac:dyDescent="0.15"/>
    <row r="419" ht="7.5" customHeight="1" x14ac:dyDescent="0.15"/>
    <row r="420" ht="7.5" customHeight="1" x14ac:dyDescent="0.15"/>
    <row r="421" ht="7.5" customHeight="1" x14ac:dyDescent="0.15"/>
    <row r="422" ht="7.5" customHeight="1" x14ac:dyDescent="0.15"/>
    <row r="423" ht="7.5" customHeight="1" x14ac:dyDescent="0.15"/>
    <row r="424" ht="7.5" customHeight="1" x14ac:dyDescent="0.15"/>
    <row r="425" ht="7.5" customHeight="1" x14ac:dyDescent="0.15"/>
    <row r="426" ht="7.5" customHeight="1" x14ac:dyDescent="0.15"/>
    <row r="427" ht="7.5" customHeight="1" x14ac:dyDescent="0.15"/>
    <row r="428" ht="7.5" customHeight="1" x14ac:dyDescent="0.15"/>
    <row r="429" ht="7.5" customHeight="1" x14ac:dyDescent="0.15"/>
    <row r="430" ht="7.5" customHeight="1" x14ac:dyDescent="0.15"/>
    <row r="431" ht="7.5" customHeight="1" x14ac:dyDescent="0.15"/>
    <row r="432" ht="7.5" customHeight="1" x14ac:dyDescent="0.15"/>
    <row r="433" ht="7.5" customHeight="1" x14ac:dyDescent="0.15"/>
    <row r="434" ht="7.5" customHeight="1" x14ac:dyDescent="0.15"/>
    <row r="435" ht="7.5" customHeight="1" x14ac:dyDescent="0.15"/>
    <row r="436" ht="7.5" customHeight="1" x14ac:dyDescent="0.15"/>
    <row r="437" ht="7.5" customHeight="1" x14ac:dyDescent="0.15"/>
    <row r="438" ht="7.5" customHeight="1" x14ac:dyDescent="0.15"/>
    <row r="439" ht="7.5" customHeight="1" x14ac:dyDescent="0.15"/>
    <row r="440" ht="7.5" customHeight="1" x14ac:dyDescent="0.15"/>
    <row r="441" ht="7.5" customHeight="1" x14ac:dyDescent="0.15"/>
    <row r="442" ht="7.5" customHeight="1" x14ac:dyDescent="0.15"/>
    <row r="443" ht="7.5" customHeight="1" x14ac:dyDescent="0.15"/>
    <row r="444" ht="7.5" customHeight="1" x14ac:dyDescent="0.15"/>
    <row r="445" ht="7.5" customHeight="1" x14ac:dyDescent="0.15"/>
    <row r="446" ht="7.5" customHeight="1" x14ac:dyDescent="0.15"/>
    <row r="447" ht="7.5" customHeight="1" x14ac:dyDescent="0.15"/>
    <row r="448" ht="7.5" customHeight="1" x14ac:dyDescent="0.15"/>
    <row r="449" ht="7.5" customHeight="1" x14ac:dyDescent="0.15"/>
    <row r="450" ht="7.5" customHeight="1" x14ac:dyDescent="0.15"/>
    <row r="451" ht="7.5" customHeight="1" x14ac:dyDescent="0.15"/>
    <row r="452" ht="7.5" customHeight="1" x14ac:dyDescent="0.15"/>
    <row r="453" ht="7.5" customHeight="1" x14ac:dyDescent="0.15"/>
    <row r="454" ht="7.5" customHeight="1" x14ac:dyDescent="0.15"/>
    <row r="455" ht="7.5" customHeight="1" x14ac:dyDescent="0.15"/>
    <row r="456" ht="7.5" customHeight="1" x14ac:dyDescent="0.15"/>
    <row r="457" ht="7.5" customHeight="1" x14ac:dyDescent="0.15"/>
    <row r="458" ht="7.5" customHeight="1" x14ac:dyDescent="0.15"/>
    <row r="459" ht="7.5" customHeight="1" x14ac:dyDescent="0.15"/>
    <row r="460" ht="7.5" customHeight="1" x14ac:dyDescent="0.15"/>
    <row r="461" ht="7.5" customHeight="1" x14ac:dyDescent="0.15"/>
    <row r="462" ht="7.5" customHeight="1" x14ac:dyDescent="0.15"/>
    <row r="463" ht="7.5" customHeight="1" x14ac:dyDescent="0.15"/>
    <row r="464" ht="7.5" customHeight="1" x14ac:dyDescent="0.15"/>
    <row r="465" ht="7.5" customHeight="1" x14ac:dyDescent="0.15"/>
    <row r="466" ht="7.5" customHeight="1" x14ac:dyDescent="0.15"/>
    <row r="467" ht="7.5" customHeight="1" x14ac:dyDescent="0.15"/>
    <row r="468" ht="7.5" customHeight="1" x14ac:dyDescent="0.15"/>
    <row r="469" ht="7.5" customHeight="1" x14ac:dyDescent="0.15"/>
    <row r="470" ht="7.5" customHeight="1" x14ac:dyDescent="0.15"/>
    <row r="471" ht="7.5" customHeight="1" x14ac:dyDescent="0.15"/>
    <row r="472" ht="7.5" customHeight="1" x14ac:dyDescent="0.15"/>
    <row r="473" ht="7.5" customHeight="1" x14ac:dyDescent="0.15"/>
    <row r="474" ht="7.5" customHeight="1" x14ac:dyDescent="0.15"/>
    <row r="475" ht="7.5" customHeight="1" x14ac:dyDescent="0.15"/>
    <row r="476" ht="7.5" customHeight="1" x14ac:dyDescent="0.15"/>
    <row r="477" ht="7.5" customHeight="1" x14ac:dyDescent="0.15"/>
    <row r="478" ht="7.5" customHeight="1" x14ac:dyDescent="0.15"/>
    <row r="479" ht="7.5" customHeight="1" x14ac:dyDescent="0.15"/>
    <row r="480" ht="7.5" customHeight="1" x14ac:dyDescent="0.15"/>
    <row r="481" ht="7.5" customHeight="1" x14ac:dyDescent="0.15"/>
    <row r="482" ht="7.5" customHeight="1" x14ac:dyDescent="0.15"/>
    <row r="483" ht="7.5" customHeight="1" x14ac:dyDescent="0.15"/>
    <row r="484" ht="7.5" customHeight="1" x14ac:dyDescent="0.15"/>
    <row r="485" ht="7.5" customHeight="1" x14ac:dyDescent="0.15"/>
    <row r="486" ht="7.5" customHeight="1" x14ac:dyDescent="0.15"/>
    <row r="487" ht="7.5" customHeight="1" x14ac:dyDescent="0.15"/>
    <row r="488" ht="7.5" customHeight="1" x14ac:dyDescent="0.15"/>
    <row r="489" ht="7.5" customHeight="1" x14ac:dyDescent="0.15"/>
    <row r="490" ht="7.5" customHeight="1" x14ac:dyDescent="0.15"/>
    <row r="491" ht="7.5" customHeight="1" x14ac:dyDescent="0.15"/>
    <row r="492" ht="7.5" customHeight="1" x14ac:dyDescent="0.15"/>
    <row r="493" ht="7.5" customHeight="1" x14ac:dyDescent="0.15"/>
    <row r="494" ht="7.5" customHeight="1" x14ac:dyDescent="0.15"/>
    <row r="495" ht="7.5" customHeight="1" x14ac:dyDescent="0.15"/>
    <row r="496" ht="7.5" customHeight="1" x14ac:dyDescent="0.15"/>
    <row r="497" ht="7.5" customHeight="1" x14ac:dyDescent="0.15"/>
    <row r="498" ht="7.5" customHeight="1" x14ac:dyDescent="0.15"/>
    <row r="499" ht="7.5" customHeight="1" x14ac:dyDescent="0.15"/>
    <row r="500" ht="7.5" customHeight="1" x14ac:dyDescent="0.15"/>
    <row r="501" ht="7.5" customHeight="1" x14ac:dyDescent="0.15"/>
    <row r="502" ht="7.5" customHeight="1" x14ac:dyDescent="0.15"/>
    <row r="503" ht="7.5" customHeight="1" x14ac:dyDescent="0.15"/>
  </sheetData>
  <pageMargins left="0.7" right="0.7" top="0.75" bottom="0.75" header="0.511811023622047" footer="0.511811023622047"/>
  <pageSetup orientation="landscape" horizontalDpi="300" verticalDpi="300" r:id="rId1"/>
  <headerFooter>
    <oddFooter>&amp;L_x000D_&amp;1#&amp;"Aptos"&amp;10&amp;K000000 External - In Confidence</oddFooter>
  </headerFooter>
  <drawing r:id="rId2"/>
</worksheet>
</file>

<file path=docMetadata/LabelInfo.xml><?xml version="1.0" encoding="utf-8"?>
<clbl:labelList xmlns:clbl="http://schemas.microsoft.com/office/2020/mipLabelMetadata">
  <clbl:label id="{abe8f523-b3ea-4886-bd1f-7f47c366b154}" enabled="1" method="Privileged" siteId="{11168e9d-8339-4497-a4a0-a9213624f2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transaction report</vt:lpstr>
      <vt:lpstr>'Customer transaction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Oscar Yip</cp:lastModifiedBy>
  <cp:revision>11</cp:revision>
  <cp:lastPrinted>2026-08-20T22:09:18Z</cp:lastPrinted>
  <dcterms:created xsi:type="dcterms:W3CDTF">2025-09-08T04:19:11Z</dcterms:created>
  <dcterms:modified xsi:type="dcterms:W3CDTF">2026-09-03T23:31:53Z</dcterms:modified>
  <dc:language>en-US</dc:language>
</cp:coreProperties>
</file>