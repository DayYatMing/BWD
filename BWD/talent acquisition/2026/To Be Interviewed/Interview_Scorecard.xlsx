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BWD/talent acquisition/2026/To Be Interviewed/"/>
    </mc:Choice>
  </mc:AlternateContent>
  <xr:revisionPtr revIDLastSave="293" documentId="11_4A4B5DE7544B762FE43740D6468BD67BAC6BB353" xr6:coauthVersionLast="47" xr6:coauthVersionMax="47" xr10:uidLastSave="{E2182592-FDA1-49FC-877C-8227F64F393C}"/>
  <bookViews>
    <workbookView xWindow="-110" yWindow="-110" windowWidth="19420" windowHeight="11500" xr2:uid="{00000000-000D-0000-FFFF-FFFF00000000}"/>
  </bookViews>
  <sheets>
    <sheet name="Abinaya Shanmugam" sheetId="8" r:id="rId1"/>
    <sheet name="SHARMANE CLAIRE AUSTRIA" sheetId="7" r:id="rId2"/>
    <sheet name="Yaochen Yan" sheetId="5" r:id="rId3"/>
    <sheet name="John Du" sheetId="6" r:id="rId4"/>
    <sheet name="Tom Jing" sheetId="1" r:id="rId5"/>
    <sheet name="Samitha Chathuranga" sheetId="3" r:id="rId6"/>
    <sheet name="Reshita Ravi" sheetId="2" r:id="rId7"/>
    <sheet name="Sandaru Vishwajith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8" l="1"/>
  <c r="D5" i="8"/>
  <c r="D4" i="8"/>
  <c r="D3" i="8"/>
  <c r="D2" i="8"/>
  <c r="D6" i="7"/>
  <c r="D5" i="7"/>
  <c r="D4" i="7"/>
  <c r="D3" i="7"/>
  <c r="D2" i="7"/>
  <c r="D6" i="6"/>
  <c r="D5" i="6"/>
  <c r="D4" i="6"/>
  <c r="D3" i="6"/>
  <c r="D2" i="6"/>
  <c r="D6" i="5"/>
  <c r="D5" i="5"/>
  <c r="D4" i="5"/>
  <c r="D3" i="5"/>
  <c r="D2" i="5"/>
  <c r="D6" i="4"/>
  <c r="D5" i="4"/>
  <c r="D4" i="4"/>
  <c r="D3" i="4"/>
  <c r="D2" i="4"/>
  <c r="D6" i="3"/>
  <c r="D5" i="3"/>
  <c r="D4" i="3"/>
  <c r="D3" i="3"/>
  <c r="D2" i="3"/>
  <c r="D6" i="2"/>
  <c r="D5" i="2"/>
  <c r="D4" i="2"/>
  <c r="D3" i="2"/>
  <c r="D2" i="2"/>
  <c r="D6" i="1"/>
  <c r="D5" i="1"/>
  <c r="D4" i="1"/>
  <c r="D3" i="1"/>
  <c r="D2" i="1"/>
  <c r="D7" i="8" l="1"/>
  <c r="D8" i="8" s="1"/>
  <c r="D7" i="7"/>
  <c r="D8" i="7" s="1"/>
  <c r="D7" i="6"/>
  <c r="D8" i="6" s="1"/>
  <c r="D7" i="5"/>
  <c r="D8" i="5" s="1"/>
  <c r="D7" i="4"/>
  <c r="D8" i="4" s="1"/>
  <c r="D7" i="3"/>
  <c r="D8" i="3" s="1"/>
  <c r="D7" i="2"/>
  <c r="D8" i="2" s="1"/>
  <c r="D7" i="1"/>
  <c r="D8" i="1" s="1"/>
</calcChain>
</file>

<file path=xl/sharedStrings.xml><?xml version="1.0" encoding="utf-8"?>
<sst xmlns="http://schemas.openxmlformats.org/spreadsheetml/2006/main" count="221" uniqueCount="68">
  <si>
    <t>Skill Area</t>
  </si>
  <si>
    <t>Weight (%)</t>
  </si>
  <si>
    <t>Rating (1-5)</t>
  </si>
  <si>
    <t>Weighted Score</t>
  </si>
  <si>
    <t>Spring Boot</t>
  </si>
  <si>
    <t>System Design</t>
  </si>
  <si>
    <t>Frontend</t>
  </si>
  <si>
    <t>Troubleshooting &amp; Debugging</t>
  </si>
  <si>
    <t>Total Weighted Score</t>
  </si>
  <si>
    <t>Final Score (%)</t>
  </si>
  <si>
    <t>Guide</t>
  </si>
  <si>
    <t>85-100 Strong Hire</t>
  </si>
  <si>
    <t>75-84 Hire</t>
  </si>
  <si>
    <t>65-74 Lean Hire</t>
  </si>
  <si>
    <t>50-64 Lean No Hire</t>
  </si>
  <si>
    <t>&lt;50 No Hire</t>
  </si>
  <si>
    <t>-</t>
  </si>
  <si>
    <t>Jenkins CICD / Docker</t>
  </si>
  <si>
    <t>Note:</t>
  </si>
  <si>
    <t>Strong system design, from the starting API call till request reaches to backend, database and returns back. Each step he can mention the standard input.</t>
  </si>
  <si>
    <t>He uses Jenkins too, and builds the automated SDLC flow, where docker container is within the flow to package application.</t>
  </si>
  <si>
    <t>This candidate shows a good experience on Spring Boot. He can understand the the standard Spring boot development cycle.</t>
  </si>
  <si>
    <t>Strong trobleshooting skills, even mentioned trace ID, where it's important for microservices, because each microservice has its own logic. Trace ID can help debug efficiently.</t>
  </si>
  <si>
    <t>He has knowledge on Javascript, but not Angular and understands the frontend, knows about the component design.</t>
  </si>
  <si>
    <t>He has knowledge on Vue instead of Angular, and has good knowledge on frontend and knows component design.</t>
  </si>
  <si>
    <t>He can understand the entire flow, and how it works between frontend to backend, backend to database.</t>
  </si>
  <si>
    <t>Some hands-on experience, basically he knows how it works.</t>
  </si>
  <si>
    <t xml:space="preserve">For trobuleshooting, he relies on ticketing system information, logs. </t>
  </si>
  <si>
    <t>This candidate shows a good experience on Spring Boot. She can understand the the standard Spring boot development cycle, just some minor features are not sure of.</t>
  </si>
  <si>
    <t>She understands the frontend, and shows good knowledge about frontend component.</t>
  </si>
  <si>
    <t>She uses Jenkins too, and builds the automated SDLC flow, where docker container is within the flow to package application.</t>
  </si>
  <si>
    <t>Candidate has strong trobleshooting skills, and knows where to find the root cause.</t>
  </si>
  <si>
    <t>Candidate shows some understandings on Springboot, and he mentions not good at syntax, nowadays, relying on A.I. is the trend.</t>
  </si>
  <si>
    <t>He understands the frontend concept, such as componet.</t>
  </si>
  <si>
    <t>Knows about the Jenkins CI/CD flow, how it works. Security checking is not part of the process, and rely on other teams.</t>
  </si>
  <si>
    <t xml:space="preserve">Troubleshooting skillls are ok, he understands where to check the logs, how to investigate the issues step by step generally. </t>
  </si>
  <si>
    <t>He can elaborate the system flows how it works from beginning till the end, but not giving details as many as possible.</t>
  </si>
  <si>
    <t>Candidate mentions Python is what he is good at. For Spring boot, he had some experience in the past, and the Spring boot tech assessment was not good.</t>
  </si>
  <si>
    <t>Understand of basic frontend.</t>
  </si>
  <si>
    <t>Need more time to work on the system as the entire process.</t>
  </si>
  <si>
    <t>He uses some tools of the entire CI/CD flow, but mostly manually process the flow.</t>
  </si>
  <si>
    <t xml:space="preserve">He knows where to investigate the issues if happened, and may need help if issues were not obvious. </t>
  </si>
  <si>
    <t>He can understand the basic of spring boot.</t>
  </si>
  <si>
    <t xml:space="preserve">Overall assessment: His skillsets are aligned with the junior level, and is early started career candidate. </t>
  </si>
  <si>
    <t>Guide: for intermediate developer</t>
  </si>
  <si>
    <t>Guide: for beginner developer</t>
  </si>
  <si>
    <t>65–100 Strong Hire</t>
  </si>
  <si>
    <t>55–64 Hire</t>
  </si>
  <si>
    <t>45-54 Lean Hire</t>
  </si>
  <si>
    <t>30-44 Lean No Hire</t>
  </si>
  <si>
    <t>&lt;30 No Hire</t>
  </si>
  <si>
    <t>This candidate seems to be in junior level. He couldn't elaborate most of the basic of Spring boot questions.</t>
  </si>
  <si>
    <t>He is showing a little bit understanding of the frontend.</t>
  </si>
  <si>
    <t>He may need more time to deep dive the system design part.</t>
  </si>
  <si>
    <t>No, there is no CICD workflow, and everything is done manully. Also, he couldn't even oelaborate the concept of pipelines.</t>
  </si>
  <si>
    <t>He may need more time to build troubleshooting skills.</t>
  </si>
  <si>
    <t xml:space="preserve">To sum up, he seems to be very junior level on the tech stacks that BW Digital is used. </t>
  </si>
  <si>
    <t>He mentioned he is doing mobile app, however, that is totally different from what we are doing.</t>
  </si>
  <si>
    <t>Spring boot is not her foucsing tool to use, although she claimed she had a few years experience on her early career.</t>
  </si>
  <si>
    <t>She is more familiar with frontend than backend.</t>
  </si>
  <si>
    <t>Candidate may not be exposed to the entire system flow, and she is good at certain stages only.</t>
  </si>
  <si>
    <t>Using cloud tools for the CICD flow, and she is familiar with these tools.</t>
  </si>
  <si>
    <t>She knows where to find the issues if there obvious error, but requires more time and help for complicated issues.</t>
  </si>
  <si>
    <t>Candidate shows relatively strong experience in spring boot services, and knows the standard and basic of spring boot.</t>
  </si>
  <si>
    <t>Candidate shows good knowledge about the frontend.</t>
  </si>
  <si>
    <t>Candidate has strong system design knowledge to implement service.</t>
  </si>
  <si>
    <t>Candidate uses Jenkins pipelines to automate the process, where there are vulnerability check, security check, code review, etc.</t>
  </si>
  <si>
    <t>Canddiate has good knowledge to troubleshoot issues, and knows where to find root cause and how to fix and continue to make service workable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</si>
</sst>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F0E7-5B10-4106-B34F-CD3DF8A8A3CD}">
  <dimension ref="A1:D21"/>
  <sheetViews>
    <sheetView tabSelected="1" workbookViewId="0">
      <selection activeCell="B22" sqref="B22"/>
    </sheetView>
  </sheetViews>
  <sheetFormatPr defaultRowHeight="14.5" x14ac:dyDescent="0.35"/>
  <cols>
    <col min="1" max="4" width="3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30</v>
      </c>
      <c r="C2" s="4">
        <v>3.5</v>
      </c>
      <c r="D2">
        <f t="shared" ref="D2:D6" si="0">B2*C2</f>
        <v>105</v>
      </c>
    </row>
    <row r="3" spans="1:4" x14ac:dyDescent="0.35">
      <c r="A3" t="s">
        <v>6</v>
      </c>
      <c r="B3">
        <v>15</v>
      </c>
      <c r="C3" s="4">
        <v>4</v>
      </c>
      <c r="D3">
        <f t="shared" si="0"/>
        <v>60</v>
      </c>
    </row>
    <row r="4" spans="1:4" x14ac:dyDescent="0.35">
      <c r="A4" t="s">
        <v>5</v>
      </c>
      <c r="B4">
        <v>25</v>
      </c>
      <c r="C4" s="4">
        <v>4</v>
      </c>
      <c r="D4">
        <f t="shared" si="0"/>
        <v>100</v>
      </c>
    </row>
    <row r="5" spans="1:4" x14ac:dyDescent="0.35">
      <c r="A5" t="s">
        <v>17</v>
      </c>
      <c r="B5">
        <v>10</v>
      </c>
      <c r="C5" s="4">
        <v>4</v>
      </c>
      <c r="D5">
        <f t="shared" si="0"/>
        <v>40</v>
      </c>
    </row>
    <row r="6" spans="1:4" x14ac:dyDescent="0.35">
      <c r="A6" t="s">
        <v>7</v>
      </c>
      <c r="B6">
        <v>20</v>
      </c>
      <c r="C6" s="4">
        <v>3.5</v>
      </c>
      <c r="D6">
        <f t="shared" si="0"/>
        <v>70</v>
      </c>
    </row>
    <row r="7" spans="1:4" ht="15" thickBot="1" x14ac:dyDescent="0.4">
      <c r="A7" t="s">
        <v>8</v>
      </c>
      <c r="B7" s="2" t="s">
        <v>16</v>
      </c>
      <c r="C7" s="2" t="s">
        <v>16</v>
      </c>
      <c r="D7" s="3">
        <f>SUM(D2:D6)</f>
        <v>375</v>
      </c>
    </row>
    <row r="8" spans="1:4" ht="15" thickTop="1" x14ac:dyDescent="0.35">
      <c r="A8" t="s">
        <v>9</v>
      </c>
      <c r="D8">
        <f>D7/5</f>
        <v>75</v>
      </c>
    </row>
    <row r="10" spans="1:4" x14ac:dyDescent="0.35">
      <c r="A10" t="s">
        <v>10</v>
      </c>
    </row>
    <row r="11" spans="1:4" x14ac:dyDescent="0.35">
      <c r="A11" t="s">
        <v>11</v>
      </c>
    </row>
    <row r="12" spans="1:4" x14ac:dyDescent="0.35">
      <c r="A12" t="s">
        <v>12</v>
      </c>
    </row>
    <row r="13" spans="1:4" x14ac:dyDescent="0.35">
      <c r="A13" t="s">
        <v>13</v>
      </c>
    </row>
    <row r="14" spans="1:4" x14ac:dyDescent="0.35">
      <c r="A14" t="s">
        <v>14</v>
      </c>
    </row>
    <row r="15" spans="1:4" x14ac:dyDescent="0.35">
      <c r="A15" t="s">
        <v>15</v>
      </c>
    </row>
    <row r="17" spans="1:2" x14ac:dyDescent="0.35">
      <c r="A17" t="s">
        <v>18</v>
      </c>
      <c r="B17" t="s">
        <v>63</v>
      </c>
    </row>
    <row r="18" spans="1:2" x14ac:dyDescent="0.35">
      <c r="B18" t="s">
        <v>64</v>
      </c>
    </row>
    <row r="19" spans="1:2" x14ac:dyDescent="0.35">
      <c r="B19" t="s">
        <v>65</v>
      </c>
    </row>
    <row r="20" spans="1:2" x14ac:dyDescent="0.35">
      <c r="B20" t="s">
        <v>66</v>
      </c>
    </row>
    <row r="21" spans="1:2" x14ac:dyDescent="0.35">
      <c r="B2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B635-7CFF-467F-A42F-8E6E67CA771B}">
  <dimension ref="A1:D21"/>
  <sheetViews>
    <sheetView workbookViewId="0">
      <selection activeCell="D4" sqref="D4"/>
    </sheetView>
  </sheetViews>
  <sheetFormatPr defaultRowHeight="14.5" x14ac:dyDescent="0.35"/>
  <cols>
    <col min="1" max="4" width="3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30</v>
      </c>
      <c r="C2" s="4">
        <v>1.5</v>
      </c>
      <c r="D2">
        <f t="shared" ref="D2:D6" si="0">B2*C2</f>
        <v>45</v>
      </c>
    </row>
    <row r="3" spans="1:4" x14ac:dyDescent="0.35">
      <c r="A3" t="s">
        <v>6</v>
      </c>
      <c r="B3">
        <v>15</v>
      </c>
      <c r="C3" s="4">
        <v>4</v>
      </c>
      <c r="D3">
        <f t="shared" si="0"/>
        <v>60</v>
      </c>
    </row>
    <row r="4" spans="1:4" x14ac:dyDescent="0.35">
      <c r="A4" t="s">
        <v>5</v>
      </c>
      <c r="B4">
        <v>25</v>
      </c>
      <c r="C4" s="4">
        <v>3</v>
      </c>
      <c r="D4">
        <f t="shared" si="0"/>
        <v>75</v>
      </c>
    </row>
    <row r="5" spans="1:4" x14ac:dyDescent="0.35">
      <c r="A5" t="s">
        <v>17</v>
      </c>
      <c r="B5">
        <v>10</v>
      </c>
      <c r="C5" s="4">
        <v>4</v>
      </c>
      <c r="D5">
        <f t="shared" si="0"/>
        <v>40</v>
      </c>
    </row>
    <row r="6" spans="1:4" x14ac:dyDescent="0.35">
      <c r="A6" t="s">
        <v>7</v>
      </c>
      <c r="B6">
        <v>20</v>
      </c>
      <c r="C6" s="4">
        <v>3</v>
      </c>
      <c r="D6">
        <f t="shared" si="0"/>
        <v>60</v>
      </c>
    </row>
    <row r="7" spans="1:4" ht="15" thickBot="1" x14ac:dyDescent="0.4">
      <c r="A7" t="s">
        <v>8</v>
      </c>
      <c r="B7" s="2" t="s">
        <v>16</v>
      </c>
      <c r="C7" s="2" t="s">
        <v>16</v>
      </c>
      <c r="D7" s="3">
        <f>SUM(D2:D6)</f>
        <v>280</v>
      </c>
    </row>
    <row r="8" spans="1:4" ht="15" thickTop="1" x14ac:dyDescent="0.35">
      <c r="A8" t="s">
        <v>9</v>
      </c>
      <c r="D8">
        <f>D7/5</f>
        <v>56</v>
      </c>
    </row>
    <row r="10" spans="1:4" x14ac:dyDescent="0.35">
      <c r="A10" t="s">
        <v>44</v>
      </c>
      <c r="B10" s="5" t="s">
        <v>45</v>
      </c>
    </row>
    <row r="11" spans="1:4" x14ac:dyDescent="0.35">
      <c r="A11" t="s">
        <v>11</v>
      </c>
      <c r="B11" s="5" t="s">
        <v>46</v>
      </c>
    </row>
    <row r="12" spans="1:4" x14ac:dyDescent="0.35">
      <c r="A12" t="s">
        <v>12</v>
      </c>
      <c r="B12" s="5" t="s">
        <v>47</v>
      </c>
    </row>
    <row r="13" spans="1:4" x14ac:dyDescent="0.35">
      <c r="A13" t="s">
        <v>13</v>
      </c>
      <c r="B13" s="5" t="s">
        <v>48</v>
      </c>
    </row>
    <row r="14" spans="1:4" x14ac:dyDescent="0.35">
      <c r="A14" t="s">
        <v>14</v>
      </c>
      <c r="B14" s="5" t="s">
        <v>49</v>
      </c>
    </row>
    <row r="15" spans="1:4" x14ac:dyDescent="0.35">
      <c r="A15" t="s">
        <v>15</v>
      </c>
      <c r="B15" s="5" t="s">
        <v>50</v>
      </c>
    </row>
    <row r="17" spans="1:2" x14ac:dyDescent="0.35">
      <c r="A17" t="s">
        <v>18</v>
      </c>
      <c r="B17" t="s">
        <v>58</v>
      </c>
    </row>
    <row r="18" spans="1:2" x14ac:dyDescent="0.35">
      <c r="B18" t="s">
        <v>59</v>
      </c>
    </row>
    <row r="19" spans="1:2" x14ac:dyDescent="0.35">
      <c r="B19" t="s">
        <v>60</v>
      </c>
    </row>
    <row r="20" spans="1:2" x14ac:dyDescent="0.35">
      <c r="B20" t="s">
        <v>61</v>
      </c>
    </row>
    <row r="21" spans="1:2" x14ac:dyDescent="0.35">
      <c r="B2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7168-0C79-4C56-B5C2-28E2900B5507}">
  <dimension ref="A1:D22"/>
  <sheetViews>
    <sheetView workbookViewId="0">
      <selection activeCell="B10" sqref="B10:B15"/>
    </sheetView>
  </sheetViews>
  <sheetFormatPr defaultRowHeight="14.5" x14ac:dyDescent="0.35"/>
  <cols>
    <col min="1" max="4" width="3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30</v>
      </c>
      <c r="C2" s="4">
        <v>2.5</v>
      </c>
      <c r="D2">
        <f t="shared" ref="D2:D6" si="0">B2*C2</f>
        <v>75</v>
      </c>
    </row>
    <row r="3" spans="1:4" x14ac:dyDescent="0.35">
      <c r="A3" t="s">
        <v>6</v>
      </c>
      <c r="B3">
        <v>15</v>
      </c>
      <c r="C3" s="4">
        <v>3</v>
      </c>
      <c r="D3">
        <f t="shared" si="0"/>
        <v>45</v>
      </c>
    </row>
    <row r="4" spans="1:4" x14ac:dyDescent="0.35">
      <c r="A4" t="s">
        <v>5</v>
      </c>
      <c r="B4">
        <v>25</v>
      </c>
      <c r="C4" s="4">
        <v>2.5</v>
      </c>
      <c r="D4">
        <f t="shared" si="0"/>
        <v>62.5</v>
      </c>
    </row>
    <row r="5" spans="1:4" x14ac:dyDescent="0.35">
      <c r="A5" t="s">
        <v>17</v>
      </c>
      <c r="B5">
        <v>10</v>
      </c>
      <c r="C5" s="4">
        <v>2.5</v>
      </c>
      <c r="D5">
        <f t="shared" si="0"/>
        <v>25</v>
      </c>
    </row>
    <row r="6" spans="1:4" x14ac:dyDescent="0.35">
      <c r="A6" t="s">
        <v>7</v>
      </c>
      <c r="B6">
        <v>20</v>
      </c>
      <c r="C6" s="4">
        <v>3</v>
      </c>
      <c r="D6">
        <f t="shared" si="0"/>
        <v>60</v>
      </c>
    </row>
    <row r="7" spans="1:4" ht="15" thickBot="1" x14ac:dyDescent="0.4">
      <c r="A7" t="s">
        <v>8</v>
      </c>
      <c r="B7" s="2" t="s">
        <v>16</v>
      </c>
      <c r="C7" s="2" t="s">
        <v>16</v>
      </c>
      <c r="D7" s="3">
        <f>SUM(D2:D6)</f>
        <v>267.5</v>
      </c>
    </row>
    <row r="8" spans="1:4" ht="15" thickTop="1" x14ac:dyDescent="0.35">
      <c r="A8" t="s">
        <v>9</v>
      </c>
      <c r="D8">
        <f>D7/5</f>
        <v>53.5</v>
      </c>
    </row>
    <row r="10" spans="1:4" x14ac:dyDescent="0.35">
      <c r="A10" t="s">
        <v>44</v>
      </c>
      <c r="B10" s="5" t="s">
        <v>45</v>
      </c>
    </row>
    <row r="11" spans="1:4" x14ac:dyDescent="0.35">
      <c r="A11" t="s">
        <v>11</v>
      </c>
      <c r="B11" s="5" t="s">
        <v>46</v>
      </c>
    </row>
    <row r="12" spans="1:4" x14ac:dyDescent="0.35">
      <c r="A12" t="s">
        <v>12</v>
      </c>
      <c r="B12" s="5" t="s">
        <v>47</v>
      </c>
    </row>
    <row r="13" spans="1:4" x14ac:dyDescent="0.35">
      <c r="A13" t="s">
        <v>13</v>
      </c>
      <c r="B13" s="5" t="s">
        <v>48</v>
      </c>
    </row>
    <row r="14" spans="1:4" x14ac:dyDescent="0.35">
      <c r="A14" t="s">
        <v>14</v>
      </c>
      <c r="B14" s="5" t="s">
        <v>49</v>
      </c>
    </row>
    <row r="15" spans="1:4" x14ac:dyDescent="0.35">
      <c r="A15" t="s">
        <v>15</v>
      </c>
      <c r="B15" s="5" t="s">
        <v>50</v>
      </c>
    </row>
    <row r="17" spans="1:2" x14ac:dyDescent="0.35">
      <c r="A17" t="s">
        <v>18</v>
      </c>
      <c r="B17" t="s">
        <v>42</v>
      </c>
    </row>
    <row r="18" spans="1:2" x14ac:dyDescent="0.35">
      <c r="B18" t="s">
        <v>38</v>
      </c>
    </row>
    <row r="19" spans="1:2" x14ac:dyDescent="0.35">
      <c r="B19" t="s">
        <v>39</v>
      </c>
    </row>
    <row r="20" spans="1:2" x14ac:dyDescent="0.35">
      <c r="B20" t="s">
        <v>40</v>
      </c>
    </row>
    <row r="21" spans="1:2" x14ac:dyDescent="0.35">
      <c r="B21" t="s">
        <v>41</v>
      </c>
    </row>
    <row r="22" spans="1:2" x14ac:dyDescent="0.35">
      <c r="B2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EA1E-09F9-4C53-8E64-F827944C1667}">
  <dimension ref="A1:D24"/>
  <sheetViews>
    <sheetView workbookViewId="0">
      <selection activeCell="C14" sqref="C14"/>
    </sheetView>
  </sheetViews>
  <sheetFormatPr defaultRowHeight="14.5" x14ac:dyDescent="0.35"/>
  <cols>
    <col min="1" max="4" width="3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30</v>
      </c>
      <c r="C2" s="4">
        <v>1</v>
      </c>
      <c r="D2">
        <f t="shared" ref="D2:D6" si="0">B2*C2</f>
        <v>30</v>
      </c>
    </row>
    <row r="3" spans="1:4" x14ac:dyDescent="0.35">
      <c r="A3" t="s">
        <v>6</v>
      </c>
      <c r="B3">
        <v>15</v>
      </c>
      <c r="C3" s="4">
        <v>2</v>
      </c>
      <c r="D3">
        <f t="shared" si="0"/>
        <v>30</v>
      </c>
    </row>
    <row r="4" spans="1:4" x14ac:dyDescent="0.35">
      <c r="A4" t="s">
        <v>5</v>
      </c>
      <c r="B4">
        <v>25</v>
      </c>
      <c r="C4" s="4">
        <v>2</v>
      </c>
      <c r="D4">
        <f t="shared" si="0"/>
        <v>50</v>
      </c>
    </row>
    <row r="5" spans="1:4" x14ac:dyDescent="0.35">
      <c r="A5" t="s">
        <v>17</v>
      </c>
      <c r="B5">
        <v>10</v>
      </c>
      <c r="C5" s="4">
        <v>1</v>
      </c>
      <c r="D5">
        <f t="shared" si="0"/>
        <v>10</v>
      </c>
    </row>
    <row r="6" spans="1:4" x14ac:dyDescent="0.35">
      <c r="A6" t="s">
        <v>7</v>
      </c>
      <c r="B6">
        <v>20</v>
      </c>
      <c r="C6" s="4">
        <v>2</v>
      </c>
      <c r="D6">
        <f t="shared" si="0"/>
        <v>40</v>
      </c>
    </row>
    <row r="7" spans="1:4" ht="15" thickBot="1" x14ac:dyDescent="0.4">
      <c r="A7" t="s">
        <v>8</v>
      </c>
      <c r="B7" s="2" t="s">
        <v>16</v>
      </c>
      <c r="C7" s="2" t="s">
        <v>16</v>
      </c>
      <c r="D7" s="3">
        <f>SUM(D2:D6)</f>
        <v>160</v>
      </c>
    </row>
    <row r="8" spans="1:4" ht="15" thickTop="1" x14ac:dyDescent="0.35">
      <c r="A8" t="s">
        <v>9</v>
      </c>
      <c r="D8">
        <f>D7/5</f>
        <v>32</v>
      </c>
    </row>
    <row r="10" spans="1:4" x14ac:dyDescent="0.35">
      <c r="A10" t="s">
        <v>44</v>
      </c>
      <c r="B10" s="5" t="s">
        <v>45</v>
      </c>
    </row>
    <row r="11" spans="1:4" x14ac:dyDescent="0.35">
      <c r="A11" t="s">
        <v>11</v>
      </c>
      <c r="B11" s="5" t="s">
        <v>46</v>
      </c>
    </row>
    <row r="12" spans="1:4" x14ac:dyDescent="0.35">
      <c r="A12" t="s">
        <v>12</v>
      </c>
      <c r="B12" s="5" t="s">
        <v>47</v>
      </c>
    </row>
    <row r="13" spans="1:4" x14ac:dyDescent="0.35">
      <c r="A13" t="s">
        <v>13</v>
      </c>
      <c r="B13" s="5" t="s">
        <v>48</v>
      </c>
    </row>
    <row r="14" spans="1:4" x14ac:dyDescent="0.35">
      <c r="A14" t="s">
        <v>14</v>
      </c>
      <c r="B14" s="5" t="s">
        <v>49</v>
      </c>
    </row>
    <row r="15" spans="1:4" x14ac:dyDescent="0.35">
      <c r="A15" t="s">
        <v>15</v>
      </c>
      <c r="B15" s="5" t="s">
        <v>50</v>
      </c>
    </row>
    <row r="17" spans="1:2" x14ac:dyDescent="0.35">
      <c r="A17" t="s">
        <v>18</v>
      </c>
      <c r="B17" t="s">
        <v>51</v>
      </c>
    </row>
    <row r="18" spans="1:2" x14ac:dyDescent="0.35">
      <c r="B18" t="s">
        <v>52</v>
      </c>
    </row>
    <row r="19" spans="1:2" x14ac:dyDescent="0.35">
      <c r="B19" t="s">
        <v>53</v>
      </c>
    </row>
    <row r="20" spans="1:2" x14ac:dyDescent="0.35">
      <c r="B20" t="s">
        <v>54</v>
      </c>
    </row>
    <row r="21" spans="1:2" x14ac:dyDescent="0.35">
      <c r="B21" t="s">
        <v>55</v>
      </c>
    </row>
    <row r="23" spans="1:2" x14ac:dyDescent="0.35">
      <c r="B23" t="s">
        <v>56</v>
      </c>
    </row>
    <row r="24" spans="1:2" x14ac:dyDescent="0.35">
      <c r="B24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C13" sqref="A1:XFD1048576"/>
    </sheetView>
  </sheetViews>
  <sheetFormatPr defaultRowHeight="14.5" x14ac:dyDescent="0.35"/>
  <cols>
    <col min="1" max="4" width="3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30</v>
      </c>
      <c r="C2" s="4">
        <v>4</v>
      </c>
      <c r="D2">
        <f t="shared" ref="D2:D6" si="0">B2*C2</f>
        <v>120</v>
      </c>
    </row>
    <row r="3" spans="1:4" x14ac:dyDescent="0.35">
      <c r="A3" t="s">
        <v>6</v>
      </c>
      <c r="B3">
        <v>15</v>
      </c>
      <c r="C3" s="4">
        <v>3</v>
      </c>
      <c r="D3">
        <f t="shared" si="0"/>
        <v>45</v>
      </c>
    </row>
    <row r="4" spans="1:4" x14ac:dyDescent="0.35">
      <c r="A4" t="s">
        <v>5</v>
      </c>
      <c r="B4">
        <v>25</v>
      </c>
      <c r="C4" s="4">
        <v>4</v>
      </c>
      <c r="D4">
        <f t="shared" si="0"/>
        <v>100</v>
      </c>
    </row>
    <row r="5" spans="1:4" x14ac:dyDescent="0.35">
      <c r="A5" t="s">
        <v>17</v>
      </c>
      <c r="B5">
        <v>10</v>
      </c>
      <c r="C5" s="4">
        <v>4</v>
      </c>
      <c r="D5">
        <f t="shared" si="0"/>
        <v>40</v>
      </c>
    </row>
    <row r="6" spans="1:4" x14ac:dyDescent="0.35">
      <c r="A6" t="s">
        <v>7</v>
      </c>
      <c r="B6">
        <v>20</v>
      </c>
      <c r="C6" s="4">
        <v>4</v>
      </c>
      <c r="D6">
        <f t="shared" si="0"/>
        <v>80</v>
      </c>
    </row>
    <row r="7" spans="1:4" ht="15" thickBot="1" x14ac:dyDescent="0.4">
      <c r="A7" t="s">
        <v>8</v>
      </c>
      <c r="B7" s="2" t="s">
        <v>16</v>
      </c>
      <c r="C7" s="2" t="s">
        <v>16</v>
      </c>
      <c r="D7" s="3">
        <f>SUM(D2:D6)</f>
        <v>385</v>
      </c>
    </row>
    <row r="8" spans="1:4" ht="15" thickTop="1" x14ac:dyDescent="0.35">
      <c r="A8" t="s">
        <v>9</v>
      </c>
      <c r="D8">
        <f>D7/5</f>
        <v>77</v>
      </c>
    </row>
    <row r="10" spans="1:4" x14ac:dyDescent="0.35">
      <c r="A10" t="s">
        <v>10</v>
      </c>
    </row>
    <row r="11" spans="1:4" x14ac:dyDescent="0.35">
      <c r="A11" t="s">
        <v>11</v>
      </c>
    </row>
    <row r="12" spans="1:4" x14ac:dyDescent="0.35">
      <c r="A12" t="s">
        <v>12</v>
      </c>
    </row>
    <row r="13" spans="1:4" x14ac:dyDescent="0.35">
      <c r="A13" t="s">
        <v>13</v>
      </c>
    </row>
    <row r="14" spans="1:4" x14ac:dyDescent="0.35">
      <c r="A14" t="s">
        <v>14</v>
      </c>
    </row>
    <row r="15" spans="1:4" x14ac:dyDescent="0.35">
      <c r="A15" t="s">
        <v>15</v>
      </c>
    </row>
    <row r="17" spans="1:2" x14ac:dyDescent="0.35">
      <c r="A17" t="s">
        <v>18</v>
      </c>
      <c r="B17" t="s">
        <v>21</v>
      </c>
    </row>
    <row r="18" spans="1:2" x14ac:dyDescent="0.35">
      <c r="B18" t="s">
        <v>24</v>
      </c>
    </row>
    <row r="19" spans="1:2" x14ac:dyDescent="0.35">
      <c r="B19" t="s">
        <v>19</v>
      </c>
    </row>
    <row r="20" spans="1:2" x14ac:dyDescent="0.35">
      <c r="B20" t="s">
        <v>20</v>
      </c>
    </row>
    <row r="21" spans="1:2" x14ac:dyDescent="0.35">
      <c r="B21" t="s">
        <v>22</v>
      </c>
    </row>
  </sheetData>
  <pageMargins left="0.75" right="0.75" top="1" bottom="1" header="0.5" footer="0.5"/>
  <headerFooter>
    <oddFooter>&amp;L_x000D_&amp;1#&amp;"Aptos"&amp;10&amp;K000000 Internal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A504-F04F-4BF5-B6E3-7D7B042C5FFB}">
  <dimension ref="A1:D21"/>
  <sheetViews>
    <sheetView workbookViewId="0">
      <selection activeCell="C26" sqref="C26"/>
    </sheetView>
  </sheetViews>
  <sheetFormatPr defaultRowHeight="14.5" x14ac:dyDescent="0.35"/>
  <cols>
    <col min="1" max="4" width="3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30</v>
      </c>
      <c r="C2" s="4">
        <v>2.5</v>
      </c>
      <c r="D2">
        <f t="shared" ref="D2:D6" si="0">B2*C2</f>
        <v>75</v>
      </c>
    </row>
    <row r="3" spans="1:4" x14ac:dyDescent="0.35">
      <c r="A3" t="s">
        <v>6</v>
      </c>
      <c r="B3">
        <v>15</v>
      </c>
      <c r="C3" s="4">
        <v>3</v>
      </c>
      <c r="D3">
        <f t="shared" si="0"/>
        <v>45</v>
      </c>
    </row>
    <row r="4" spans="1:4" x14ac:dyDescent="0.35">
      <c r="A4" t="s">
        <v>5</v>
      </c>
      <c r="B4">
        <v>25</v>
      </c>
      <c r="C4" s="4">
        <v>4</v>
      </c>
      <c r="D4">
        <f t="shared" si="0"/>
        <v>100</v>
      </c>
    </row>
    <row r="5" spans="1:4" x14ac:dyDescent="0.35">
      <c r="A5" t="s">
        <v>17</v>
      </c>
      <c r="B5">
        <v>10</v>
      </c>
      <c r="C5" s="4">
        <v>3.5</v>
      </c>
      <c r="D5">
        <f t="shared" si="0"/>
        <v>35</v>
      </c>
    </row>
    <row r="6" spans="1:4" x14ac:dyDescent="0.35">
      <c r="A6" t="s">
        <v>7</v>
      </c>
      <c r="B6">
        <v>20</v>
      </c>
      <c r="C6" s="4">
        <v>3.5</v>
      </c>
      <c r="D6">
        <f t="shared" si="0"/>
        <v>70</v>
      </c>
    </row>
    <row r="7" spans="1:4" ht="15" thickBot="1" x14ac:dyDescent="0.4">
      <c r="A7" t="s">
        <v>8</v>
      </c>
      <c r="B7" s="2" t="s">
        <v>16</v>
      </c>
      <c r="C7" s="2" t="s">
        <v>16</v>
      </c>
      <c r="D7" s="3">
        <f>SUM(D2:D6)</f>
        <v>325</v>
      </c>
    </row>
    <row r="8" spans="1:4" ht="15" thickTop="1" x14ac:dyDescent="0.35">
      <c r="A8" t="s">
        <v>9</v>
      </c>
      <c r="D8">
        <f>D7/5</f>
        <v>65</v>
      </c>
    </row>
    <row r="10" spans="1:4" x14ac:dyDescent="0.35">
      <c r="A10" t="s">
        <v>10</v>
      </c>
    </row>
    <row r="11" spans="1:4" x14ac:dyDescent="0.35">
      <c r="A11" t="s">
        <v>11</v>
      </c>
    </row>
    <row r="12" spans="1:4" x14ac:dyDescent="0.35">
      <c r="A12" t="s">
        <v>12</v>
      </c>
    </row>
    <row r="13" spans="1:4" x14ac:dyDescent="0.35">
      <c r="A13" t="s">
        <v>13</v>
      </c>
    </row>
    <row r="14" spans="1:4" x14ac:dyDescent="0.35">
      <c r="A14" t="s">
        <v>14</v>
      </c>
    </row>
    <row r="15" spans="1:4" x14ac:dyDescent="0.35">
      <c r="A15" t="s">
        <v>15</v>
      </c>
    </row>
    <row r="17" spans="1:2" x14ac:dyDescent="0.35">
      <c r="A17" t="s">
        <v>18</v>
      </c>
      <c r="B17" s="4" t="s">
        <v>37</v>
      </c>
    </row>
    <row r="18" spans="1:2" x14ac:dyDescent="0.35">
      <c r="B18" t="s">
        <v>23</v>
      </c>
    </row>
    <row r="19" spans="1:2" x14ac:dyDescent="0.35">
      <c r="B19" t="s">
        <v>25</v>
      </c>
    </row>
    <row r="20" spans="1:2" x14ac:dyDescent="0.35">
      <c r="B20" t="s">
        <v>26</v>
      </c>
    </row>
    <row r="21" spans="1:2" x14ac:dyDescent="0.35">
      <c r="B21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27DC-8E81-42A3-B759-0512B58976F1}">
  <dimension ref="A1:D21"/>
  <sheetViews>
    <sheetView workbookViewId="0">
      <selection activeCell="B23" sqref="B23"/>
    </sheetView>
  </sheetViews>
  <sheetFormatPr defaultRowHeight="14.5" x14ac:dyDescent="0.35"/>
  <cols>
    <col min="1" max="4" width="3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30</v>
      </c>
      <c r="C2">
        <v>3.5</v>
      </c>
      <c r="D2">
        <f t="shared" ref="D2:D6" si="0">B2*C2</f>
        <v>105</v>
      </c>
    </row>
    <row r="3" spans="1:4" x14ac:dyDescent="0.35">
      <c r="A3" t="s">
        <v>6</v>
      </c>
      <c r="B3">
        <v>15</v>
      </c>
      <c r="C3">
        <v>4</v>
      </c>
      <c r="D3">
        <f t="shared" si="0"/>
        <v>60</v>
      </c>
    </row>
    <row r="4" spans="1:4" x14ac:dyDescent="0.35">
      <c r="A4" t="s">
        <v>5</v>
      </c>
      <c r="B4">
        <v>25</v>
      </c>
      <c r="C4">
        <v>4</v>
      </c>
      <c r="D4">
        <f t="shared" si="0"/>
        <v>100</v>
      </c>
    </row>
    <row r="5" spans="1:4" x14ac:dyDescent="0.35">
      <c r="A5" t="s">
        <v>17</v>
      </c>
      <c r="B5">
        <v>10</v>
      </c>
      <c r="C5">
        <v>4</v>
      </c>
      <c r="D5">
        <f t="shared" si="0"/>
        <v>40</v>
      </c>
    </row>
    <row r="6" spans="1:4" x14ac:dyDescent="0.35">
      <c r="A6" t="s">
        <v>7</v>
      </c>
      <c r="B6">
        <v>20</v>
      </c>
      <c r="C6">
        <v>4</v>
      </c>
      <c r="D6">
        <f t="shared" si="0"/>
        <v>80</v>
      </c>
    </row>
    <row r="7" spans="1:4" ht="15" thickBot="1" x14ac:dyDescent="0.4">
      <c r="A7" t="s">
        <v>8</v>
      </c>
      <c r="B7" s="2" t="s">
        <v>16</v>
      </c>
      <c r="C7" s="2" t="s">
        <v>16</v>
      </c>
      <c r="D7" s="3">
        <f>SUM(D2:D6)</f>
        <v>385</v>
      </c>
    </row>
    <row r="8" spans="1:4" ht="15" thickTop="1" x14ac:dyDescent="0.35">
      <c r="A8" t="s">
        <v>9</v>
      </c>
      <c r="D8">
        <f>D7/5</f>
        <v>77</v>
      </c>
    </row>
    <row r="10" spans="1:4" x14ac:dyDescent="0.35">
      <c r="A10" t="s">
        <v>10</v>
      </c>
    </row>
    <row r="11" spans="1:4" x14ac:dyDescent="0.35">
      <c r="A11" t="s">
        <v>11</v>
      </c>
    </row>
    <row r="12" spans="1:4" x14ac:dyDescent="0.35">
      <c r="A12" t="s">
        <v>12</v>
      </c>
    </row>
    <row r="13" spans="1:4" x14ac:dyDescent="0.35">
      <c r="A13" t="s">
        <v>13</v>
      </c>
    </row>
    <row r="14" spans="1:4" x14ac:dyDescent="0.35">
      <c r="A14" t="s">
        <v>14</v>
      </c>
    </row>
    <row r="15" spans="1:4" x14ac:dyDescent="0.35">
      <c r="A15" t="s">
        <v>15</v>
      </c>
    </row>
    <row r="17" spans="1:2" x14ac:dyDescent="0.35">
      <c r="A17" s="4" t="s">
        <v>18</v>
      </c>
      <c r="B17" t="s">
        <v>28</v>
      </c>
    </row>
    <row r="18" spans="1:2" x14ac:dyDescent="0.35">
      <c r="B18" t="s">
        <v>29</v>
      </c>
    </row>
    <row r="19" spans="1:2" x14ac:dyDescent="0.35">
      <c r="B19" t="s">
        <v>19</v>
      </c>
    </row>
    <row r="20" spans="1:2" x14ac:dyDescent="0.35">
      <c r="B20" t="s">
        <v>30</v>
      </c>
    </row>
    <row r="21" spans="1:2" x14ac:dyDescent="0.35">
      <c r="B21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E376-0B6D-4DEF-BB8A-1D19EC1A694A}">
  <dimension ref="A1:D21"/>
  <sheetViews>
    <sheetView workbookViewId="0">
      <selection activeCell="B17" sqref="B17"/>
    </sheetView>
  </sheetViews>
  <sheetFormatPr defaultRowHeight="14.5" x14ac:dyDescent="0.35"/>
  <cols>
    <col min="1" max="4" width="3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30</v>
      </c>
      <c r="C2" s="4">
        <v>3</v>
      </c>
      <c r="D2">
        <f t="shared" ref="D2:D6" si="0">B2*C2</f>
        <v>90</v>
      </c>
    </row>
    <row r="3" spans="1:4" x14ac:dyDescent="0.35">
      <c r="A3" t="s">
        <v>6</v>
      </c>
      <c r="B3">
        <v>15</v>
      </c>
      <c r="C3" s="4">
        <v>4</v>
      </c>
      <c r="D3">
        <f t="shared" si="0"/>
        <v>60</v>
      </c>
    </row>
    <row r="4" spans="1:4" x14ac:dyDescent="0.35">
      <c r="A4" t="s">
        <v>5</v>
      </c>
      <c r="B4">
        <v>25</v>
      </c>
      <c r="C4" s="4">
        <v>3.5</v>
      </c>
      <c r="D4">
        <f t="shared" si="0"/>
        <v>87.5</v>
      </c>
    </row>
    <row r="5" spans="1:4" x14ac:dyDescent="0.35">
      <c r="A5" t="s">
        <v>17</v>
      </c>
      <c r="B5">
        <v>10</v>
      </c>
      <c r="C5" s="4">
        <v>3.5</v>
      </c>
      <c r="D5">
        <f t="shared" si="0"/>
        <v>35</v>
      </c>
    </row>
    <row r="6" spans="1:4" x14ac:dyDescent="0.35">
      <c r="A6" t="s">
        <v>7</v>
      </c>
      <c r="B6">
        <v>20</v>
      </c>
      <c r="C6" s="4">
        <v>4</v>
      </c>
      <c r="D6">
        <f t="shared" si="0"/>
        <v>80</v>
      </c>
    </row>
    <row r="7" spans="1:4" ht="15" thickBot="1" x14ac:dyDescent="0.4">
      <c r="A7" t="s">
        <v>8</v>
      </c>
      <c r="B7" s="2" t="s">
        <v>16</v>
      </c>
      <c r="C7" s="2" t="s">
        <v>16</v>
      </c>
      <c r="D7" s="3">
        <f>SUM(D2:D6)</f>
        <v>352.5</v>
      </c>
    </row>
    <row r="8" spans="1:4" ht="15" thickTop="1" x14ac:dyDescent="0.35">
      <c r="A8" t="s">
        <v>9</v>
      </c>
      <c r="D8">
        <f>D7/5</f>
        <v>70.5</v>
      </c>
    </row>
    <row r="10" spans="1:4" x14ac:dyDescent="0.35">
      <c r="A10" t="s">
        <v>10</v>
      </c>
    </row>
    <row r="11" spans="1:4" x14ac:dyDescent="0.35">
      <c r="A11" t="s">
        <v>11</v>
      </c>
    </row>
    <row r="12" spans="1:4" x14ac:dyDescent="0.35">
      <c r="A12" t="s">
        <v>12</v>
      </c>
    </row>
    <row r="13" spans="1:4" x14ac:dyDescent="0.35">
      <c r="A13" t="s">
        <v>13</v>
      </c>
    </row>
    <row r="14" spans="1:4" x14ac:dyDescent="0.35">
      <c r="A14" t="s">
        <v>14</v>
      </c>
    </row>
    <row r="15" spans="1:4" x14ac:dyDescent="0.35">
      <c r="A15" t="s">
        <v>15</v>
      </c>
    </row>
    <row r="17" spans="1:2" x14ac:dyDescent="0.35">
      <c r="A17" s="4" t="s">
        <v>18</v>
      </c>
      <c r="B17" t="s">
        <v>32</v>
      </c>
    </row>
    <row r="18" spans="1:2" x14ac:dyDescent="0.35">
      <c r="B18" t="s">
        <v>33</v>
      </c>
    </row>
    <row r="19" spans="1:2" x14ac:dyDescent="0.35">
      <c r="B19" t="s">
        <v>36</v>
      </c>
    </row>
    <row r="20" spans="1:2" x14ac:dyDescent="0.35">
      <c r="B20" t="s">
        <v>34</v>
      </c>
    </row>
    <row r="21" spans="1:2" x14ac:dyDescent="0.35">
      <c r="B21" t="s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c0a836-49bd-4190-870b-b9e8a5ace9f6}" enabled="1" method="Privileged" siteId="{11168e9d-8339-4497-a4a0-a9213624f2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Abinaya Shanmugam</vt:lpstr>
      <vt:lpstr>SHARMANE CLAIRE AUSTRIA</vt:lpstr>
      <vt:lpstr>Yaochen Yan</vt:lpstr>
      <vt:lpstr>John Du</vt:lpstr>
      <vt:lpstr>Tom Jing</vt:lpstr>
      <vt:lpstr>Samitha Chathuranga</vt:lpstr>
      <vt:lpstr>Reshita Ravi</vt:lpstr>
      <vt:lpstr>Sandaru Vishwajith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Yip</cp:lastModifiedBy>
  <dcterms:created xsi:type="dcterms:W3CDTF">2026-06-03T09:17:49Z</dcterms:created>
  <dcterms:modified xsi:type="dcterms:W3CDTF">2026-07-13T23:57:11Z</dcterms:modified>
</cp:coreProperties>
</file>