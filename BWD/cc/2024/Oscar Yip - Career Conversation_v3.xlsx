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drawings/drawing2.xml" ContentType="application/vnd.openxmlformats-officedocument.drawing+xml"/>
  <Override PartName="/xl/namedSheetViews/namedSheetView2.xml" ContentType="application/vnd.ms-excel.namedsheetviews+xml"/>
  <Override PartName="/xl/drawings/drawing3.xml" ContentType="application/vnd.openxmlformats-officedocument.drawing+xml"/>
  <Override PartName="/xl/namedSheetViews/namedSheetView3.xml" ContentType="application/vnd.ms-excel.namedsheetviews+xml"/>
  <Override PartName="/xl/drawings/drawing4.xml" ContentType="application/vnd.openxmlformats-officedocument.drawing+xml"/>
  <Override PartName="/xl/namedSheetViews/namedSheetView4.xml" ContentType="application/vnd.ms-excel.namedsheetviews+xml"/>
  <Override PartName="/xl/drawings/drawing5.xml" ContentType="application/vnd.openxmlformats-officedocument.drawing+xml"/>
  <Override PartName="/xl/namedSheetViews/namedSheetView5.xml" ContentType="application/vnd.ms-excel.namedsheetviews+xml"/>
  <Override PartName="/xl/drawings/drawing6.xml" ContentType="application/vnd.openxmlformats-officedocument.drawing+xml"/>
  <Override PartName="/xl/namedSheetViews/namedSheetView6.xml" ContentType="application/vnd.ms-excel.namedsheetviews+xml"/>
  <Override PartName="/xl/drawings/drawing7.xml" ContentType="application/vnd.openxmlformats-officedocument.drawing+xml"/>
  <Override PartName="/xl/namedSheetViews/namedSheetView7.xml" ContentType="application/vnd.ms-excel.namedsheetviews+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https://hawaiki-my.sharepoint.com/personal/oyip_bw-digital_com/Documents/BWD/cc/2024/"/>
    </mc:Choice>
  </mc:AlternateContent>
  <xr:revisionPtr revIDLastSave="1250" documentId="13_ncr:101_{3481C91F-F1D8-4AB7-80CA-6FD453CD0C81}" xr6:coauthVersionLast="47" xr6:coauthVersionMax="47" xr10:uidLastSave="{53D19EA4-3F5D-4F01-8949-CF74DA6302CF}"/>
  <bookViews>
    <workbookView xWindow="-120" yWindow="-120" windowWidth="29040" windowHeight="15990" firstSheet="2" activeTab="2" xr2:uid="{85D2EE43-84F4-4C3C-86A4-4F8CD70FB5F6}"/>
  </bookViews>
  <sheets>
    <sheet name="CC 2023" sheetId="52" state="hidden" r:id="rId1"/>
    <sheet name="Ramp Up Model" sheetId="45" r:id="rId2"/>
    <sheet name="CC 2024" sheetId="54" r:id="rId3"/>
    <sheet name="CC 2025" sheetId="55" state="hidden" r:id="rId4"/>
    <sheet name="CC 2026" sheetId="56" state="hidden" r:id="rId5"/>
    <sheet name="CC Model" sheetId="39" state="hidden" r:id="rId6"/>
    <sheet name="CC 2027" sheetId="57" state="hidden" r:id="rId7"/>
    <sheet name="Dashboard" sheetId="47" r:id="rId8"/>
  </sheets>
  <definedNames>
    <definedName name="_xlnm._FilterDatabase" localSheetId="0" hidden="1">'CC 2023'!$E$72:$L$80</definedName>
    <definedName name="_xlnm._FilterDatabase" localSheetId="2" hidden="1">'CC 2024'!$E$72:$L$80</definedName>
    <definedName name="_xlnm._FilterDatabase" localSheetId="3" hidden="1">'CC 2025'!$E$72:$L$80</definedName>
    <definedName name="_xlnm._FilterDatabase" localSheetId="4" hidden="1">'CC 2026'!$E$72:$L$80</definedName>
    <definedName name="_xlnm._FilterDatabase" localSheetId="6" hidden="1">'CC 2027'!$E$72:$L$80</definedName>
    <definedName name="_xlnm._FilterDatabase" localSheetId="5" hidden="1">'CC Model'!$E$72:$L$80</definedName>
    <definedName name="_xlnm._FilterDatabase" localSheetId="7" hidden="1">Dashboard!$D$82:$F$107</definedName>
    <definedName name="_xlnm.Print_Area" localSheetId="0">'CC 2023'!$D$1:$M$191</definedName>
    <definedName name="_xlnm.Print_Area" localSheetId="2">'CC 2024'!$D$1:$M$189</definedName>
    <definedName name="_xlnm.Print_Area" localSheetId="3">'CC 2025'!$D$1:$M$189</definedName>
    <definedName name="_xlnm.Print_Area" localSheetId="4">'CC 2026'!$D$1:$M$189</definedName>
    <definedName name="_xlnm.Print_Area" localSheetId="6">'CC 2027'!$D$1:$M$189</definedName>
    <definedName name="_xlnm.Print_Area" localSheetId="5">'CC Model'!$D$1:$M$189</definedName>
    <definedName name="_xlnm.Print_Area" localSheetId="1">'Ramp Up Model'!$C$1:$L$230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5" l="1"/>
  <c r="G177" i="57"/>
  <c r="G171" i="57"/>
  <c r="G169" i="57"/>
  <c r="G166" i="57"/>
  <c r="G164" i="57"/>
  <c r="G161" i="57"/>
  <c r="G159" i="57"/>
  <c r="G156" i="57"/>
  <c r="G154" i="57"/>
  <c r="F138" i="57"/>
  <c r="F126" i="57"/>
  <c r="F114" i="57"/>
  <c r="F102" i="57"/>
  <c r="F90" i="57"/>
  <c r="G67" i="57"/>
  <c r="G65" i="57"/>
  <c r="G61" i="57"/>
  <c r="G59" i="57"/>
  <c r="G55" i="57"/>
  <c r="G53" i="57"/>
  <c r="G49" i="57"/>
  <c r="G47" i="57"/>
  <c r="G43" i="57"/>
  <c r="G41" i="57"/>
  <c r="G37" i="57"/>
  <c r="G35" i="57"/>
  <c r="G31" i="57"/>
  <c r="G29" i="57"/>
  <c r="G14" i="57"/>
  <c r="E2" i="57"/>
  <c r="G177" i="39"/>
  <c r="G171" i="39"/>
  <c r="G169" i="39"/>
  <c r="G166" i="39"/>
  <c r="G164" i="39"/>
  <c r="G161" i="39"/>
  <c r="G159" i="39"/>
  <c r="G156" i="39"/>
  <c r="G154" i="39"/>
  <c r="F138" i="39"/>
  <c r="F126" i="39"/>
  <c r="F114" i="39"/>
  <c r="F102" i="39"/>
  <c r="F90" i="39"/>
  <c r="G67" i="39"/>
  <c r="G65" i="39"/>
  <c r="G61" i="39"/>
  <c r="G59" i="39"/>
  <c r="G55" i="39"/>
  <c r="G53" i="39"/>
  <c r="G49" i="39"/>
  <c r="G47" i="39"/>
  <c r="G43" i="39"/>
  <c r="G41" i="39"/>
  <c r="G37" i="39"/>
  <c r="G35" i="39"/>
  <c r="G31" i="39"/>
  <c r="G29" i="39"/>
  <c r="G14" i="39"/>
  <c r="G177" i="56"/>
  <c r="G171" i="56"/>
  <c r="G169" i="56"/>
  <c r="G166" i="56"/>
  <c r="G164" i="56"/>
  <c r="G161" i="56"/>
  <c r="G159" i="56"/>
  <c r="G156" i="56"/>
  <c r="G154" i="56"/>
  <c r="F138" i="56"/>
  <c r="F126" i="56"/>
  <c r="E47" i="47" s="1"/>
  <c r="F114" i="56"/>
  <c r="F102" i="56"/>
  <c r="F90" i="56"/>
  <c r="G67" i="56"/>
  <c r="G65" i="56"/>
  <c r="G61" i="56"/>
  <c r="G59" i="56"/>
  <c r="G55" i="56"/>
  <c r="G53" i="56"/>
  <c r="G49" i="56"/>
  <c r="G47" i="56"/>
  <c r="G43" i="56"/>
  <c r="G41" i="56"/>
  <c r="G37" i="56"/>
  <c r="G35" i="56"/>
  <c r="G31" i="56"/>
  <c r="G29" i="56"/>
  <c r="G14" i="56"/>
  <c r="E2" i="56"/>
  <c r="G177" i="55"/>
  <c r="G171" i="55"/>
  <c r="G169" i="55"/>
  <c r="G166" i="55"/>
  <c r="G164" i="55"/>
  <c r="G161" i="55"/>
  <c r="G159" i="55"/>
  <c r="G156" i="55"/>
  <c r="G154" i="55"/>
  <c r="F138" i="55"/>
  <c r="F126" i="55"/>
  <c r="F114" i="55"/>
  <c r="F102" i="55"/>
  <c r="F90" i="55"/>
  <c r="G67" i="55"/>
  <c r="G65" i="55"/>
  <c r="G61" i="55"/>
  <c r="G59" i="55"/>
  <c r="G55" i="55"/>
  <c r="G53" i="55"/>
  <c r="G49" i="55"/>
  <c r="G47" i="55"/>
  <c r="G43" i="55"/>
  <c r="G41" i="55"/>
  <c r="G37" i="55"/>
  <c r="G35" i="55"/>
  <c r="G31" i="55"/>
  <c r="G29" i="55"/>
  <c r="G14" i="55"/>
  <c r="E2" i="55"/>
  <c r="E2" i="39"/>
  <c r="C7" i="47"/>
  <c r="F8" i="55"/>
  <c r="F8" i="56" s="1"/>
  <c r="F8" i="57" s="1"/>
  <c r="J164" i="54"/>
  <c r="F6" i="55"/>
  <c r="F6" i="56" s="1"/>
  <c r="F6" i="57" s="1"/>
  <c r="L137" i="55"/>
  <c r="L137" i="56" s="1"/>
  <c r="O137" i="56" s="1"/>
  <c r="K137" i="55"/>
  <c r="K137" i="56" s="1"/>
  <c r="J137" i="55"/>
  <c r="J137" i="56" s="1"/>
  <c r="I137" i="55"/>
  <c r="I137" i="56" s="1"/>
  <c r="F137" i="55"/>
  <c r="F137" i="56" s="1"/>
  <c r="L125" i="55"/>
  <c r="K125" i="55"/>
  <c r="K125" i="56" s="1"/>
  <c r="J125" i="55"/>
  <c r="J125" i="56" s="1"/>
  <c r="I125" i="55"/>
  <c r="I125" i="56" s="1"/>
  <c r="F125" i="55"/>
  <c r="F125" i="56" s="1"/>
  <c r="L113" i="55"/>
  <c r="L113" i="56" s="1"/>
  <c r="K113" i="55"/>
  <c r="K113" i="56" s="1"/>
  <c r="J113" i="55"/>
  <c r="J113" i="56" s="1"/>
  <c r="I113" i="55"/>
  <c r="I113" i="56" s="1"/>
  <c r="F113" i="55"/>
  <c r="F113" i="56" s="1"/>
  <c r="L101" i="55"/>
  <c r="L101" i="56" s="1"/>
  <c r="O101" i="56" s="1"/>
  <c r="K101" i="55"/>
  <c r="K101" i="56" s="1"/>
  <c r="J101" i="55"/>
  <c r="J101" i="56" s="1"/>
  <c r="I101" i="55"/>
  <c r="I101" i="56" s="1"/>
  <c r="F101" i="55"/>
  <c r="F101" i="56" s="1"/>
  <c r="J89" i="55"/>
  <c r="J89" i="56" s="1"/>
  <c r="K89" i="55"/>
  <c r="K89" i="56" s="1"/>
  <c r="L89" i="55"/>
  <c r="O89" i="55" s="1"/>
  <c r="I89" i="55"/>
  <c r="I89" i="56" s="1"/>
  <c r="F89" i="55"/>
  <c r="F89" i="56" s="1"/>
  <c r="G14" i="52"/>
  <c r="G29" i="52"/>
  <c r="G31" i="52"/>
  <c r="G35" i="52"/>
  <c r="G37" i="52"/>
  <c r="G41" i="52"/>
  <c r="G43" i="52"/>
  <c r="G47" i="52"/>
  <c r="G49" i="52"/>
  <c r="G53" i="52"/>
  <c r="G55" i="52"/>
  <c r="G59" i="52"/>
  <c r="G61" i="52"/>
  <c r="G65" i="52"/>
  <c r="G67" i="52"/>
  <c r="F90" i="52"/>
  <c r="F102" i="52"/>
  <c r="F114" i="52"/>
  <c r="F126" i="52"/>
  <c r="F138" i="52"/>
  <c r="G154" i="52"/>
  <c r="G156" i="52"/>
  <c r="G159" i="52"/>
  <c r="G161" i="52"/>
  <c r="G164" i="52"/>
  <c r="G166" i="52"/>
  <c r="G169" i="52"/>
  <c r="G171" i="52"/>
  <c r="G177" i="52"/>
  <c r="G14" i="54"/>
  <c r="G29" i="54"/>
  <c r="G31" i="54"/>
  <c r="G35" i="54"/>
  <c r="G37" i="54"/>
  <c r="G41" i="54"/>
  <c r="G43" i="54"/>
  <c r="G47" i="54"/>
  <c r="G49" i="54"/>
  <c r="G53" i="54"/>
  <c r="G55" i="54"/>
  <c r="G59" i="54"/>
  <c r="G61" i="54"/>
  <c r="G65" i="54"/>
  <c r="G67" i="54"/>
  <c r="F90" i="54"/>
  <c r="F102" i="54"/>
  <c r="F114" i="54"/>
  <c r="F126" i="54"/>
  <c r="F138" i="54"/>
  <c r="G154" i="54"/>
  <c r="G156" i="54"/>
  <c r="G159" i="54"/>
  <c r="G161" i="54"/>
  <c r="G164" i="54"/>
  <c r="G166" i="54"/>
  <c r="G169" i="54"/>
  <c r="G171" i="54"/>
  <c r="G177" i="54"/>
  <c r="E2" i="54"/>
  <c r="F111" i="55"/>
  <c r="F111" i="56" s="1"/>
  <c r="F87" i="55"/>
  <c r="E40" i="47" s="1"/>
  <c r="F114" i="47"/>
  <c r="E114" i="47"/>
  <c r="F113" i="47"/>
  <c r="E113" i="47"/>
  <c r="F112" i="47"/>
  <c r="E112" i="47"/>
  <c r="F111" i="47"/>
  <c r="E111" i="47"/>
  <c r="F110" i="47"/>
  <c r="E110" i="47"/>
  <c r="F109" i="47"/>
  <c r="E109" i="47"/>
  <c r="F108" i="47"/>
  <c r="E108" i="47"/>
  <c r="F107" i="47"/>
  <c r="E107" i="47"/>
  <c r="F106" i="47"/>
  <c r="E106" i="47"/>
  <c r="F105" i="47"/>
  <c r="E105" i="47"/>
  <c r="F104" i="47"/>
  <c r="E104" i="47"/>
  <c r="F103" i="47"/>
  <c r="E103" i="47"/>
  <c r="F102" i="47"/>
  <c r="E102" i="47"/>
  <c r="F101" i="47"/>
  <c r="E101" i="47"/>
  <c r="F100" i="47"/>
  <c r="E100" i="47"/>
  <c r="F99" i="47"/>
  <c r="E99" i="47"/>
  <c r="F98" i="47"/>
  <c r="E98" i="47"/>
  <c r="F97" i="47"/>
  <c r="E97" i="47"/>
  <c r="F96" i="47"/>
  <c r="E96" i="47"/>
  <c r="F95" i="47"/>
  <c r="E95" i="47"/>
  <c r="F94" i="47"/>
  <c r="E94" i="47"/>
  <c r="F93" i="47"/>
  <c r="E93" i="47"/>
  <c r="F92" i="47"/>
  <c r="E92" i="47"/>
  <c r="F91" i="47"/>
  <c r="E91" i="47"/>
  <c r="F90" i="47"/>
  <c r="E90" i="47"/>
  <c r="F89" i="47"/>
  <c r="E89" i="47"/>
  <c r="F88" i="47"/>
  <c r="E88" i="47"/>
  <c r="F87" i="47"/>
  <c r="E87" i="47"/>
  <c r="F86" i="47"/>
  <c r="E86" i="47"/>
  <c r="F85" i="47"/>
  <c r="E85" i="47"/>
  <c r="F83" i="47"/>
  <c r="F84" i="47"/>
  <c r="E84" i="47"/>
  <c r="E83" i="47"/>
  <c r="G54" i="47"/>
  <c r="F54" i="47"/>
  <c r="E54" i="47"/>
  <c r="G53" i="47"/>
  <c r="F53" i="47"/>
  <c r="E53" i="47"/>
  <c r="G52" i="47"/>
  <c r="F52" i="47"/>
  <c r="E52" i="47"/>
  <c r="G51" i="47"/>
  <c r="F51" i="47"/>
  <c r="E51" i="47"/>
  <c r="G50" i="47"/>
  <c r="W66" i="47" s="1"/>
  <c r="F50" i="47"/>
  <c r="E50" i="47"/>
  <c r="G49" i="47"/>
  <c r="F49" i="47"/>
  <c r="G48" i="47"/>
  <c r="F48" i="47"/>
  <c r="G47" i="47"/>
  <c r="F47" i="47"/>
  <c r="G46" i="47"/>
  <c r="F46" i="47"/>
  <c r="G45" i="47"/>
  <c r="F45" i="47"/>
  <c r="G44" i="47"/>
  <c r="F44" i="47"/>
  <c r="G43" i="47"/>
  <c r="F43" i="47"/>
  <c r="G42" i="47"/>
  <c r="F42" i="47"/>
  <c r="E42" i="47"/>
  <c r="G41" i="47"/>
  <c r="F41" i="47"/>
  <c r="G40" i="47"/>
  <c r="F40" i="47"/>
  <c r="G39" i="47"/>
  <c r="F39" i="47"/>
  <c r="G38" i="47"/>
  <c r="F38" i="47"/>
  <c r="G37" i="47"/>
  <c r="F37" i="47"/>
  <c r="E37" i="47"/>
  <c r="G36" i="47"/>
  <c r="F36" i="47"/>
  <c r="G35" i="47"/>
  <c r="F35" i="47"/>
  <c r="E31" i="47"/>
  <c r="G34" i="47"/>
  <c r="F34" i="47"/>
  <c r="E34" i="47"/>
  <c r="G33" i="47"/>
  <c r="F33" i="47"/>
  <c r="E33" i="47"/>
  <c r="G32" i="47"/>
  <c r="F32" i="47"/>
  <c r="E32" i="47"/>
  <c r="G31" i="47"/>
  <c r="F31" i="47"/>
  <c r="G30" i="47"/>
  <c r="F30" i="47"/>
  <c r="E30" i="47"/>
  <c r="H74" i="47"/>
  <c r="G74" i="47"/>
  <c r="F74" i="47"/>
  <c r="E74" i="47"/>
  <c r="H70" i="47"/>
  <c r="G70" i="47"/>
  <c r="F70" i="47"/>
  <c r="E70" i="47"/>
  <c r="G19" i="47"/>
  <c r="F19" i="47"/>
  <c r="E19" i="47"/>
  <c r="H73" i="47"/>
  <c r="G73" i="47"/>
  <c r="F73" i="47"/>
  <c r="E73" i="47"/>
  <c r="H72" i="47"/>
  <c r="G72" i="47"/>
  <c r="F72" i="47"/>
  <c r="E72" i="47"/>
  <c r="H71" i="47"/>
  <c r="G71" i="47"/>
  <c r="F71" i="47"/>
  <c r="E71" i="47"/>
  <c r="G23" i="47"/>
  <c r="F23" i="47"/>
  <c r="E23" i="47"/>
  <c r="G22" i="47"/>
  <c r="F22" i="47"/>
  <c r="E22" i="47"/>
  <c r="G21" i="47"/>
  <c r="F21" i="47"/>
  <c r="E21" i="47"/>
  <c r="G20" i="47"/>
  <c r="F20" i="47"/>
  <c r="E20" i="47"/>
  <c r="E188" i="57"/>
  <c r="E187" i="57"/>
  <c r="E179" i="57"/>
  <c r="E178" i="57"/>
  <c r="E171" i="57"/>
  <c r="Q170" i="57"/>
  <c r="Q173" i="57" s="1"/>
  <c r="Q174" i="57" s="1"/>
  <c r="L2" i="57" s="1"/>
  <c r="Q169" i="57"/>
  <c r="E169" i="57"/>
  <c r="E166" i="57"/>
  <c r="Q165" i="57"/>
  <c r="Q164" i="57"/>
  <c r="E164" i="57"/>
  <c r="E161" i="57"/>
  <c r="Q160" i="57"/>
  <c r="Q159" i="57"/>
  <c r="E159" i="57"/>
  <c r="E156" i="57"/>
  <c r="Q155" i="57"/>
  <c r="Q154" i="57"/>
  <c r="E154" i="57"/>
  <c r="Q147" i="57"/>
  <c r="G146" i="57"/>
  <c r="E145" i="57"/>
  <c r="E144" i="57"/>
  <c r="E141" i="57"/>
  <c r="E140" i="57"/>
  <c r="O137" i="57"/>
  <c r="E133" i="57"/>
  <c r="E132" i="57"/>
  <c r="E129" i="57"/>
  <c r="E128" i="57"/>
  <c r="O125" i="57"/>
  <c r="E121" i="57"/>
  <c r="E120" i="57"/>
  <c r="E117" i="57"/>
  <c r="E116" i="57"/>
  <c r="O113" i="57"/>
  <c r="E109" i="57"/>
  <c r="E108" i="57"/>
  <c r="E105" i="57"/>
  <c r="E104" i="57"/>
  <c r="O101" i="57"/>
  <c r="E97" i="57"/>
  <c r="E96" i="57"/>
  <c r="E93" i="57"/>
  <c r="E92" i="57"/>
  <c r="O89" i="57"/>
  <c r="E67" i="57"/>
  <c r="E65" i="57"/>
  <c r="E61" i="57"/>
  <c r="E59" i="57"/>
  <c r="E55" i="57"/>
  <c r="E53" i="57"/>
  <c r="E49" i="57"/>
  <c r="E47" i="57"/>
  <c r="E43" i="57"/>
  <c r="E41" i="57"/>
  <c r="E37" i="57"/>
  <c r="E35" i="57"/>
  <c r="E31" i="57"/>
  <c r="E29" i="57"/>
  <c r="G22" i="57"/>
  <c r="E19" i="57"/>
  <c r="G18" i="57"/>
  <c r="E15" i="57"/>
  <c r="E188" i="56"/>
  <c r="E187" i="56"/>
  <c r="E179" i="56"/>
  <c r="E178" i="56"/>
  <c r="E171" i="56"/>
  <c r="Q170" i="56"/>
  <c r="Q173" i="56" s="1"/>
  <c r="Q174" i="56" s="1"/>
  <c r="Q169" i="56"/>
  <c r="E169" i="56"/>
  <c r="E166" i="56"/>
  <c r="Q165" i="56"/>
  <c r="Q164" i="56"/>
  <c r="E164" i="56"/>
  <c r="E161" i="56"/>
  <c r="Q160" i="56"/>
  <c r="Q159" i="56"/>
  <c r="E159" i="56"/>
  <c r="E156" i="56"/>
  <c r="Q155" i="56"/>
  <c r="Q154" i="56"/>
  <c r="E154" i="56"/>
  <c r="Q147" i="56"/>
  <c r="G146" i="56"/>
  <c r="L2" i="56" s="1"/>
  <c r="E145" i="56"/>
  <c r="E144" i="56"/>
  <c r="E141" i="56"/>
  <c r="E140" i="56"/>
  <c r="E133" i="56"/>
  <c r="E132" i="56"/>
  <c r="E129" i="56"/>
  <c r="E128" i="56"/>
  <c r="E121" i="56"/>
  <c r="E120" i="56"/>
  <c r="E117" i="56"/>
  <c r="E116" i="56"/>
  <c r="O113" i="56"/>
  <c r="E109" i="56"/>
  <c r="E108" i="56"/>
  <c r="E105" i="56"/>
  <c r="E104" i="56"/>
  <c r="E97" i="56"/>
  <c r="E96" i="56"/>
  <c r="E93" i="56"/>
  <c r="E92" i="56"/>
  <c r="E67" i="56"/>
  <c r="E65" i="56"/>
  <c r="E61" i="56"/>
  <c r="E59" i="56"/>
  <c r="E55" i="56"/>
  <c r="E53" i="56"/>
  <c r="E49" i="56"/>
  <c r="E47" i="56"/>
  <c r="E43" i="56"/>
  <c r="E41" i="56"/>
  <c r="E37" i="56"/>
  <c r="E35" i="56"/>
  <c r="E31" i="56"/>
  <c r="E29" i="56"/>
  <c r="G22" i="56"/>
  <c r="E19" i="56"/>
  <c r="G18" i="56"/>
  <c r="E15" i="56"/>
  <c r="E188" i="55"/>
  <c r="E187" i="55"/>
  <c r="E179" i="55"/>
  <c r="E178" i="55"/>
  <c r="E171" i="55"/>
  <c r="Q170" i="55"/>
  <c r="Q173" i="55" s="1"/>
  <c r="Q174" i="55" s="1"/>
  <c r="L2" i="55" s="1"/>
  <c r="Q169" i="55"/>
  <c r="E169" i="55"/>
  <c r="E166" i="55"/>
  <c r="Q165" i="55"/>
  <c r="Q164" i="55"/>
  <c r="E164" i="55"/>
  <c r="E161" i="55"/>
  <c r="Q160" i="55"/>
  <c r="Q159" i="55"/>
  <c r="E159" i="55"/>
  <c r="E156" i="55"/>
  <c r="Q155" i="55"/>
  <c r="Q154" i="55"/>
  <c r="E154" i="55"/>
  <c r="G146" i="55"/>
  <c r="Q147" i="55" s="1"/>
  <c r="E145" i="55"/>
  <c r="E144" i="55"/>
  <c r="E141" i="55"/>
  <c r="E140" i="55"/>
  <c r="E133" i="55"/>
  <c r="E132" i="55"/>
  <c r="E129" i="55"/>
  <c r="E128" i="55"/>
  <c r="E121" i="55"/>
  <c r="E120" i="55"/>
  <c r="E117" i="55"/>
  <c r="E116" i="55"/>
  <c r="O113" i="55"/>
  <c r="E109" i="55"/>
  <c r="E108" i="55"/>
  <c r="E105" i="55"/>
  <c r="E104" i="55"/>
  <c r="O101" i="55"/>
  <c r="E97" i="55"/>
  <c r="E96" i="55"/>
  <c r="E93" i="55"/>
  <c r="E92" i="55"/>
  <c r="E67" i="55"/>
  <c r="E65" i="55"/>
  <c r="E61" i="55"/>
  <c r="E59" i="55"/>
  <c r="E55" i="55"/>
  <c r="E53" i="55"/>
  <c r="E49" i="55"/>
  <c r="E47" i="55"/>
  <c r="E43" i="55"/>
  <c r="E41" i="55"/>
  <c r="E37" i="55"/>
  <c r="E35" i="55"/>
  <c r="E31" i="55"/>
  <c r="E29" i="55"/>
  <c r="G22" i="55"/>
  <c r="E19" i="55"/>
  <c r="G18" i="55"/>
  <c r="E15" i="55"/>
  <c r="F28" i="55"/>
  <c r="F28" i="56" s="1"/>
  <c r="F28" i="57" s="1"/>
  <c r="F34" i="55"/>
  <c r="F34" i="56" s="1"/>
  <c r="F34" i="57" s="1"/>
  <c r="F40" i="55"/>
  <c r="F40" i="56" s="1"/>
  <c r="F40" i="57" s="1"/>
  <c r="F46" i="55"/>
  <c r="F46" i="56" s="1"/>
  <c r="F46" i="57" s="1"/>
  <c r="F52" i="55"/>
  <c r="F52" i="56" s="1"/>
  <c r="F52" i="57" s="1"/>
  <c r="F58" i="55"/>
  <c r="F58" i="56" s="1"/>
  <c r="F58" i="57" s="1"/>
  <c r="F64" i="55"/>
  <c r="F64" i="56" s="1"/>
  <c r="F64" i="57" s="1"/>
  <c r="E188" i="54"/>
  <c r="E187" i="54"/>
  <c r="E179" i="54"/>
  <c r="E178" i="54"/>
  <c r="E171" i="54"/>
  <c r="Q170" i="54"/>
  <c r="Q169" i="54"/>
  <c r="J169" i="54"/>
  <c r="E169" i="54"/>
  <c r="E166" i="54"/>
  <c r="Q165" i="54"/>
  <c r="Q164" i="54"/>
  <c r="E164" i="54"/>
  <c r="E161" i="54"/>
  <c r="Q160" i="54"/>
  <c r="Q159" i="54"/>
  <c r="J159" i="54"/>
  <c r="E159" i="54"/>
  <c r="E156" i="54"/>
  <c r="Q155" i="54"/>
  <c r="Q154" i="54"/>
  <c r="E154" i="54"/>
  <c r="G146" i="54"/>
  <c r="Q147" i="54" s="1"/>
  <c r="E145" i="54"/>
  <c r="E144" i="54"/>
  <c r="F142" i="54"/>
  <c r="E141" i="54"/>
  <c r="E140" i="54"/>
  <c r="O137" i="54"/>
  <c r="E133" i="54"/>
  <c r="E132" i="54"/>
  <c r="E129" i="54"/>
  <c r="E128" i="54"/>
  <c r="O125" i="54"/>
  <c r="E121" i="54"/>
  <c r="E120" i="54"/>
  <c r="F118" i="54"/>
  <c r="E117" i="54"/>
  <c r="E116" i="54"/>
  <c r="O113" i="54"/>
  <c r="E109" i="54"/>
  <c r="E108" i="54"/>
  <c r="E105" i="54"/>
  <c r="E104" i="54"/>
  <c r="O101" i="54"/>
  <c r="E97" i="54"/>
  <c r="E96" i="54"/>
  <c r="F94" i="54"/>
  <c r="E93" i="54"/>
  <c r="E92" i="54"/>
  <c r="O89" i="54"/>
  <c r="E67" i="54"/>
  <c r="E65" i="54"/>
  <c r="E61" i="54"/>
  <c r="E59" i="54"/>
  <c r="J55" i="54"/>
  <c r="E55" i="54"/>
  <c r="E53" i="54"/>
  <c r="E49" i="54"/>
  <c r="E47" i="54"/>
  <c r="E43" i="54"/>
  <c r="E41" i="54"/>
  <c r="E37" i="54"/>
  <c r="E35" i="54"/>
  <c r="E31" i="54"/>
  <c r="E29" i="54"/>
  <c r="G22" i="54"/>
  <c r="E19" i="54"/>
  <c r="G18" i="54"/>
  <c r="E15" i="54"/>
  <c r="E188" i="52"/>
  <c r="E187" i="52"/>
  <c r="E179" i="52"/>
  <c r="E178" i="52"/>
  <c r="J177" i="52"/>
  <c r="J171" i="52"/>
  <c r="E171" i="52"/>
  <c r="Q170" i="52"/>
  <c r="Q169" i="52"/>
  <c r="J169" i="52"/>
  <c r="E169" i="52"/>
  <c r="J166" i="52"/>
  <c r="E166" i="52"/>
  <c r="Q165" i="52"/>
  <c r="Q164" i="52"/>
  <c r="J164" i="52"/>
  <c r="E164" i="52"/>
  <c r="J161" i="52"/>
  <c r="E161" i="52"/>
  <c r="Q160" i="52"/>
  <c r="Q159" i="52"/>
  <c r="J159" i="52"/>
  <c r="E159" i="52"/>
  <c r="J156" i="52"/>
  <c r="E156" i="52"/>
  <c r="Q155" i="52"/>
  <c r="Q154" i="52"/>
  <c r="J154" i="52"/>
  <c r="E154" i="52"/>
  <c r="G146" i="52"/>
  <c r="Q147" i="52" s="1"/>
  <c r="E145" i="52"/>
  <c r="E144" i="52"/>
  <c r="F142" i="52"/>
  <c r="E141" i="52"/>
  <c r="E140" i="52"/>
  <c r="O137" i="52"/>
  <c r="E133" i="52"/>
  <c r="E132" i="52"/>
  <c r="F130" i="52"/>
  <c r="E129" i="52"/>
  <c r="E128" i="52"/>
  <c r="O125" i="52"/>
  <c r="E121" i="52"/>
  <c r="E120" i="52"/>
  <c r="F118" i="52"/>
  <c r="E117" i="52"/>
  <c r="E116" i="52"/>
  <c r="O113" i="52"/>
  <c r="E109" i="52"/>
  <c r="E108" i="52"/>
  <c r="F106" i="52"/>
  <c r="E105" i="52"/>
  <c r="E104" i="52"/>
  <c r="O101" i="52"/>
  <c r="E97" i="52"/>
  <c r="E96" i="52"/>
  <c r="F94" i="52"/>
  <c r="E93" i="52"/>
  <c r="E92" i="52"/>
  <c r="O89" i="52"/>
  <c r="J67" i="52"/>
  <c r="E67" i="52"/>
  <c r="J65" i="52"/>
  <c r="E65" i="52"/>
  <c r="J61" i="52"/>
  <c r="E61" i="52"/>
  <c r="J59" i="52"/>
  <c r="E59" i="52"/>
  <c r="J55" i="52"/>
  <c r="E55" i="52"/>
  <c r="J53" i="52"/>
  <c r="E53" i="52"/>
  <c r="J49" i="52"/>
  <c r="E49" i="52"/>
  <c r="J47" i="52"/>
  <c r="E47" i="52"/>
  <c r="J43" i="52"/>
  <c r="E43" i="52"/>
  <c r="J41" i="52"/>
  <c r="E41" i="52"/>
  <c r="J37" i="52"/>
  <c r="E37" i="52"/>
  <c r="J35" i="52"/>
  <c r="E35" i="52"/>
  <c r="J31" i="52"/>
  <c r="E31" i="52"/>
  <c r="J29" i="52"/>
  <c r="E29" i="52"/>
  <c r="G22" i="52"/>
  <c r="E19" i="52"/>
  <c r="G18" i="52"/>
  <c r="E15" i="52"/>
  <c r="G22" i="39"/>
  <c r="J177" i="39"/>
  <c r="J171" i="39"/>
  <c r="J169" i="39"/>
  <c r="J166" i="39"/>
  <c r="J164" i="39"/>
  <c r="J161" i="39"/>
  <c r="J159" i="39"/>
  <c r="J156" i="39"/>
  <c r="J154" i="39"/>
  <c r="F142" i="39"/>
  <c r="F130" i="39"/>
  <c r="F118" i="39"/>
  <c r="F106" i="39"/>
  <c r="F94" i="39"/>
  <c r="J67" i="39"/>
  <c r="J65" i="39"/>
  <c r="J61" i="39"/>
  <c r="J59" i="39"/>
  <c r="J55" i="39"/>
  <c r="J53" i="39"/>
  <c r="J49" i="39"/>
  <c r="J47" i="39"/>
  <c r="J43" i="39"/>
  <c r="J41" i="39"/>
  <c r="J37" i="39"/>
  <c r="J35" i="39"/>
  <c r="J31" i="39"/>
  <c r="J29" i="39"/>
  <c r="G18" i="39"/>
  <c r="G146" i="39"/>
  <c r="Q169" i="39"/>
  <c r="Q170" i="39"/>
  <c r="Q164" i="39"/>
  <c r="Q159" i="39"/>
  <c r="Q154" i="39"/>
  <c r="Q155" i="39"/>
  <c r="Q160" i="39"/>
  <c r="Q165" i="39"/>
  <c r="Q173" i="39"/>
  <c r="E192" i="45"/>
  <c r="K193" i="45" s="1"/>
  <c r="Q147" i="39"/>
  <c r="K232" i="45"/>
  <c r="L232" i="45" s="1"/>
  <c r="K233" i="45"/>
  <c r="L233" i="45" s="1"/>
  <c r="K234" i="45"/>
  <c r="L234" i="45" s="1"/>
  <c r="D191" i="45"/>
  <c r="D190" i="45"/>
  <c r="D189" i="45"/>
  <c r="D186" i="45"/>
  <c r="D185" i="45"/>
  <c r="D184" i="45"/>
  <c r="D177" i="45"/>
  <c r="D176" i="45"/>
  <c r="D175" i="45"/>
  <c r="D172" i="45"/>
  <c r="D171" i="45"/>
  <c r="D170" i="45"/>
  <c r="D163" i="45"/>
  <c r="D162" i="45"/>
  <c r="D161" i="45"/>
  <c r="D158" i="45"/>
  <c r="D157" i="45"/>
  <c r="D156" i="45"/>
  <c r="D149" i="45"/>
  <c r="D148" i="45"/>
  <c r="D147" i="45"/>
  <c r="D144" i="45"/>
  <c r="D143" i="45"/>
  <c r="D142" i="45"/>
  <c r="D135" i="45"/>
  <c r="D134" i="45"/>
  <c r="D133" i="45"/>
  <c r="D130" i="45"/>
  <c r="D114" i="45"/>
  <c r="D129" i="45"/>
  <c r="D112" i="45"/>
  <c r="D128" i="45"/>
  <c r="D110" i="45"/>
  <c r="D43" i="45"/>
  <c r="N181" i="45"/>
  <c r="N167" i="45"/>
  <c r="N153" i="45"/>
  <c r="N139" i="45"/>
  <c r="N125" i="45"/>
  <c r="E145" i="39"/>
  <c r="E144" i="39"/>
  <c r="E141" i="39"/>
  <c r="E140" i="39"/>
  <c r="O137" i="39"/>
  <c r="E133" i="39"/>
  <c r="E132" i="39"/>
  <c r="E129" i="39"/>
  <c r="E128" i="39"/>
  <c r="O125" i="39"/>
  <c r="E121" i="39"/>
  <c r="E120" i="39"/>
  <c r="E117" i="39"/>
  <c r="E116" i="39"/>
  <c r="O113" i="39"/>
  <c r="E109" i="39"/>
  <c r="E108" i="39"/>
  <c r="E105" i="39"/>
  <c r="E104" i="39"/>
  <c r="O101" i="39"/>
  <c r="E19" i="39"/>
  <c r="E15" i="39"/>
  <c r="E188" i="39"/>
  <c r="E187" i="39"/>
  <c r="E179" i="39"/>
  <c r="E178" i="39"/>
  <c r="E171" i="39"/>
  <c r="E169" i="39"/>
  <c r="E166" i="39"/>
  <c r="E164" i="39"/>
  <c r="E161" i="39"/>
  <c r="E159" i="39"/>
  <c r="E156" i="39"/>
  <c r="E154" i="39"/>
  <c r="E97" i="39"/>
  <c r="E96" i="39"/>
  <c r="E93" i="39"/>
  <c r="E92" i="39"/>
  <c r="O89" i="39"/>
  <c r="E67" i="39"/>
  <c r="E65" i="39"/>
  <c r="E61" i="39"/>
  <c r="E59" i="39"/>
  <c r="E55" i="39"/>
  <c r="E53" i="39"/>
  <c r="E49" i="39"/>
  <c r="E47" i="39"/>
  <c r="E43" i="39"/>
  <c r="E41" i="39"/>
  <c r="E37" i="39"/>
  <c r="E35" i="39"/>
  <c r="E31" i="39"/>
  <c r="E29" i="39"/>
  <c r="A1" i="47"/>
  <c r="C8" i="47" s="1"/>
  <c r="K231" i="45"/>
  <c r="L231" i="45" s="1"/>
  <c r="D227" i="45"/>
  <c r="D225" i="45"/>
  <c r="D223" i="45"/>
  <c r="D220" i="45"/>
  <c r="D218" i="45"/>
  <c r="D216" i="45"/>
  <c r="D213" i="45"/>
  <c r="D211" i="45"/>
  <c r="D209" i="45"/>
  <c r="D206" i="45"/>
  <c r="D204" i="45"/>
  <c r="D202" i="45"/>
  <c r="D106" i="45"/>
  <c r="D104" i="45"/>
  <c r="D102" i="45"/>
  <c r="D98" i="45"/>
  <c r="D96" i="45"/>
  <c r="D94" i="45"/>
  <c r="D90" i="45"/>
  <c r="D88" i="45"/>
  <c r="D86" i="45"/>
  <c r="D82" i="45"/>
  <c r="D80" i="45"/>
  <c r="D78" i="45"/>
  <c r="D74" i="45"/>
  <c r="D72" i="45"/>
  <c r="D70" i="45"/>
  <c r="D66" i="45"/>
  <c r="D64" i="45"/>
  <c r="D62" i="45"/>
  <c r="F54" i="45"/>
  <c r="D51" i="45"/>
  <c r="F50" i="45"/>
  <c r="D47" i="45"/>
  <c r="F46" i="45"/>
  <c r="Q173" i="54" l="1"/>
  <c r="Q174" i="54" s="1"/>
  <c r="O137" i="55"/>
  <c r="O125" i="55"/>
  <c r="L125" i="56"/>
  <c r="O125" i="56" s="1"/>
  <c r="J156" i="54"/>
  <c r="L2" i="54"/>
  <c r="J53" i="54"/>
  <c r="J166" i="54"/>
  <c r="J35" i="54"/>
  <c r="J37" i="54"/>
  <c r="L89" i="56"/>
  <c r="O89" i="56" s="1"/>
  <c r="F87" i="56"/>
  <c r="E45" i="47" s="1"/>
  <c r="J177" i="54"/>
  <c r="J31" i="54"/>
  <c r="J49" i="54"/>
  <c r="J67" i="54"/>
  <c r="F7" i="55"/>
  <c r="F7" i="56" s="1"/>
  <c r="F7" i="57" s="1"/>
  <c r="F94" i="57" s="1"/>
  <c r="J41" i="54"/>
  <c r="J59" i="54"/>
  <c r="J43" i="54"/>
  <c r="J61" i="54"/>
  <c r="J161" i="54"/>
  <c r="J171" i="54"/>
  <c r="J29" i="54"/>
  <c r="J47" i="54"/>
  <c r="J65" i="54"/>
  <c r="F106" i="54"/>
  <c r="F130" i="54"/>
  <c r="J154" i="54"/>
  <c r="J47" i="57"/>
  <c r="J65" i="56"/>
  <c r="J166" i="55"/>
  <c r="F130" i="55"/>
  <c r="J154" i="55"/>
  <c r="J61" i="55"/>
  <c r="J41" i="55"/>
  <c r="Q173" i="52"/>
  <c r="Q174" i="52" s="1"/>
  <c r="L2" i="52" s="1"/>
  <c r="E39" i="47"/>
  <c r="F135" i="55"/>
  <c r="E38" i="47"/>
  <c r="F123" i="55"/>
  <c r="E36" i="47"/>
  <c r="F99" i="55"/>
  <c r="W64" i="47"/>
  <c r="W65" i="47"/>
  <c r="V64" i="47"/>
  <c r="W63" i="47"/>
  <c r="V66" i="47"/>
  <c r="V65" i="47"/>
  <c r="V63" i="47"/>
  <c r="K2" i="45"/>
  <c r="Q174" i="39"/>
  <c r="L2" i="39" s="1"/>
  <c r="W62" i="47"/>
  <c r="U60" i="47" s="1"/>
  <c r="Q63" i="47" s="1"/>
  <c r="V62" i="47"/>
  <c r="J41" i="57" l="1"/>
  <c r="J53" i="55"/>
  <c r="J169" i="55"/>
  <c r="J59" i="55"/>
  <c r="F106" i="55"/>
  <c r="J55" i="55"/>
  <c r="F94" i="55"/>
  <c r="J31" i="55"/>
  <c r="F142" i="55"/>
  <c r="J49" i="55"/>
  <c r="J67" i="55"/>
  <c r="J156" i="55"/>
  <c r="E44" i="47"/>
  <c r="F135" i="56"/>
  <c r="E49" i="47" s="1"/>
  <c r="E43" i="47"/>
  <c r="F123" i="56"/>
  <c r="E48" i="47" s="1"/>
  <c r="E41" i="47"/>
  <c r="F99" i="56"/>
  <c r="E46" i="47" s="1"/>
  <c r="J37" i="56"/>
  <c r="J29" i="57"/>
  <c r="J67" i="57"/>
  <c r="F142" i="56"/>
  <c r="J154" i="57"/>
  <c r="J43" i="55"/>
  <c r="J161" i="55"/>
  <c r="J37" i="55"/>
  <c r="J159" i="56"/>
  <c r="J43" i="56"/>
  <c r="J177" i="57"/>
  <c r="J35" i="57"/>
  <c r="J164" i="55"/>
  <c r="J171" i="55"/>
  <c r="F118" i="55"/>
  <c r="J169" i="56"/>
  <c r="J41" i="56"/>
  <c r="J164" i="57"/>
  <c r="J59" i="57"/>
  <c r="J35" i="55"/>
  <c r="J29" i="55"/>
  <c r="J177" i="56"/>
  <c r="F106" i="56"/>
  <c r="J59" i="56"/>
  <c r="F130" i="57"/>
  <c r="J166" i="57"/>
  <c r="J159" i="55"/>
  <c r="J47" i="55"/>
  <c r="J61" i="56"/>
  <c r="J154" i="56"/>
  <c r="J161" i="56"/>
  <c r="F106" i="57"/>
  <c r="J37" i="57"/>
  <c r="J177" i="55"/>
  <c r="J65" i="55"/>
  <c r="J164" i="56"/>
  <c r="J47" i="56"/>
  <c r="J171" i="56"/>
  <c r="J65" i="57"/>
  <c r="J169" i="57"/>
  <c r="J49" i="57"/>
  <c r="J156" i="56"/>
  <c r="F94" i="56"/>
  <c r="J31" i="57"/>
  <c r="J161" i="57"/>
  <c r="J159" i="57"/>
  <c r="J35" i="56"/>
  <c r="F130" i="56"/>
  <c r="J171" i="57"/>
  <c r="F118" i="57"/>
  <c r="F142" i="57"/>
  <c r="J67" i="56"/>
  <c r="J49" i="56"/>
  <c r="J31" i="56"/>
  <c r="J43" i="57"/>
  <c r="J55" i="56"/>
  <c r="J29" i="56"/>
  <c r="J166" i="56"/>
  <c r="J156" i="57"/>
  <c r="J53" i="56"/>
  <c r="J61" i="57"/>
  <c r="J53" i="57"/>
  <c r="F118" i="56"/>
  <c r="J55" i="57"/>
</calcChain>
</file>

<file path=xl/sharedStrings.xml><?xml version="1.0" encoding="utf-8"?>
<sst xmlns="http://schemas.openxmlformats.org/spreadsheetml/2006/main" count="1181" uniqueCount="276">
  <si>
    <t>Employee Name</t>
  </si>
  <si>
    <r>
      <rPr>
        <b/>
        <sz val="20"/>
        <color rgb="FF000000"/>
        <rFont val="Arial"/>
      </rPr>
      <t xml:space="preserve">Part 1: </t>
    </r>
    <r>
      <rPr>
        <sz val="20"/>
        <color rgb="FF000000"/>
        <rFont val="Arial"/>
      </rPr>
      <t>Ice Breaker : Introduction &amp; General Feedback</t>
    </r>
  </si>
  <si>
    <t>Role:</t>
  </si>
  <si>
    <t xml:space="preserve">Reports to: </t>
  </si>
  <si>
    <t>Start Date:</t>
  </si>
  <si>
    <t xml:space="preserve">Mid-year meeting </t>
  </si>
  <si>
    <t xml:space="preserve">End-of-year meeting </t>
  </si>
  <si>
    <t xml:space="preserve">How do you feel? 
Any ideas for BWD to improve ? </t>
  </si>
  <si>
    <t>out of 10</t>
  </si>
  <si>
    <t>What is going well in my role</t>
  </si>
  <si>
    <t>What is challenging in my role</t>
  </si>
  <si>
    <t xml:space="preserve">How is BWD as an Employer 
( management style, culture, work environment) </t>
  </si>
  <si>
    <t xml:space="preserve">Average </t>
  </si>
  <si>
    <t>What is going well</t>
  </si>
  <si>
    <t>What is challenging</t>
  </si>
  <si>
    <r>
      <rPr>
        <b/>
        <sz val="20"/>
        <color rgb="FF000000"/>
        <rFont val="Arial"/>
      </rPr>
      <t>Part 2:</t>
    </r>
    <r>
      <rPr>
        <sz val="20"/>
        <color rgb="FF000000"/>
        <rFont val="Arial"/>
      </rPr>
      <t xml:space="preserve">  Your skill set &amp; Learning Plan </t>
    </r>
  </si>
  <si>
    <t xml:space="preserve">Just checking your current skill-set and exploring new competences to develop. </t>
  </si>
  <si>
    <t>SKILL 1</t>
  </si>
  <si>
    <t>SKILL 2</t>
  </si>
  <si>
    <t>SKILL 3</t>
  </si>
  <si>
    <t xml:space="preserve"> </t>
  </si>
  <si>
    <t>SKILL 4</t>
  </si>
  <si>
    <t>SKILL 5</t>
  </si>
  <si>
    <t>SKILL 6</t>
  </si>
  <si>
    <t>SKILL 7</t>
  </si>
  <si>
    <t xml:space="preserve">Based on your skill-set and growth plan, what is your learning target? Plan, Track, Celebrate! </t>
  </si>
  <si>
    <t xml:space="preserve">Training required 
(description, link) </t>
  </si>
  <si>
    <t>Format</t>
  </si>
  <si>
    <t>Timeline</t>
  </si>
  <si>
    <t>Budget</t>
  </si>
  <si>
    <t>Supported by BWD?</t>
  </si>
  <si>
    <t xml:space="preserve">% of accomplishment </t>
  </si>
  <si>
    <t>Training's review (/10)</t>
  </si>
  <si>
    <r>
      <rPr>
        <b/>
        <sz val="20"/>
        <color rgb="FF000000"/>
        <rFont val="Arial"/>
      </rPr>
      <t>Part 3:</t>
    </r>
    <r>
      <rPr>
        <sz val="20"/>
        <color rgb="FF000000"/>
        <rFont val="Arial"/>
      </rPr>
      <t xml:space="preserve"> SMART Goals</t>
    </r>
  </si>
  <si>
    <t xml:space="preserve">With the help of your manager, and based on your current KPIs and ambition, define 5 SMART goals that you will accomplish for the next 12 months. The most significant will be included in your next year KPIs and used for your bonus calculation.  
No worries, if a goal is not applicable anymore, just do not fill a percentage and it will not be taken into account. </t>
  </si>
  <si>
    <t>Feeling lost? Check out this link -&gt;</t>
  </si>
  <si>
    <t>Examples of SMART Goals</t>
  </si>
  <si>
    <t>GOAL1</t>
  </si>
  <si>
    <t xml:space="preserve">Short description </t>
  </si>
  <si>
    <t>Talent Acquisition ( 100% fast &amp; successful recruitments ) 2023</t>
  </si>
  <si>
    <t xml:space="preserve">Make it SMART </t>
  </si>
  <si>
    <t xml:space="preserve">Specific </t>
  </si>
  <si>
    <t>Measurable</t>
  </si>
  <si>
    <t>Achievable</t>
  </si>
  <si>
    <t xml:space="preserve">Relevant </t>
  </si>
  <si>
    <t>Time-bound</t>
  </si>
  <si>
    <t>Ensure hiring managers satisfaction by providing quickly strong shortlists of candidates, smooth interviews process and guidance in the decision</t>
  </si>
  <si>
    <t>100% hiring manager satisfaction 
100% new employee success after 6 months</t>
  </si>
  <si>
    <t>thanks to a strong culture and employer branding, a good collaboration with managers and sharp recruitment tools &amp; techniques</t>
  </si>
  <si>
    <t>to support BWD performance and growth</t>
  </si>
  <si>
    <t>by the end of 2023</t>
  </si>
  <si>
    <t>% accomplished</t>
  </si>
  <si>
    <t>Comments</t>
  </si>
  <si>
    <t>GOAL 2</t>
  </si>
  <si>
    <t>GOAL 3</t>
  </si>
  <si>
    <t>GOAL 4</t>
  </si>
  <si>
    <t>GOAL 5</t>
  </si>
  <si>
    <t>End-of-year average (Manager)</t>
  </si>
  <si>
    <r>
      <rPr>
        <b/>
        <sz val="20"/>
        <color rgb="FF000000"/>
        <rFont val="Arial"/>
      </rPr>
      <t xml:space="preserve">Part 4: </t>
    </r>
    <r>
      <rPr>
        <sz val="20"/>
        <color rgb="FF000000"/>
        <rFont val="Arial"/>
      </rPr>
      <t xml:space="preserve">Values Alignement </t>
    </r>
  </si>
  <si>
    <t>Are we aligning our actions with our values and exhibiting the desired behaviors?</t>
  </si>
  <si>
    <t>Assessment 
(Each meeting)</t>
  </si>
  <si>
    <t>Value ambassador</t>
  </si>
  <si>
    <t>Quality</t>
  </si>
  <si>
    <t>I plan, organize, make the extra effort and preparation.
I learn from my mistakes and document my learnings.
I deliver on time and on quality.
I seek information to make decisions and solve problems.</t>
  </si>
  <si>
    <t>% of alignment</t>
  </si>
  <si>
    <t>Innovation</t>
  </si>
  <si>
    <t>I explore innovation in the market, and I use tools and techniques to explore new ideas.
I adapt to changing environments.
I engage in and suggest innovative ways of working (continuous improvement)
I am self aware, open minded, continuously identifying opportunities for skill growth.</t>
  </si>
  <si>
    <t>Collaboration</t>
  </si>
  <si>
    <t>We work together to solve clients challenges and call on others to contribute.
I empower my colleagues in their work.
I respect the views of others and recognizes the impact of self on team culture.
I communicate in a timely and effective manner.</t>
  </si>
  <si>
    <t>Collab.</t>
  </si>
  <si>
    <t>Customer centricity</t>
  </si>
  <si>
    <t>I continuously listen to my clients, understand their needs, and respond consistently in a timely manner.
I think outside the box to support customers.
I deliver outstanding customer experiences.
I proactively anticipate customer needs.</t>
  </si>
  <si>
    <t>Cust. Cent.</t>
  </si>
  <si>
    <t>Final</t>
  </si>
  <si>
    <r>
      <rPr>
        <b/>
        <sz val="20"/>
        <color rgb="FF000000"/>
        <rFont val="Arial"/>
      </rPr>
      <t>Part 5:</t>
    </r>
    <r>
      <rPr>
        <sz val="20"/>
        <color rgb="FF000000"/>
        <rFont val="Arial"/>
      </rPr>
      <t xml:space="preserve"> Career development</t>
    </r>
  </si>
  <si>
    <t xml:space="preserve">Let's talk about a potential next step in the company, and your compensation package. </t>
  </si>
  <si>
    <t>Status</t>
  </si>
  <si>
    <r>
      <rPr>
        <b/>
        <sz val="20"/>
        <color rgb="FF000000"/>
        <rFont val="Arial"/>
      </rPr>
      <t>Part 6:</t>
    </r>
    <r>
      <rPr>
        <sz val="20"/>
        <color rgb="FF000000"/>
        <rFont val="Arial"/>
      </rPr>
      <t xml:space="preserve"> Start, Stop, Continue</t>
    </r>
  </si>
  <si>
    <t xml:space="preserve">What are your take-aways from that conversation ? Introspect and look for actions that you should Start / Stop / Continue. </t>
  </si>
  <si>
    <t xml:space="preserve">START </t>
  </si>
  <si>
    <t xml:space="preserve">STOP </t>
  </si>
  <si>
    <t xml:space="preserve">CONTINUE </t>
  </si>
  <si>
    <t xml:space="preserve">Part 1 : Ice Breaker : Introduction &amp; General Feedback </t>
  </si>
  <si>
    <t>New Role</t>
  </si>
  <si>
    <t xml:space="preserve">Full Stack Developer </t>
  </si>
  <si>
    <t>Reports to</t>
  </si>
  <si>
    <t xml:space="preserve">Anael </t>
  </si>
  <si>
    <t>Context</t>
  </si>
  <si>
    <t xml:space="preserve">Akshat Replacement - Akshat last day of work if 1/5/2024 </t>
  </si>
  <si>
    <t>Job Description*</t>
  </si>
  <si>
    <t xml:space="preserve">As the Full Stack Developer, you will report to the Director - Engineering and IT and play a critical role in designing, developing, deploying, maintaining, and supporting our diverse range of applications. Your efforts will be closely aligned with our IT strategy and product roadmap, ensuring our technological solutions remain at the forefront of industry standards.  
Key tasks and responsibilities 
Participate in strategic decision-making and contribute to the design of the 2023 Roadmap 
Report to the manager on collaboration and projects, and proactively offer solutions 
Participate in designing and implementing the software architecture and applications 
Review, identify, propose, and implement changes in our current application stacks, in collaboration with IT system team, to optimize costs and reduce maintenance  
In accordance with company cybersecurity roadmap and industry best practices, adapt, improve and update internal applications to be compliant with written policies. 
ldentify, test, recommend, develop and deploy applications and tools including and not limited to Java related technologies and frameworks that are relevant to the business requirements of the company. 
ldentify, assess, advise on, develop and implement centralized software development tools and development guidelines and processes that are the state of the art in implementing front-end and back-end applications 
Maintain updated overview of the software stack and applications, their interactions and user documentations 
Participate in and facilitate code reviews with peers </t>
  </si>
  <si>
    <t>2023 KPIs</t>
  </si>
  <si>
    <t>COMPANY PERFORMANCE</t>
  </si>
  <si>
    <t xml:space="preserve">2023 Order Intake </t>
  </si>
  <si>
    <t xml:space="preserve">2023 Cost Management </t>
  </si>
  <si>
    <t xml:space="preserve">2023 Return on Capital Employed </t>
  </si>
  <si>
    <t>TEAM GOALS*</t>
  </si>
  <si>
    <t>SMART GOALS*</t>
  </si>
  <si>
    <t xml:space="preserve">COMPANY VALUES AMBASSADOR </t>
  </si>
  <si>
    <t>Start date</t>
  </si>
  <si>
    <t>Meeting 1 (during 1st week)</t>
  </si>
  <si>
    <t>15/02/2024</t>
  </si>
  <si>
    <t>Meeting 2</t>
  </si>
  <si>
    <t>Meeting 3</t>
  </si>
  <si>
    <t>15/04/2024</t>
  </si>
  <si>
    <r>
      <rPr>
        <b/>
        <sz val="20"/>
        <color rgb="FF000000"/>
        <rFont val="Arial"/>
      </rPr>
      <t xml:space="preserve">Part 1: </t>
    </r>
    <r>
      <rPr>
        <sz val="20"/>
        <color rgb="FF000000"/>
        <rFont val="Arial"/>
      </rPr>
      <t>Introduction &amp; General Feedback</t>
    </r>
  </si>
  <si>
    <t>Team member</t>
  </si>
  <si>
    <t>Manager</t>
  </si>
  <si>
    <t>Things are going well, have everything he needs, will request more services and accesses later on.</t>
  </si>
  <si>
    <t xml:space="preserve">Akshat : confirms he will give access later. Good 1st week - Anael : MCP should be available. Good 1st success with a alarm problem solved. He has a lot to discover. </t>
  </si>
  <si>
    <t xml:space="preserve">get familiar to tools </t>
  </si>
  <si>
    <t xml:space="preserve">Nice people, good environment , quite relax, efficiency </t>
  </si>
  <si>
    <t xml:space="preserve">Marie encourages to catchup with Thasa and Graham </t>
  </si>
  <si>
    <t xml:space="preserve">Transfer is shared session by session, with practical opportunity in between </t>
  </si>
  <si>
    <t xml:space="preserve">exceptional job since last month , Oscar is almost autonomous / confirmed bby Anael, ex Pat dashboard </t>
  </si>
  <si>
    <t xml:space="preserve">some apps are complex and require more time :  NRMS &gt; need more practice </t>
  </si>
  <si>
    <t xml:space="preserve">there will be more session and work on NRMS </t>
  </si>
  <si>
    <t xml:space="preserve">people are still nice and helpful </t>
  </si>
  <si>
    <r>
      <rPr>
        <b/>
        <sz val="22"/>
        <color theme="1"/>
        <rFont val="Arial"/>
        <family val="2"/>
      </rPr>
      <t>Part 2:</t>
    </r>
    <r>
      <rPr>
        <sz val="22"/>
        <color theme="1"/>
        <rFont val="Arial"/>
        <family val="2"/>
      </rPr>
      <t xml:space="preserve"> Skills Audit and Upskilling Plan</t>
    </r>
  </si>
  <si>
    <t xml:space="preserve">Let's check how comfortable you feel for each main component of your new role. Identify any gaps and create an upskilling plan to help you become an expert. This plan will involve formal training and learning by doing. Monitor the progression with your % of autonomy. </t>
  </si>
  <si>
    <t>SKILL 1*</t>
  </si>
  <si>
    <t>Technology – Spring Boot, Java ,  MySQL , Graph DB , Docker, Groovy, Node.js , Angular , SQL, Unix , shell scripts</t>
  </si>
  <si>
    <t>Manager*</t>
  </si>
  <si>
    <t xml:space="preserve">familiar with all of them : 85% , 
expect Angular and MySQL : 55% </t>
  </si>
  <si>
    <t xml:space="preserve">agreed </t>
  </si>
  <si>
    <t xml:space="preserve">Manager </t>
  </si>
  <si>
    <t xml:space="preserve">no change in Angular 55%, feel better in SQL and others </t>
  </si>
  <si>
    <t>Pentahu is still a challenge, but others are progressing well.</t>
  </si>
  <si>
    <t>SKILL 2*</t>
  </si>
  <si>
    <t>Tools  - Grafana, GitLab, Jenkins , Confluence , OTRS , JIRA, OpenNMS , MariaDb , Postgres DB</t>
  </si>
  <si>
    <t xml:space="preserve">familiar with al l of them, grafana, gitlab, jenkins : OK / expect OpenNms 
</t>
  </si>
  <si>
    <t>Akshat to train Oscar on OpenNMS</t>
  </si>
  <si>
    <t>all good for all of them, needs to practice on  Jenkins  set up BWD , openNMS</t>
  </si>
  <si>
    <t xml:space="preserve">agreed, demo to be organised </t>
  </si>
  <si>
    <t>SKILL 3*</t>
  </si>
  <si>
    <t>Integration – Pentahu</t>
  </si>
  <si>
    <t xml:space="preserve">New framework , has used similar tools </t>
  </si>
  <si>
    <t xml:space="preserve">Pentahu has been used last </t>
  </si>
  <si>
    <t xml:space="preserve">agreed - Oscar is independent on Pentahu </t>
  </si>
  <si>
    <t>SKILL 4*</t>
  </si>
  <si>
    <t>SKILL 5*</t>
  </si>
  <si>
    <t>SKILL 6*</t>
  </si>
  <si>
    <t>SKILL 7*</t>
  </si>
  <si>
    <r>
      <rPr>
        <b/>
        <sz val="22"/>
        <color theme="1"/>
        <rFont val="Arial"/>
        <family val="2"/>
      </rPr>
      <t>Part 3:</t>
    </r>
    <r>
      <rPr>
        <sz val="22"/>
        <color theme="1"/>
        <rFont val="Arial"/>
        <family val="2"/>
      </rPr>
      <t xml:space="preserve"> SMART Goals</t>
    </r>
  </si>
  <si>
    <t xml:space="preserve">What can be achieved during your induction period ? Define your 5 priorities.Split your goals accordingly to ensure they are smart. </t>
  </si>
  <si>
    <t>Add new dashboards in Stats Portal  (https://stats-new.local.bw-digital.com/)</t>
  </si>
  <si>
    <t xml:space="preserve">Eng. Team new feature requests </t>
  </si>
  <si>
    <t xml:space="preserve">Diagram of active fibers and historical table of 5 last switches </t>
  </si>
  <si>
    <t>With Akshat and Pat Support</t>
  </si>
  <si>
    <t xml:space="preserve">To implement new features / improve traffic visibility </t>
  </si>
  <si>
    <t>Q2 2024</t>
  </si>
  <si>
    <t xml:space="preserve">out of 3 parts, part 1 and 3 completed, being reviewed by Pat , part2 Network diagram is not completed as Oscar needs support for Akshat - Discussion with Pat will help </t>
  </si>
  <si>
    <t xml:space="preserve">US Backhaul 2 fibers - dash board to show the history of switches and status of the traffic / Pentahu will be used - </t>
  </si>
  <si>
    <t xml:space="preserve">Akshat : Agreed for 1 and 3. Part 2 will start soon. Anael : Good delivery. Very good additional feature for NOC. Good autonomy </t>
  </si>
  <si>
    <t>Update, Improve &amp; Support NRMS (https://nrmsportalv2.local.bw-digital.com/#/)</t>
  </si>
  <si>
    <t>Resolve the issue with 2 x DAC/AOC removal and bring back the visibility of the HIKA port for provisioning.
Address the removal of 29 x DAC/AOC entries.
Add 24 x DAC/AOC labels.</t>
  </si>
  <si>
    <t xml:space="preserve">Thasa check </t>
  </si>
  <si>
    <t>With Akshat + Thasa Support</t>
  </si>
  <si>
    <t xml:space="preserve">To fix information </t>
  </si>
  <si>
    <t xml:space="preserve">a few attempts ( misinterpretation )  , but finally completed </t>
  </si>
  <si>
    <t xml:space="preserve">completed 1st week March </t>
  </si>
  <si>
    <t xml:space="preserve">Update &amp; Support Mediation </t>
  </si>
  <si>
    <t>False email alarm
Discrepencies in circuit identification</t>
  </si>
  <si>
    <t xml:space="preserve">all identified false alarms has been fixed </t>
  </si>
  <si>
    <t>With Akshat - NOC Support</t>
  </si>
  <si>
    <t>To fix alerting</t>
  </si>
  <si>
    <t>updated the list thanks to Oday and Christian &gt; as a result there was no false alarm since then</t>
  </si>
  <si>
    <t xml:space="preserve">1st success, one alarm already resolved </t>
  </si>
  <si>
    <t xml:space="preserve">New process : data is shared and a testing is completed - to be followed diligently with Ops </t>
  </si>
  <si>
    <t>Support Internal Ticketing system</t>
  </si>
  <si>
    <t xml:space="preserve">complement Akshat on trouble shooting the new OTRS system </t>
  </si>
  <si>
    <t xml:space="preserve">autonomy in solving tickets </t>
  </si>
  <si>
    <t xml:space="preserve">job shadowing Akshat </t>
  </si>
  <si>
    <t>users experience</t>
  </si>
  <si>
    <t xml:space="preserve">feels 60% familiar with the system - each new issue is  managed 1st by Oscar - </t>
  </si>
  <si>
    <t xml:space="preserve">OTRS is quite complex , a few session happened already 40% , tool usage will make oscar more familiar , more sessions will help Oscar to get a the full overview ( explore past issues together ) </t>
  </si>
  <si>
    <r>
      <rPr>
        <b/>
        <sz val="22"/>
        <color theme="1"/>
        <rFont val="Arial"/>
        <family val="2"/>
      </rPr>
      <t>Part 4:</t>
    </r>
    <r>
      <rPr>
        <sz val="22"/>
        <color theme="1"/>
        <rFont val="Arial"/>
        <family val="2"/>
      </rPr>
      <t xml:space="preserve"> Values alignment</t>
    </r>
  </si>
  <si>
    <t>Assessment</t>
  </si>
  <si>
    <t>Automatically calculated rank</t>
  </si>
  <si>
    <t xml:space="preserve">process has been followed , innovations are done under pre-prod environment, so we make sure business and standards are met </t>
  </si>
  <si>
    <t xml:space="preserve">exceptional job in maintening the quality - good a requesting feedback before release - one correction has been done </t>
  </si>
  <si>
    <t xml:space="preserve">solved an integration issue - data collection </t>
  </si>
  <si>
    <t xml:space="preserve">better resiliency in the system and better performance - more ideas will come with experience </t>
  </si>
  <si>
    <t xml:space="preserve">good work with Akshat, discussions with Oday </t>
  </si>
  <si>
    <t xml:space="preserve">lovely working with Oscar - he approaches other teams autonomously - Oscar can connect with more colleagues - good communication </t>
  </si>
  <si>
    <t>I continuously listen to my clients, understand their needs, and respond consistently in a timely manner.
I think outside thhe box to support customers.
I deliver outstanding customer experiences.
I proactively anticipate customer needs.</t>
  </si>
  <si>
    <t xml:space="preserve">responded to a lot of requests from Oday, explained the causes of the issue, </t>
  </si>
  <si>
    <t xml:space="preserve">good understanding of clients requests, reconfirming the need,  improvment will come with experience </t>
  </si>
  <si>
    <t xml:space="preserve">I feel great at the moment, this is not only because I am now familiar with the applications at BWD, but also there are new projects and explorations. </t>
  </si>
  <si>
    <t>It's a bit time management issue for me to deal with the application issues occurred sometimes, while I am trying to develop new piece of work.</t>
  </si>
  <si>
    <t>I cannot find anything to complain. Management is encouraged me to explore new things (such as Hackathon). Relaxing and supportive work environment.</t>
  </si>
  <si>
    <t>I am confident to utilize all of them now, as during the past few months, many projects were involved with these tech stacks, which I was able to deal with and make change.</t>
  </si>
  <si>
    <t>I'll rely on Oscar feedback on these skills. Glad to hear his confidence on our tech stack</t>
  </si>
  <si>
    <t>It's simliar to above, however, one of them is JIRA that I may not have chance to deal with before. It is required permissions for the changes in Confluence/JIRA, and I may need more details in Confluence/JIRA.</t>
  </si>
  <si>
    <t>Whenever there was issue, I could fix immediately, as I am now quite familiar with this tool. 
100% is my confident level but there are still so much to explore in this tool.</t>
  </si>
  <si>
    <t>Good to hear that Oscar can fully support our Mediation process. Maybe an update of the Pentahu/Jave framework will be needed in some time/</t>
  </si>
  <si>
    <t>Potential Tech Stacks: Python (API app, AI related); Vector DB, such as Chroma DB.</t>
  </si>
  <si>
    <t>Given that I have some experience in Python, I indicate 30% of confident using it. However, as this is new area we are going to explore, I foresee there will be some challnges in the near future.</t>
  </si>
  <si>
    <t>Glad that Oscar is investigating new technologies, that can be helpful for our future developments.</t>
  </si>
  <si>
    <t>Team management / Team leader training</t>
  </si>
  <si>
    <t>A training around AI applied to our business</t>
  </si>
  <si>
    <t>Grafana training</t>
  </si>
  <si>
    <t>Support container architecture</t>
  </si>
  <si>
    <t xml:space="preserve">Be proficient on troubleshooting the newly migrated servers onto containers. </t>
  </si>
  <si>
    <t>Be able to fix issues</t>
  </si>
  <si>
    <t>With Akshat knowledge transfer</t>
  </si>
  <si>
    <t>We need a ressource able to maintain this when Akshat has left.</t>
  </si>
  <si>
    <t>By 31/05/2024</t>
  </si>
  <si>
    <t>had been transferred knowledge, and had some issues and work. 
1. For instance, new configurations in Stats Portal, which required making changes in Docker/Server.
2. Jenkins build and deployment processes fixed.
3. GitLab process improvement (house keeping).</t>
  </si>
  <si>
    <t xml:space="preserve">Oscar is competent in supporting container pipeline. And also, is willing to collaborate with Peter on improving the automation of our container infrastructure. </t>
  </si>
  <si>
    <t>Self Serivce front end for Engineering team to manage cable capacity</t>
  </si>
  <si>
    <t>As for Service Delivery team, where the goal is to allow them to handle services lifecycle, here we want to allow Engineering team to manage the capacity on NRMS: Add capacity themselves after an upgrade, etc...</t>
  </si>
  <si>
    <t>Based on actual usage from engineering team.</t>
  </si>
  <si>
    <t>With support of engineering team</t>
  </si>
  <si>
    <t>To save time of IT-DEV team so that they can focus on other topics</t>
  </si>
  <si>
    <t>Q4 2024</t>
  </si>
  <si>
    <t>Allow Service delivery team to provision new services on stats portal &amp; NRMS</t>
  </si>
  <si>
    <t xml:space="preserve">Each time we onboard or remove a circuit/customer, IT-Dev is involved to manually create the entries in Stats portal, NRMS and Customer Portal. I'd like this process to be handled by Service Delivery team. </t>
  </si>
  <si>
    <t xml:space="preserve">100% successfull usage by Service Delivery team </t>
  </si>
  <si>
    <t xml:space="preserve">by designing and implementing tool </t>
  </si>
  <si>
    <t>To reduce load on IT-DEV and allow SD to be autonomous</t>
  </si>
  <si>
    <t>1. Able to insert/modify/delete new details for Site, Segment, Route, Backhaul, etc.
2. Able to put new service capability, such as 400G. 
3. Jobs to automatically retrieve lost data: job runs every 15 mins to collect past 45 mins data; job runs every 8 hours to collect past 2 days data. These two jobs ensure all data collection without gap in between. Jobs can be set to collect past X days data as well.</t>
  </si>
  <si>
    <t>Probably the initial project description was not clear enough. So I explain to Oscar the ultimate goal about automating SD services lifecycle on almost all related platforms ( NRMS, Grafana, Mediation...)</t>
  </si>
  <si>
    <t>Investigate how a chatbot / AI can help NOC operations</t>
  </si>
  <si>
    <t>Based on the ticket information, NRMS data, Stats portal data, identify and suggest how AI/Chatbot can help daily operations of the NOC / Service Delivery</t>
  </si>
  <si>
    <t>prototype delivered to Anael / roadmap ready to be implemented in 2025</t>
  </si>
  <si>
    <t xml:space="preserve">thanks to Exploration / gather Akshat researchs </t>
  </si>
  <si>
    <t>To facilitate NOC / Service delivery gathering of information</t>
  </si>
  <si>
    <t>Research with some findings:
1. if built on top of our NRMS/applications alone, it will be only a very simple chatbot service.
2. use python LLM alone, it means that we are not able to integrated with our NRMS/applications.
3. we have MariaDB and OrientDB, whereas LLM seems to be advised with Vector-like DB.
#4. we still run our NRMS/applications, but make use of python LLM model that could be set up with REST API integration.
5. Purchase existing services.
6. Train data will be still on our own - with modern service RAG, it could be built easily.</t>
  </si>
  <si>
    <t xml:space="preserve">Applications to be upgraded to eliminate critical security concerns or vulerabilities </t>
  </si>
  <si>
    <t>In house, we have a number of applications that are still utilized many depreciated dependencies and versions. There seem to be critical security and vulerabile issues. As a developer, I would like to eliminate all critical issues as many as possible. In addtion, upgrade applications to the latest stable versions.</t>
  </si>
  <si>
    <t>Based on SNYK</t>
  </si>
  <si>
    <t>With sharing load inside IT DEV team</t>
  </si>
  <si>
    <t>Eliminate critical issues as many as possible. Continue to manage stable and healthy applications.</t>
  </si>
  <si>
    <t xml:space="preserve">This seems to be critical to our applications. We may need to upgrade those obsolete and depreciated versions in case those dependencies were not supported by the repositories and communities. It may be caused our applications malfunctioning. </t>
  </si>
  <si>
    <t>I always strickly follow the norms in development. Even if giving guidance, I also suggest this best practice without doubt.</t>
  </si>
  <si>
    <t>Overall good practice, but as a general comment for IT teams, I would like we focus more on the Acceptance test plan to deliver a properly tested product.</t>
  </si>
  <si>
    <t>1. Implemented data collection if contigency happens, such as Stats Portal.
2. New features implemented to Grafana, so that many new enhancements are able to be delivered. 
3. Research Chatbot/AI related area, try to innovate our applications.</t>
  </si>
  <si>
    <t>I always work closely together with the team, and to find out what they need and require, so that I am able to develop and deliver.</t>
  </si>
  <si>
    <t>Feel no friction. Oscar is working well with various teams.</t>
  </si>
  <si>
    <t>I always listen to my clients, and the team. I am not only delivering what they require but also improving and enhancing in better way of user experience.</t>
  </si>
  <si>
    <t>TBD</t>
  </si>
  <si>
    <t>Manager Name</t>
  </si>
  <si>
    <t>Dashboard - Career Conversations</t>
  </si>
  <si>
    <t>Note: Some rows for future years are hidden. Unhide them when needed.</t>
  </si>
  <si>
    <t>Our Vision</t>
  </si>
  <si>
    <t>We connect countries across oceans sustainably</t>
  </si>
  <si>
    <t xml:space="preserve">Our Mission </t>
  </si>
  <si>
    <t>We develop, fund and operate digital infrastructures in the Asia-Pacific region</t>
  </si>
  <si>
    <t>Our Values</t>
  </si>
  <si>
    <t>Quality, Innovation, Collaboration, Customer centricity</t>
  </si>
  <si>
    <r>
      <rPr>
        <b/>
        <sz val="11"/>
        <color rgb="FFFFFFFF"/>
        <rFont val="Calibri"/>
        <scheme val="minor"/>
      </rPr>
      <t xml:space="preserve">My Mission
</t>
    </r>
    <r>
      <rPr>
        <b/>
        <i/>
        <sz val="11"/>
        <color rgb="FFFFFFFF"/>
        <rFont val="Calibri"/>
        <scheme val="minor"/>
      </rPr>
      <t>What is your very own purpose?</t>
    </r>
  </si>
  <si>
    <t>Start - Stop - Continue</t>
  </si>
  <si>
    <t>Date</t>
  </si>
  <si>
    <t>Start</t>
  </si>
  <si>
    <t>Stop</t>
  </si>
  <si>
    <t>Continue</t>
  </si>
  <si>
    <t>SMART Goals</t>
  </si>
  <si>
    <t xml:space="preserve">Description </t>
  </si>
  <si>
    <t>Team member status</t>
  </si>
  <si>
    <t>Manager status</t>
  </si>
  <si>
    <t>Parameters are hidden between those cells. Color the front and you will be able to see them.</t>
  </si>
  <si>
    <t>Column P-W</t>
  </si>
  <si>
    <t xml:space="preserve">Faible </t>
  </si>
  <si>
    <t>Correct</t>
  </si>
  <si>
    <t>Satisfaisant</t>
  </si>
  <si>
    <t>Vide</t>
  </si>
  <si>
    <t>Year</t>
  </si>
  <si>
    <t>Valeur indicateur</t>
  </si>
  <si>
    <t>Reste</t>
  </si>
  <si>
    <t>Values - End of year ratings</t>
  </si>
  <si>
    <t>Collab</t>
  </si>
  <si>
    <t>Cust. Centricity</t>
  </si>
  <si>
    <t>Trainings</t>
  </si>
  <si>
    <t>Name</t>
  </si>
  <si>
    <t>%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</si>
</sst>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_(* #,##0.00_);_(* \(#,##0.00\);_(* &quot;-&quot;??_);_(@_)"/>
  </numFmts>
  <fonts count="60">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6"/>
      <name val="Arial"/>
      <family val="2"/>
    </font>
    <font>
      <b/>
      <sz val="16"/>
      <color theme="0"/>
      <name val="Arial"/>
      <family val="2"/>
    </font>
    <font>
      <sz val="16"/>
      <color theme="0"/>
      <name val="Arial"/>
      <family val="2"/>
    </font>
    <font>
      <sz val="16"/>
      <name val="Arial"/>
      <family val="2"/>
    </font>
    <font>
      <sz val="16"/>
      <color theme="1"/>
      <name val="Arial"/>
      <family val="2"/>
    </font>
    <font>
      <b/>
      <sz val="16"/>
      <color theme="1"/>
      <name val="Arial"/>
      <family val="2"/>
    </font>
    <font>
      <b/>
      <sz val="16"/>
      <color rgb="FF000000"/>
      <name val="Arial"/>
      <family val="2"/>
    </font>
    <font>
      <sz val="16"/>
      <color rgb="FF000000"/>
      <name val="Arial"/>
      <family val="2"/>
    </font>
    <font>
      <sz val="22"/>
      <color theme="1"/>
      <name val="Arial"/>
      <family val="2"/>
    </font>
    <font>
      <sz val="16"/>
      <color rgb="FFFF0000"/>
      <name val="Arial"/>
      <family val="2"/>
    </font>
    <font>
      <u/>
      <sz val="16"/>
      <color theme="10"/>
      <name val="Arial"/>
      <family val="2"/>
    </font>
    <font>
      <b/>
      <sz val="26"/>
      <color rgb="FF002060"/>
      <name val="Arial"/>
      <family val="2"/>
    </font>
    <font>
      <b/>
      <sz val="11"/>
      <color theme="1"/>
      <name val="Calibri"/>
      <family val="2"/>
      <scheme val="minor"/>
    </font>
    <font>
      <sz val="11"/>
      <color theme="0" tint="-0.249977111117893"/>
      <name val="Calibri"/>
      <family val="2"/>
      <scheme val="minor"/>
    </font>
    <font>
      <b/>
      <sz val="11"/>
      <color theme="0"/>
      <name val="Calibri"/>
      <family val="2"/>
      <scheme val="minor"/>
    </font>
    <font>
      <b/>
      <sz val="22"/>
      <name val="Arial"/>
      <family val="2"/>
    </font>
    <font>
      <sz val="22"/>
      <color theme="1"/>
      <name val="Calibri"/>
      <family val="2"/>
      <scheme val="minor"/>
    </font>
    <font>
      <b/>
      <sz val="20"/>
      <name val="Arial"/>
      <family val="2"/>
    </font>
    <font>
      <b/>
      <sz val="14"/>
      <color theme="1"/>
      <name val="Calibri"/>
      <family val="2"/>
      <scheme val="minor"/>
    </font>
    <font>
      <sz val="22"/>
      <color theme="1"/>
      <name val="Calibri"/>
      <scheme val="minor"/>
    </font>
    <font>
      <sz val="20"/>
      <color theme="0"/>
      <name val="Arial"/>
      <family val="2"/>
    </font>
    <font>
      <sz val="20"/>
      <color rgb="FFFF0000"/>
      <name val="Arial"/>
      <family val="2"/>
    </font>
    <font>
      <sz val="20"/>
      <name val="Arial"/>
      <family val="2"/>
    </font>
    <font>
      <sz val="20"/>
      <color theme="1"/>
      <name val="Arial"/>
      <family val="2"/>
    </font>
    <font>
      <sz val="20"/>
      <color theme="2" tint="-0.249977111117893"/>
      <name val="Arial"/>
      <family val="2"/>
    </font>
    <font>
      <b/>
      <sz val="20"/>
      <color theme="0"/>
      <name val="Arial"/>
      <family val="2"/>
    </font>
    <font>
      <b/>
      <sz val="20"/>
      <color theme="1"/>
      <name val="Arial"/>
      <family val="2"/>
    </font>
    <font>
      <sz val="20"/>
      <color rgb="FF000000"/>
      <name val="Arial"/>
      <family val="2"/>
    </font>
    <font>
      <b/>
      <sz val="20"/>
      <color rgb="FF000000"/>
      <name val="Arial"/>
      <family val="2"/>
    </font>
    <font>
      <u/>
      <sz val="20"/>
      <color theme="10"/>
      <name val="Arial"/>
      <family val="2"/>
    </font>
    <font>
      <b/>
      <sz val="32"/>
      <color theme="0"/>
      <name val="Arial"/>
      <family val="2"/>
    </font>
    <font>
      <b/>
      <sz val="11"/>
      <color rgb="FFFFFFFF"/>
      <name val="Calibri"/>
      <scheme val="minor"/>
    </font>
    <font>
      <b/>
      <i/>
      <sz val="11"/>
      <color rgb="FFFFFFFF"/>
      <name val="Calibri"/>
      <scheme val="minor"/>
    </font>
    <font>
      <b/>
      <sz val="20"/>
      <color rgb="FF000000"/>
      <name val="Arial"/>
    </font>
    <font>
      <sz val="20"/>
      <color rgb="FF000000"/>
      <name val="Arial"/>
    </font>
    <font>
      <sz val="26"/>
      <color theme="0"/>
      <name val="Arial"/>
      <family val="2"/>
    </font>
    <font>
      <b/>
      <sz val="24"/>
      <name val="Arial"/>
      <family val="2"/>
    </font>
    <font>
      <b/>
      <sz val="20"/>
      <color rgb="FFFF0000"/>
      <name val="Arial"/>
      <family val="2"/>
    </font>
    <font>
      <b/>
      <sz val="22"/>
      <color theme="1"/>
      <name val="Arial"/>
      <family val="2"/>
    </font>
    <font>
      <b/>
      <sz val="20"/>
      <color theme="0"/>
      <name val="Arial"/>
    </font>
    <font>
      <sz val="20"/>
      <color theme="1"/>
      <name val="Arial"/>
    </font>
    <font>
      <b/>
      <sz val="20"/>
      <color theme="1"/>
      <name val="Arial"/>
    </font>
    <font>
      <b/>
      <sz val="20"/>
      <name val="Arial"/>
    </font>
    <font>
      <sz val="26"/>
      <color theme="0"/>
      <name val="Arial"/>
    </font>
    <font>
      <sz val="16"/>
      <color theme="0"/>
      <name val="Arial"/>
    </font>
    <font>
      <i/>
      <sz val="9"/>
      <name val="Calibri  "/>
    </font>
    <font>
      <b/>
      <sz val="11"/>
      <color rgb="FF000000"/>
      <name val="Calibri"/>
      <scheme val="minor"/>
    </font>
    <font>
      <sz val="11"/>
      <color rgb="FF000000"/>
      <name val="Calibri"/>
      <charset val="1"/>
    </font>
    <font>
      <sz val="11"/>
      <color rgb="FFFF0000"/>
      <name val="Calibri"/>
      <family val="2"/>
      <scheme val="minor"/>
    </font>
    <font>
      <b/>
      <sz val="14"/>
      <color theme="1"/>
      <name val="Arial"/>
      <family val="2"/>
    </font>
    <font>
      <sz val="14"/>
      <color rgb="FF000000"/>
      <name val="Arial"/>
      <family val="2"/>
    </font>
    <font>
      <sz val="14"/>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bgColor theme="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2060"/>
        <bgColor indexed="64"/>
      </patternFill>
    </fill>
    <fill>
      <patternFill patternType="solid">
        <fgColor rgb="FF002060"/>
        <bgColor theme="4"/>
      </patternFill>
    </fill>
    <fill>
      <patternFill patternType="solid">
        <fgColor theme="0" tint="-0.14999847407452621"/>
        <bgColor indexed="64"/>
      </patternFill>
    </fill>
    <fill>
      <patternFill patternType="solid">
        <fgColor rgb="FFACD8C3"/>
        <bgColor indexed="64"/>
      </patternFill>
    </fill>
    <fill>
      <patternFill patternType="solid">
        <fgColor rgb="FF008080"/>
        <bgColor indexed="64"/>
      </patternFill>
    </fill>
    <fill>
      <patternFill patternType="solid">
        <fgColor rgb="FF008080"/>
        <bgColor theme="4"/>
      </patternFill>
    </fill>
    <fill>
      <patternFill patternType="solid">
        <fgColor rgb="FFFFFFFF"/>
        <bgColor rgb="FF000000"/>
      </patternFill>
    </fill>
    <fill>
      <patternFill patternType="solid">
        <fgColor theme="9" tint="0.39997558519241921"/>
        <bgColor indexed="64"/>
      </patternFill>
    </fill>
  </fills>
  <borders count="120">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rgb="FF000000"/>
      </right>
      <top style="thin">
        <color rgb="FF000000"/>
      </top>
      <bottom style="medium">
        <color rgb="FF000000"/>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top style="thin">
        <color indexed="64"/>
      </top>
      <bottom/>
      <diagonal/>
    </border>
    <border>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style="medium">
        <color rgb="FF000000"/>
      </left>
      <right style="thin">
        <color indexed="64"/>
      </right>
      <top style="thin">
        <color indexed="64"/>
      </top>
      <bottom/>
      <diagonal/>
    </border>
    <border>
      <left/>
      <right style="medium">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medium">
        <color indexed="64"/>
      </left>
      <right style="thin">
        <color indexed="64"/>
      </right>
      <top/>
      <bottom style="medium">
        <color indexed="64"/>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style="thin">
        <color rgb="FF000000"/>
      </left>
      <right/>
      <top style="thin">
        <color rgb="FF000000"/>
      </top>
      <bottom/>
      <diagonal/>
    </border>
    <border>
      <left style="medium">
        <color rgb="FF000000"/>
      </left>
      <right/>
      <top style="thin">
        <color indexed="64"/>
      </top>
      <bottom/>
      <diagonal/>
    </border>
    <border>
      <left/>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top/>
      <bottom style="thin">
        <color indexed="64"/>
      </bottom>
      <diagonal/>
    </border>
    <border>
      <left style="medium">
        <color rgb="FF000000"/>
      </left>
      <right style="medium">
        <color indexed="64"/>
      </right>
      <top style="thin">
        <color indexed="64"/>
      </top>
      <bottom/>
      <diagonal/>
    </border>
    <border>
      <left/>
      <right style="medium">
        <color rgb="FF000000"/>
      </right>
      <top style="thin">
        <color indexed="64"/>
      </top>
      <bottom style="thin">
        <color indexed="64"/>
      </bottom>
      <diagonal/>
    </border>
    <border>
      <left style="thin">
        <color indexed="64"/>
      </left>
      <right style="medium">
        <color indexed="64"/>
      </right>
      <top style="thin">
        <color indexed="64"/>
      </top>
      <bottom style="medium">
        <color rgb="FF000000"/>
      </bottom>
      <diagonal/>
    </border>
    <border>
      <left style="medium">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s>
  <cellStyleXfs count="1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0"/>
    <xf numFmtId="14" fontId="2" fillId="0" borderId="0" applyFont="0" applyFill="0" applyBorder="0">
      <alignment horizontal="center" vertical="center"/>
    </xf>
    <xf numFmtId="43" fontId="2" fillId="0" borderId="0" applyFont="0" applyFill="0" applyBorder="0" applyAlignment="0" applyProtection="0"/>
    <xf numFmtId="43" fontId="2" fillId="0" borderId="0" applyFon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6" fillId="5" borderId="0" applyFill="0" applyAlignment="0">
      <alignment vertical="center" wrapText="1"/>
    </xf>
    <xf numFmtId="9" fontId="2" fillId="0" borderId="0" applyFont="0" applyFill="0" applyBorder="0" applyAlignment="0" applyProtection="0"/>
  </cellStyleXfs>
  <cellXfs count="558">
    <xf numFmtId="0" fontId="0" fillId="0" borderId="0" xfId="0"/>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9" fillId="8" borderId="2" xfId="0" applyFont="1" applyFill="1" applyBorder="1" applyAlignment="1">
      <alignment horizontal="center" vertical="center" wrapText="1" readingOrder="1"/>
    </xf>
    <xf numFmtId="9" fontId="9" fillId="8" borderId="2" xfId="0" applyNumberFormat="1" applyFont="1" applyFill="1" applyBorder="1" applyAlignment="1">
      <alignment horizontal="center" vertical="center" wrapText="1" readingOrder="1"/>
    </xf>
    <xf numFmtId="0" fontId="12" fillId="2" borderId="0" xfId="0" applyFont="1" applyFill="1" applyAlignment="1">
      <alignment wrapText="1"/>
    </xf>
    <xf numFmtId="9" fontId="9" fillId="4" borderId="0" xfId="0" applyNumberFormat="1" applyFont="1" applyFill="1" applyAlignment="1">
      <alignment horizontal="center" vertical="center" wrapText="1" readingOrder="1"/>
    </xf>
    <xf numFmtId="0" fontId="12" fillId="2" borderId="0" xfId="0" applyFont="1" applyFill="1"/>
    <xf numFmtId="0" fontId="0" fillId="2" borderId="0" xfId="0" applyFill="1" applyAlignment="1">
      <alignment vertical="center" wrapText="1"/>
    </xf>
    <xf numFmtId="0" fontId="0" fillId="5" borderId="0" xfId="0" applyFill="1" applyAlignment="1">
      <alignment vertical="center" wrapText="1"/>
    </xf>
    <xf numFmtId="0" fontId="10" fillId="5" borderId="0" xfId="3" applyFont="1" applyFill="1" applyAlignment="1">
      <alignment vertical="center" wrapText="1"/>
    </xf>
    <xf numFmtId="0" fontId="8" fillId="2" borderId="0" xfId="0" applyFont="1" applyFill="1" applyAlignment="1">
      <alignment horizontal="left" vertical="center" wrapText="1"/>
    </xf>
    <xf numFmtId="0" fontId="12" fillId="5" borderId="0" xfId="0" applyFont="1" applyFill="1" applyAlignment="1">
      <alignment vertical="center" wrapText="1"/>
    </xf>
    <xf numFmtId="0" fontId="12" fillId="2" borderId="0" xfId="0" applyFont="1" applyFill="1" applyAlignment="1">
      <alignment vertical="center" wrapText="1"/>
    </xf>
    <xf numFmtId="0" fontId="11" fillId="2" borderId="0" xfId="2" applyFont="1" applyFill="1" applyBorder="1" applyAlignment="1" applyProtection="1">
      <alignment horizontal="left" vertical="center" wrapText="1"/>
    </xf>
    <xf numFmtId="0" fontId="11" fillId="2" borderId="0" xfId="2" applyFont="1" applyFill="1" applyBorder="1" applyAlignment="1" applyProtection="1">
      <alignment horizontal="right" vertical="center" wrapText="1"/>
    </xf>
    <xf numFmtId="0" fontId="9" fillId="8" borderId="2" xfId="0" applyFont="1" applyFill="1" applyBorder="1" applyAlignment="1">
      <alignment horizontal="left" vertical="center" wrapText="1" indent="1" readingOrder="1"/>
    </xf>
    <xf numFmtId="0" fontId="12" fillId="2" borderId="0" xfId="0" applyFont="1" applyFill="1" applyAlignment="1">
      <alignment horizontal="left" vertical="center" wrapText="1" indent="1"/>
    </xf>
    <xf numFmtId="14" fontId="13" fillId="2" borderId="0" xfId="0" applyNumberFormat="1" applyFont="1" applyFill="1" applyAlignment="1">
      <alignment horizontal="left" vertical="center" wrapText="1"/>
    </xf>
    <xf numFmtId="0" fontId="13" fillId="2" borderId="0" xfId="0" applyFont="1" applyFill="1" applyAlignment="1">
      <alignment vertical="center" wrapText="1"/>
    </xf>
    <xf numFmtId="0" fontId="12" fillId="5" borderId="0" xfId="0" applyFont="1" applyFill="1" applyAlignment="1">
      <alignment wrapText="1"/>
    </xf>
    <xf numFmtId="14" fontId="12" fillId="2" borderId="0" xfId="5" applyNumberFormat="1" applyFont="1" applyFill="1" applyBorder="1" applyAlignment="1" applyProtection="1">
      <alignment horizontal="left" vertical="center" wrapText="1"/>
    </xf>
    <xf numFmtId="0" fontId="15" fillId="2" borderId="0" xfId="0" applyFont="1" applyFill="1" applyAlignment="1">
      <alignment vertical="center" wrapText="1" readingOrder="1"/>
    </xf>
    <xf numFmtId="0" fontId="11" fillId="0" borderId="0" xfId="0" applyFont="1" applyAlignment="1">
      <alignment horizontal="center" vertical="center" wrapText="1"/>
    </xf>
    <xf numFmtId="0" fontId="8" fillId="2" borderId="0" xfId="0" applyFont="1" applyFill="1" applyAlignment="1">
      <alignment horizontal="center" vertical="center" wrapText="1" readingOrder="1"/>
    </xf>
    <xf numFmtId="10" fontId="11" fillId="2" borderId="0" xfId="0" applyNumberFormat="1" applyFont="1" applyFill="1" applyAlignment="1">
      <alignment horizontal="center" vertical="center" wrapText="1"/>
    </xf>
    <xf numFmtId="0" fontId="16" fillId="0" borderId="0" xfId="11" applyFill="1" applyAlignment="1"/>
    <xf numFmtId="0" fontId="8" fillId="10" borderId="2" xfId="0" applyFont="1" applyFill="1" applyBorder="1" applyAlignment="1">
      <alignment horizontal="center" vertical="center" wrapText="1" readingOrder="1"/>
    </xf>
    <xf numFmtId="10" fontId="10" fillId="2" borderId="0" xfId="0" applyNumberFormat="1" applyFont="1" applyFill="1" applyAlignment="1">
      <alignment wrapText="1"/>
    </xf>
    <xf numFmtId="0" fontId="10" fillId="2" borderId="0" xfId="0" applyFont="1" applyFill="1" applyAlignment="1">
      <alignment wrapText="1"/>
    </xf>
    <xf numFmtId="9" fontId="9" fillId="12" borderId="2" xfId="0" applyNumberFormat="1" applyFont="1" applyFill="1" applyBorder="1" applyAlignment="1">
      <alignment vertical="center" wrapText="1" readingOrder="1"/>
    </xf>
    <xf numFmtId="0" fontId="10" fillId="2" borderId="0" xfId="0" applyFont="1" applyFill="1" applyAlignment="1">
      <alignment vertical="center" wrapText="1"/>
    </xf>
    <xf numFmtId="0" fontId="10" fillId="2" borderId="0" xfId="0" applyFont="1" applyFill="1" applyAlignment="1">
      <alignment horizontal="center" vertical="center" wrapText="1"/>
    </xf>
    <xf numFmtId="9" fontId="9" fillId="8" borderId="47" xfId="0" applyNumberFormat="1" applyFont="1" applyFill="1" applyBorder="1" applyAlignment="1">
      <alignment horizontal="center" vertical="center" wrapText="1" readingOrder="1"/>
    </xf>
    <xf numFmtId="9" fontId="9" fillId="12" borderId="2" xfId="0" applyNumberFormat="1" applyFont="1" applyFill="1" applyBorder="1" applyAlignment="1">
      <alignment horizontal="center" vertical="center" wrapText="1" readingOrder="1"/>
    </xf>
    <xf numFmtId="9" fontId="11" fillId="0" borderId="2" xfId="0" applyNumberFormat="1" applyFont="1" applyBorder="1" applyAlignment="1" applyProtection="1">
      <alignment vertical="center" wrapText="1"/>
      <protection locked="0"/>
    </xf>
    <xf numFmtId="9" fontId="11" fillId="2" borderId="2" xfId="0" applyNumberFormat="1" applyFont="1" applyFill="1" applyBorder="1" applyAlignment="1" applyProtection="1">
      <alignment vertical="center" wrapText="1"/>
      <protection locked="0"/>
    </xf>
    <xf numFmtId="9" fontId="10" fillId="11" borderId="64" xfId="0" applyNumberFormat="1" applyFont="1" applyFill="1" applyBorder="1" applyAlignment="1">
      <alignment horizontal="center" vertical="center" wrapText="1" readingOrder="1"/>
    </xf>
    <xf numFmtId="0" fontId="11" fillId="9" borderId="47" xfId="0" applyFont="1" applyFill="1" applyBorder="1" applyAlignment="1" applyProtection="1">
      <alignment horizontal="center" vertical="center" wrapText="1"/>
      <protection locked="0"/>
    </xf>
    <xf numFmtId="0" fontId="0" fillId="2" borderId="0" xfId="0" applyFill="1"/>
    <xf numFmtId="0" fontId="31" fillId="2" borderId="0" xfId="0" applyFont="1" applyFill="1" applyAlignment="1">
      <alignment horizontal="left"/>
    </xf>
    <xf numFmtId="0" fontId="31" fillId="2" borderId="0" xfId="0" applyFont="1" applyFill="1"/>
    <xf numFmtId="0" fontId="31" fillId="2" borderId="0" xfId="0" applyFont="1" applyFill="1" applyAlignment="1">
      <alignment wrapText="1"/>
    </xf>
    <xf numFmtId="0" fontId="30" fillId="0" borderId="31" xfId="0" applyFont="1" applyBorder="1" applyAlignment="1" applyProtection="1">
      <alignment horizontal="center" vertical="center" wrapText="1"/>
      <protection locked="0"/>
    </xf>
    <xf numFmtId="0" fontId="28" fillId="2" borderId="0" xfId="0" applyFont="1" applyFill="1"/>
    <xf numFmtId="0" fontId="28" fillId="2" borderId="0" xfId="0" applyFont="1" applyFill="1" applyAlignment="1">
      <alignment vertical="center"/>
    </xf>
    <xf numFmtId="0" fontId="36" fillId="2" borderId="0" xfId="0" applyFont="1" applyFill="1" applyAlignment="1">
      <alignment vertical="center" wrapText="1" readingOrder="1"/>
    </xf>
    <xf numFmtId="10" fontId="30" fillId="2" borderId="0" xfId="0" applyNumberFormat="1" applyFont="1" applyFill="1" applyAlignment="1">
      <alignment vertical="center" wrapText="1"/>
    </xf>
    <xf numFmtId="0" fontId="30" fillId="2" borderId="0" xfId="0" applyFont="1" applyFill="1" applyAlignment="1" applyProtection="1">
      <alignment vertical="center" wrapText="1"/>
      <protection locked="0"/>
    </xf>
    <xf numFmtId="0" fontId="28" fillId="2" borderId="0" xfId="0" applyFont="1" applyFill="1" applyAlignment="1">
      <alignment vertical="center" wrapText="1"/>
    </xf>
    <xf numFmtId="9" fontId="30" fillId="0" borderId="15" xfId="0" applyNumberFormat="1" applyFont="1" applyBorder="1" applyAlignment="1" applyProtection="1">
      <alignment vertical="center" wrapText="1"/>
      <protection locked="0"/>
    </xf>
    <xf numFmtId="0" fontId="42" fillId="2" borderId="0" xfId="11" applyFont="1" applyFill="1" applyAlignment="1">
      <alignment horizontal="left"/>
    </xf>
    <xf numFmtId="0" fontId="31" fillId="2" borderId="47" xfId="0" applyFont="1" applyFill="1" applyBorder="1" applyProtection="1">
      <protection locked="0"/>
    </xf>
    <xf numFmtId="0" fontId="25" fillId="5" borderId="47" xfId="0" applyFont="1" applyFill="1" applyBorder="1" applyAlignment="1">
      <alignment horizontal="center" vertical="center" wrapText="1" readingOrder="1"/>
    </xf>
    <xf numFmtId="9" fontId="33" fillId="8" borderId="68" xfId="0" applyNumberFormat="1" applyFont="1" applyFill="1" applyBorder="1" applyAlignment="1">
      <alignment horizontal="center" vertical="center" wrapText="1" readingOrder="1"/>
    </xf>
    <xf numFmtId="0" fontId="38" fillId="7" borderId="71" xfId="0" applyFont="1" applyFill="1" applyBorder="1" applyAlignment="1">
      <alignment horizontal="center" vertical="center" wrapText="1"/>
    </xf>
    <xf numFmtId="0" fontId="12" fillId="5" borderId="0" xfId="0" applyFont="1" applyFill="1"/>
    <xf numFmtId="0" fontId="31" fillId="5" borderId="0" xfId="0" applyFont="1" applyFill="1" applyAlignment="1">
      <alignment wrapText="1"/>
    </xf>
    <xf numFmtId="0" fontId="31" fillId="5" borderId="0" xfId="0" applyFont="1" applyFill="1"/>
    <xf numFmtId="0" fontId="32" fillId="5" borderId="0" xfId="0" applyFont="1" applyFill="1" applyAlignment="1">
      <alignment horizontal="center" vertical="center"/>
    </xf>
    <xf numFmtId="0" fontId="8" fillId="5" borderId="0" xfId="1" applyFont="1" applyFill="1" applyBorder="1" applyAlignment="1" applyProtection="1">
      <alignment horizontal="left" vertical="center" wrapText="1"/>
    </xf>
    <xf numFmtId="0" fontId="8" fillId="5" borderId="0" xfId="0" applyFont="1" applyFill="1" applyAlignment="1">
      <alignment horizontal="left" vertical="center" wrapText="1"/>
    </xf>
    <xf numFmtId="0" fontId="11" fillId="5" borderId="0" xfId="0" applyFont="1" applyFill="1" applyAlignment="1">
      <alignment vertical="center" wrapText="1"/>
    </xf>
    <xf numFmtId="0" fontId="11" fillId="5" borderId="0" xfId="0" applyFont="1" applyFill="1" applyAlignment="1">
      <alignment horizontal="center" vertical="center" wrapText="1"/>
    </xf>
    <xf numFmtId="9" fontId="31" fillId="2" borderId="50" xfId="12" applyFont="1" applyFill="1" applyBorder="1" applyAlignment="1">
      <alignment horizontal="center" vertical="center"/>
    </xf>
    <xf numFmtId="0" fontId="35" fillId="2" borderId="2" xfId="0" applyFont="1" applyFill="1" applyBorder="1" applyAlignment="1">
      <alignment vertical="center" wrapText="1" readingOrder="1"/>
    </xf>
    <xf numFmtId="0" fontId="45" fillId="2" borderId="0" xfId="0" applyFont="1" applyFill="1" applyAlignment="1">
      <alignment vertical="center" wrapText="1" readingOrder="1"/>
    </xf>
    <xf numFmtId="0" fontId="17" fillId="2" borderId="0" xfId="0" applyFont="1" applyFill="1" applyAlignment="1">
      <alignment vertical="center" wrapText="1"/>
    </xf>
    <xf numFmtId="0" fontId="34" fillId="10" borderId="47" xfId="0" applyFont="1" applyFill="1" applyBorder="1" applyAlignment="1">
      <alignment horizontal="center" vertical="center" wrapText="1" readingOrder="1"/>
    </xf>
    <xf numFmtId="9" fontId="52" fillId="11" borderId="62" xfId="0" applyNumberFormat="1" applyFont="1" applyFill="1" applyBorder="1" applyAlignment="1">
      <alignment horizontal="center" vertical="center" wrapText="1" readingOrder="1"/>
    </xf>
    <xf numFmtId="0" fontId="10" fillId="11" borderId="77" xfId="0" applyFont="1" applyFill="1" applyBorder="1" applyAlignment="1">
      <alignment horizontal="center" vertical="center" wrapText="1" readingOrder="1"/>
    </xf>
    <xf numFmtId="9" fontId="15" fillId="10" borderId="79" xfId="0" applyNumberFormat="1" applyFont="1" applyFill="1" applyBorder="1" applyAlignment="1">
      <alignment horizontal="center" vertical="center" wrapText="1" readingOrder="1"/>
    </xf>
    <xf numFmtId="9" fontId="15" fillId="10" borderId="82" xfId="0" applyNumberFormat="1" applyFont="1" applyFill="1" applyBorder="1" applyAlignment="1">
      <alignment horizontal="center" vertical="center" wrapText="1" readingOrder="1"/>
    </xf>
    <xf numFmtId="0" fontId="48" fillId="2" borderId="47" xfId="0" applyFont="1" applyFill="1" applyBorder="1" applyAlignment="1" applyProtection="1">
      <alignment horizontal="center" vertical="center" wrapText="1"/>
      <protection locked="0"/>
    </xf>
    <xf numFmtId="0" fontId="48" fillId="2" borderId="61"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9" fontId="30" fillId="0" borderId="63" xfId="0" applyNumberFormat="1" applyFont="1" applyBorder="1" applyAlignment="1" applyProtection="1">
      <alignment vertical="center" wrapText="1"/>
      <protection locked="0"/>
    </xf>
    <xf numFmtId="0" fontId="35" fillId="0" borderId="47" xfId="0" applyFont="1" applyBorder="1" applyAlignment="1" applyProtection="1">
      <alignment vertical="center" wrapText="1" readingOrder="1"/>
      <protection locked="0"/>
    </xf>
    <xf numFmtId="44" fontId="15" fillId="0" borderId="47" xfId="10" applyFont="1" applyBorder="1" applyAlignment="1" applyProtection="1">
      <alignment vertical="center" wrapText="1" readingOrder="1"/>
      <protection locked="0"/>
    </xf>
    <xf numFmtId="10" fontId="11" fillId="0" borderId="47" xfId="0" applyNumberFormat="1" applyFont="1" applyBorder="1" applyAlignment="1" applyProtection="1">
      <alignment vertical="center" wrapText="1"/>
      <protection locked="0"/>
    </xf>
    <xf numFmtId="0" fontId="11" fillId="0" borderId="47" xfId="0" applyFont="1" applyBorder="1" applyAlignment="1" applyProtection="1">
      <alignment vertical="center" wrapText="1"/>
      <protection locked="0"/>
    </xf>
    <xf numFmtId="0" fontId="30" fillId="0" borderId="47" xfId="0" applyFont="1" applyBorder="1" applyAlignment="1" applyProtection="1">
      <alignment vertical="center" wrapText="1"/>
      <protection locked="0"/>
    </xf>
    <xf numFmtId="44" fontId="35" fillId="0" borderId="47" xfId="10" applyFont="1" applyBorder="1" applyAlignment="1" applyProtection="1">
      <alignment vertical="center" wrapText="1" readingOrder="1"/>
      <protection locked="0"/>
    </xf>
    <xf numFmtId="10" fontId="30" fillId="0" borderId="47" xfId="0" applyNumberFormat="1" applyFont="1" applyBorder="1" applyAlignment="1" applyProtection="1">
      <alignment vertical="center" wrapText="1"/>
      <protection locked="0"/>
    </xf>
    <xf numFmtId="44" fontId="15" fillId="0" borderId="58" xfId="10" applyFont="1" applyBorder="1" applyAlignment="1" applyProtection="1">
      <alignment vertical="center" wrapText="1" readingOrder="1"/>
      <protection locked="0"/>
    </xf>
    <xf numFmtId="10" fontId="11" fillId="0" borderId="58" xfId="0" applyNumberFormat="1" applyFont="1" applyBorder="1" applyAlignment="1" applyProtection="1">
      <alignment vertical="center" wrapText="1"/>
      <protection locked="0"/>
    </xf>
    <xf numFmtId="0" fontId="11" fillId="0" borderId="59" xfId="0" applyFont="1" applyBorder="1" applyAlignment="1" applyProtection="1">
      <alignment horizontal="center" vertical="center" wrapText="1"/>
      <protection locked="0"/>
    </xf>
    <xf numFmtId="0" fontId="11" fillId="0" borderId="61" xfId="0" applyFont="1" applyBorder="1" applyAlignment="1" applyProtection="1">
      <alignment horizontal="center" vertical="center" wrapText="1"/>
      <protection locked="0"/>
    </xf>
    <xf numFmtId="0" fontId="30" fillId="0" borderId="61" xfId="0" applyFont="1" applyBorder="1" applyAlignment="1" applyProtection="1">
      <alignment horizontal="center" vertical="center" wrapText="1"/>
      <protection locked="0"/>
    </xf>
    <xf numFmtId="0" fontId="30" fillId="0" borderId="63" xfId="0" applyFont="1" applyBorder="1" applyAlignment="1" applyProtection="1">
      <alignment vertical="center" wrapText="1"/>
      <protection locked="0"/>
    </xf>
    <xf numFmtId="44" fontId="35" fillId="0" borderId="63" xfId="10" applyFont="1" applyBorder="1" applyAlignment="1" applyProtection="1">
      <alignment vertical="center" wrapText="1" readingOrder="1"/>
      <protection locked="0"/>
    </xf>
    <xf numFmtId="10" fontId="30" fillId="0" borderId="63" xfId="0" applyNumberFormat="1" applyFont="1" applyBorder="1" applyAlignment="1" applyProtection="1">
      <alignment vertical="center" wrapText="1"/>
      <protection locked="0"/>
    </xf>
    <xf numFmtId="0" fontId="15" fillId="0" borderId="85" xfId="0" applyFont="1" applyBorder="1" applyAlignment="1" applyProtection="1">
      <alignment vertical="center" wrapText="1" readingOrder="1"/>
      <protection locked="0"/>
    </xf>
    <xf numFmtId="0" fontId="15" fillId="0" borderId="75" xfId="0" applyFont="1" applyBorder="1" applyAlignment="1" applyProtection="1">
      <alignment vertical="center" wrapText="1" readingOrder="1"/>
      <protection locked="0"/>
    </xf>
    <xf numFmtId="0" fontId="35" fillId="0" borderId="75" xfId="0" applyFont="1" applyBorder="1" applyAlignment="1" applyProtection="1">
      <alignment vertical="center" wrapText="1" readingOrder="1"/>
      <protection locked="0"/>
    </xf>
    <xf numFmtId="0" fontId="35" fillId="0" borderId="32" xfId="0" applyFont="1" applyBorder="1" applyAlignment="1" applyProtection="1">
      <alignment vertical="center" wrapText="1" readingOrder="1"/>
      <protection locked="0"/>
    </xf>
    <xf numFmtId="0" fontId="11" fillId="0" borderId="58" xfId="0" applyFont="1" applyBorder="1" applyAlignment="1" applyProtection="1">
      <alignment vertical="center" wrapText="1"/>
      <protection locked="0"/>
    </xf>
    <xf numFmtId="9" fontId="30" fillId="0" borderId="99" xfId="0" applyNumberFormat="1" applyFont="1" applyBorder="1" applyAlignment="1" applyProtection="1">
      <alignment vertical="center" wrapText="1"/>
      <protection locked="0"/>
    </xf>
    <xf numFmtId="0" fontId="28" fillId="6" borderId="0" xfId="3" applyFont="1" applyFill="1" applyAlignment="1">
      <alignment vertical="center" wrapText="1"/>
    </xf>
    <xf numFmtId="0" fontId="29" fillId="6" borderId="0" xfId="3" applyFont="1" applyFill="1" applyAlignment="1">
      <alignment vertical="center" wrapText="1"/>
    </xf>
    <xf numFmtId="0" fontId="30" fillId="2" borderId="0" xfId="0" applyFont="1" applyFill="1" applyAlignment="1">
      <alignment vertical="center" wrapText="1"/>
    </xf>
    <xf numFmtId="0" fontId="30" fillId="2" borderId="0" xfId="0" applyFont="1" applyFill="1" applyAlignment="1">
      <alignment horizontal="left" vertical="center" wrapText="1"/>
    </xf>
    <xf numFmtId="0" fontId="33" fillId="8" borderId="10" xfId="0" applyFont="1" applyFill="1" applyBorder="1" applyAlignment="1">
      <alignment horizontal="left" vertical="center" wrapText="1" indent="1" readingOrder="1"/>
    </xf>
    <xf numFmtId="0" fontId="33" fillId="8" borderId="7" xfId="0" applyFont="1" applyFill="1" applyBorder="1" applyAlignment="1">
      <alignment horizontal="left" vertical="center" wrapText="1" indent="1" readingOrder="1"/>
    </xf>
    <xf numFmtId="0" fontId="33" fillId="8" borderId="9" xfId="0" applyFont="1" applyFill="1" applyBorder="1" applyAlignment="1">
      <alignment horizontal="left" vertical="center" wrapText="1" indent="1" readingOrder="1"/>
    </xf>
    <xf numFmtId="0" fontId="31" fillId="2" borderId="0" xfId="0" applyFont="1" applyFill="1" applyAlignment="1">
      <alignment horizontal="left" vertical="center" wrapText="1"/>
    </xf>
    <xf numFmtId="0" fontId="33" fillId="11" borderId="95" xfId="0" applyFont="1" applyFill="1" applyBorder="1" applyAlignment="1">
      <alignment horizontal="center" vertical="center" wrapText="1" readingOrder="1"/>
    </xf>
    <xf numFmtId="0" fontId="28" fillId="11" borderId="77" xfId="0" applyFont="1" applyFill="1" applyBorder="1" applyAlignment="1">
      <alignment horizontal="center" vertical="center" wrapText="1" readingOrder="1"/>
    </xf>
    <xf numFmtId="9" fontId="28" fillId="11" borderId="64" xfId="0" applyNumberFormat="1" applyFont="1" applyFill="1" applyBorder="1" applyAlignment="1">
      <alignment horizontal="center" vertical="center" wrapText="1" readingOrder="1"/>
    </xf>
    <xf numFmtId="9" fontId="35" fillId="10" borderId="42" xfId="0" applyNumberFormat="1" applyFont="1" applyFill="1" applyBorder="1" applyAlignment="1">
      <alignment horizontal="center" vertical="center" wrapText="1" readingOrder="1"/>
    </xf>
    <xf numFmtId="0" fontId="28" fillId="11" borderId="58" xfId="0" applyFont="1" applyFill="1" applyBorder="1" applyAlignment="1">
      <alignment horizontal="center" vertical="center" wrapText="1" readingOrder="1"/>
    </xf>
    <xf numFmtId="9" fontId="28" fillId="11" borderId="47" xfId="0" applyNumberFormat="1" applyFont="1" applyFill="1" applyBorder="1" applyAlignment="1">
      <alignment horizontal="center" vertical="center" wrapText="1" readingOrder="1"/>
    </xf>
    <xf numFmtId="9" fontId="35" fillId="10" borderId="63" xfId="0" applyNumberFormat="1" applyFont="1" applyFill="1" applyBorder="1" applyAlignment="1">
      <alignment horizontal="center" vertical="center" wrapText="1" readingOrder="1"/>
    </xf>
    <xf numFmtId="9" fontId="33" fillId="4" borderId="0" xfId="0" applyNumberFormat="1" applyFont="1" applyFill="1" applyAlignment="1">
      <alignment horizontal="center" vertical="center" wrapText="1" readingOrder="1"/>
    </xf>
    <xf numFmtId="9" fontId="36" fillId="2" borderId="0" xfId="0" applyNumberFormat="1" applyFont="1" applyFill="1" applyAlignment="1">
      <alignment horizontal="center" vertical="center" wrapText="1" readingOrder="1"/>
    </xf>
    <xf numFmtId="9" fontId="33" fillId="12" borderId="40" xfId="0" applyNumberFormat="1" applyFont="1" applyFill="1" applyBorder="1" applyAlignment="1">
      <alignment vertical="center" wrapText="1" readingOrder="1"/>
    </xf>
    <xf numFmtId="9" fontId="33" fillId="8" borderId="51" xfId="0" applyNumberFormat="1"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9" fontId="33" fillId="8" borderId="89" xfId="0" applyNumberFormat="1" applyFont="1" applyFill="1" applyBorder="1" applyAlignment="1">
      <alignment horizontal="center" vertical="center" wrapText="1" readingOrder="1"/>
    </xf>
    <xf numFmtId="9" fontId="33" fillId="8" borderId="91" xfId="0" applyNumberFormat="1" applyFont="1" applyFill="1" applyBorder="1" applyAlignment="1">
      <alignment horizontal="center" vertical="center" wrapText="1" readingOrder="1"/>
    </xf>
    <xf numFmtId="0" fontId="37" fillId="2" borderId="0" xfId="7" applyFont="1" applyFill="1" applyAlignment="1" applyProtection="1">
      <alignment horizontal="left" vertical="center" wrapText="1"/>
    </xf>
    <xf numFmtId="0" fontId="31" fillId="6" borderId="0" xfId="0" applyFont="1" applyFill="1" applyAlignment="1">
      <alignment wrapText="1"/>
    </xf>
    <xf numFmtId="0" fontId="34" fillId="10" borderId="61" xfId="0" applyFont="1" applyFill="1" applyBorder="1" applyAlignment="1">
      <alignment horizontal="center" vertical="center" wrapText="1" readingOrder="1"/>
    </xf>
    <xf numFmtId="9" fontId="47" fillId="8" borderId="69" xfId="0" applyNumberFormat="1" applyFont="1" applyFill="1" applyBorder="1" applyAlignment="1">
      <alignment horizontal="center" vertical="center" wrapText="1" readingOrder="1"/>
    </xf>
    <xf numFmtId="0" fontId="49" fillId="10" borderId="47" xfId="0" applyFont="1" applyFill="1" applyBorder="1" applyAlignment="1">
      <alignment horizontal="center" vertical="center" wrapText="1" readingOrder="1"/>
    </xf>
    <xf numFmtId="0" fontId="49" fillId="10" borderId="61" xfId="0" applyFont="1" applyFill="1" applyBorder="1" applyAlignment="1">
      <alignment horizontal="center" vertical="center" wrapText="1" readingOrder="1"/>
    </xf>
    <xf numFmtId="9" fontId="33" fillId="8" borderId="69" xfId="0" applyNumberFormat="1" applyFont="1" applyFill="1" applyBorder="1" applyAlignment="1">
      <alignment horizontal="center" vertical="center" wrapText="1" readingOrder="1"/>
    </xf>
    <xf numFmtId="0" fontId="35" fillId="2" borderId="67" xfId="0" applyFont="1" applyFill="1" applyBorder="1" applyAlignment="1">
      <alignment vertical="center" wrapText="1" readingOrder="1"/>
    </xf>
    <xf numFmtId="9" fontId="36" fillId="2" borderId="45" xfId="0" applyNumberFormat="1" applyFont="1" applyFill="1" applyBorder="1" applyAlignment="1">
      <alignment horizontal="center" vertical="center" wrapText="1" readingOrder="1"/>
    </xf>
    <xf numFmtId="0" fontId="36" fillId="2" borderId="0" xfId="0" applyFont="1" applyFill="1" applyAlignment="1">
      <alignment horizontal="center" vertical="center" wrapText="1" readingOrder="1"/>
    </xf>
    <xf numFmtId="0" fontId="30" fillId="2" borderId="0" xfId="0" applyFont="1" applyFill="1" applyAlignment="1">
      <alignment horizontal="center" vertical="center" wrapText="1"/>
    </xf>
    <xf numFmtId="0" fontId="33" fillId="8" borderId="10" xfId="0" applyFont="1" applyFill="1" applyBorder="1" applyAlignment="1">
      <alignment horizontal="center" vertical="center" wrapText="1" readingOrder="1"/>
    </xf>
    <xf numFmtId="0" fontId="25" fillId="10" borderId="29" xfId="0" applyFont="1" applyFill="1" applyBorder="1" applyAlignment="1">
      <alignment horizontal="center" vertical="center" wrapText="1" readingOrder="1"/>
    </xf>
    <xf numFmtId="0" fontId="25" fillId="10" borderId="23" xfId="0" applyFont="1" applyFill="1" applyBorder="1" applyAlignment="1">
      <alignment horizontal="center" vertical="center" wrapText="1" readingOrder="1"/>
    </xf>
    <xf numFmtId="0" fontId="25" fillId="10" borderId="12" xfId="0"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0" fontId="33" fillId="7" borderId="64" xfId="0" applyFont="1" applyFill="1" applyBorder="1" applyAlignment="1">
      <alignment horizontal="center" vertical="center" wrapText="1"/>
    </xf>
    <xf numFmtId="0" fontId="33" fillId="7" borderId="64" xfId="0" applyFont="1" applyFill="1" applyBorder="1" applyAlignment="1">
      <alignment horizontal="center" vertical="center" wrapText="1" readingOrder="1"/>
    </xf>
    <xf numFmtId="0" fontId="33" fillId="7" borderId="2" xfId="0" applyFont="1" applyFill="1" applyBorder="1" applyAlignment="1">
      <alignment horizontal="center" vertical="center" wrapText="1"/>
    </xf>
    <xf numFmtId="0" fontId="33" fillId="7" borderId="2" xfId="0" applyFont="1" applyFill="1" applyBorder="1" applyAlignment="1">
      <alignment horizontal="center" vertical="center" wrapText="1" readingOrder="1"/>
    </xf>
    <xf numFmtId="0" fontId="35" fillId="2" borderId="47" xfId="0" applyFont="1" applyFill="1" applyBorder="1" applyAlignment="1" applyProtection="1">
      <alignment horizontal="center" vertical="center" wrapText="1" readingOrder="1"/>
      <protection locked="0"/>
    </xf>
    <xf numFmtId="0" fontId="31" fillId="2" borderId="0" xfId="2" applyFont="1" applyFill="1" applyBorder="1" applyAlignment="1" applyProtection="1">
      <alignment horizontal="right" vertical="center" wrapText="1"/>
    </xf>
    <xf numFmtId="9" fontId="30" fillId="2" borderId="99" xfId="0" applyNumberFormat="1" applyFont="1" applyFill="1" applyBorder="1" applyAlignment="1" applyProtection="1">
      <alignment vertical="center" wrapText="1"/>
      <protection locked="0"/>
    </xf>
    <xf numFmtId="0" fontId="25" fillId="2" borderId="0" xfId="1" applyFont="1" applyFill="1" applyBorder="1" applyAlignment="1" applyProtection="1">
      <alignment horizontal="left" vertical="center" wrapText="1"/>
    </xf>
    <xf numFmtId="0" fontId="25" fillId="2" borderId="0" xfId="0" applyFont="1" applyFill="1" applyAlignment="1">
      <alignment horizontal="left" vertical="center" wrapText="1"/>
    </xf>
    <xf numFmtId="0" fontId="31" fillId="6" borderId="0" xfId="0" applyFont="1" applyFill="1" applyAlignment="1">
      <alignment vertical="center" wrapText="1"/>
    </xf>
    <xf numFmtId="0" fontId="32" fillId="6" borderId="0" xfId="0" applyFont="1" applyFill="1" applyAlignment="1">
      <alignment horizontal="center" vertical="center" wrapText="1"/>
    </xf>
    <xf numFmtId="0" fontId="30" fillId="2" borderId="0" xfId="2" applyFont="1" applyFill="1" applyBorder="1" applyAlignment="1" applyProtection="1">
      <alignment horizontal="left" vertical="center" wrapText="1"/>
    </xf>
    <xf numFmtId="0" fontId="31" fillId="2" borderId="0" xfId="0" applyFont="1" applyFill="1" applyAlignment="1">
      <alignment vertical="center" wrapText="1"/>
    </xf>
    <xf numFmtId="0" fontId="28" fillId="2" borderId="0" xfId="0" applyFont="1" applyFill="1" applyAlignment="1">
      <alignment horizontal="left" vertical="center" wrapText="1"/>
    </xf>
    <xf numFmtId="0" fontId="42" fillId="2" borderId="0" xfId="11" applyFont="1" applyFill="1" applyAlignment="1">
      <alignment horizontal="left" wrapText="1"/>
    </xf>
    <xf numFmtId="0" fontId="32" fillId="2" borderId="0" xfId="0" applyFont="1" applyFill="1" applyAlignment="1">
      <alignment horizontal="center" vertical="center" wrapText="1"/>
    </xf>
    <xf numFmtId="0" fontId="29" fillId="6" borderId="0" xfId="0" applyFont="1" applyFill="1" applyAlignment="1">
      <alignment vertical="center" wrapText="1"/>
    </xf>
    <xf numFmtId="0" fontId="34" fillId="2" borderId="0" xfId="0" applyFont="1" applyFill="1" applyAlignment="1">
      <alignment horizontal="left" vertical="center" wrapText="1"/>
    </xf>
    <xf numFmtId="0" fontId="29" fillId="6" borderId="0" xfId="0" applyFont="1" applyFill="1" applyAlignment="1">
      <alignment wrapText="1"/>
    </xf>
    <xf numFmtId="0" fontId="31" fillId="2" borderId="0" xfId="0" applyFont="1" applyFill="1" applyAlignment="1">
      <alignment horizontal="left" wrapText="1"/>
    </xf>
    <xf numFmtId="0" fontId="31" fillId="2" borderId="0" xfId="11" applyFont="1" applyFill="1" applyAlignment="1">
      <alignment horizontal="left" vertical="center" wrapText="1"/>
    </xf>
    <xf numFmtId="0" fontId="31" fillId="2" borderId="0" xfId="0" applyFont="1" applyFill="1" applyAlignment="1">
      <alignment horizontal="center" wrapText="1"/>
    </xf>
    <xf numFmtId="0" fontId="42" fillId="2" borderId="0" xfId="11" applyFont="1" applyFill="1" applyAlignment="1">
      <alignment horizontal="left" vertical="center" wrapText="1"/>
    </xf>
    <xf numFmtId="0" fontId="29" fillId="6" borderId="0" xfId="0" applyFont="1" applyFill="1" applyAlignment="1">
      <alignment horizontal="center" wrapText="1"/>
    </xf>
    <xf numFmtId="0" fontId="31" fillId="6" borderId="0" xfId="0" applyFont="1" applyFill="1" applyAlignment="1">
      <alignment horizontal="center" wrapText="1"/>
    </xf>
    <xf numFmtId="0" fontId="29" fillId="6" borderId="0" xfId="0" applyFont="1" applyFill="1" applyAlignment="1">
      <alignment horizontal="center" vertical="center" wrapText="1"/>
    </xf>
    <xf numFmtId="0" fontId="31" fillId="6" borderId="0" xfId="0" applyFont="1" applyFill="1" applyAlignment="1" applyProtection="1">
      <alignment wrapText="1"/>
      <protection locked="0"/>
    </xf>
    <xf numFmtId="0" fontId="28" fillId="2" borderId="0" xfId="0" applyFont="1" applyFill="1" applyAlignment="1">
      <alignment wrapText="1"/>
    </xf>
    <xf numFmtId="0" fontId="31" fillId="6" borderId="0" xfId="0" applyFont="1" applyFill="1" applyAlignment="1">
      <alignment horizontal="left" wrapText="1"/>
    </xf>
    <xf numFmtId="0" fontId="31" fillId="6" borderId="0" xfId="0" applyFont="1" applyFill="1" applyAlignment="1">
      <alignment horizontal="left" vertical="center" wrapText="1"/>
    </xf>
    <xf numFmtId="9" fontId="31" fillId="6" borderId="0" xfId="0" applyNumberFormat="1" applyFont="1" applyFill="1" applyAlignment="1">
      <alignment horizontal="left" vertical="top" wrapText="1"/>
    </xf>
    <xf numFmtId="0" fontId="31" fillId="6" borderId="0" xfId="0" applyFont="1" applyFill="1" applyAlignment="1">
      <alignment horizontal="left" vertical="top" wrapText="1"/>
    </xf>
    <xf numFmtId="9" fontId="31" fillId="6" borderId="0" xfId="0" applyNumberFormat="1" applyFont="1" applyFill="1" applyAlignment="1">
      <alignment horizontal="left" vertical="center" wrapText="1"/>
    </xf>
    <xf numFmtId="10" fontId="28" fillId="2" borderId="0" xfId="0" applyNumberFormat="1" applyFont="1" applyFill="1" applyAlignment="1">
      <alignment horizontal="left" wrapText="1"/>
    </xf>
    <xf numFmtId="0" fontId="28" fillId="2" borderId="0" xfId="0" applyFont="1" applyFill="1" applyAlignment="1">
      <alignment horizontal="left" wrapText="1"/>
    </xf>
    <xf numFmtId="0" fontId="36" fillId="6" borderId="0" xfId="0" applyFont="1" applyFill="1" applyAlignment="1">
      <alignment horizontal="left" vertical="center" wrapText="1"/>
    </xf>
    <xf numFmtId="9" fontId="30" fillId="2" borderId="8" xfId="0" applyNumberFormat="1" applyFont="1" applyFill="1" applyBorder="1" applyAlignment="1" applyProtection="1">
      <alignment vertical="center" wrapText="1"/>
      <protection locked="0"/>
    </xf>
    <xf numFmtId="9" fontId="30" fillId="2" borderId="47" xfId="0" applyNumberFormat="1" applyFont="1" applyFill="1" applyBorder="1" applyAlignment="1" applyProtection="1">
      <alignment vertical="center" wrapText="1"/>
      <protection locked="0"/>
    </xf>
    <xf numFmtId="9" fontId="30" fillId="2" borderId="2" xfId="0" applyNumberFormat="1" applyFont="1" applyFill="1" applyBorder="1" applyAlignment="1" applyProtection="1">
      <alignment vertical="center" wrapText="1"/>
      <protection locked="0"/>
    </xf>
    <xf numFmtId="0" fontId="6" fillId="2" borderId="7" xfId="0" applyFont="1" applyFill="1" applyBorder="1" applyAlignment="1">
      <alignment vertical="center" wrapText="1"/>
    </xf>
    <xf numFmtId="9" fontId="6" fillId="2" borderId="2" xfId="0" applyNumberFormat="1" applyFont="1" applyFill="1" applyBorder="1" applyAlignment="1">
      <alignment vertical="center" wrapText="1"/>
    </xf>
    <xf numFmtId="0" fontId="6" fillId="2" borderId="10" xfId="0" applyFont="1" applyFill="1" applyBorder="1" applyAlignment="1">
      <alignment vertical="center" wrapText="1"/>
    </xf>
    <xf numFmtId="0" fontId="6" fillId="2" borderId="9" xfId="0" applyFont="1" applyFill="1" applyBorder="1" applyAlignment="1">
      <alignment vertical="center" wrapText="1"/>
    </xf>
    <xf numFmtId="0" fontId="6" fillId="2" borderId="2" xfId="0" applyFont="1" applyFill="1" applyBorder="1" applyAlignment="1">
      <alignment vertical="center" wrapText="1"/>
    </xf>
    <xf numFmtId="0" fontId="22" fillId="11" borderId="2" xfId="0" applyFont="1" applyFill="1" applyBorder="1" applyAlignment="1">
      <alignment horizontal="center" vertical="center"/>
    </xf>
    <xf numFmtId="0" fontId="21" fillId="5" borderId="0" xfId="0" applyFont="1" applyFill="1"/>
    <xf numFmtId="0" fontId="0" fillId="5" borderId="0" xfId="0" applyFill="1"/>
    <xf numFmtId="0" fontId="24" fillId="2" borderId="0" xfId="0" applyFont="1" applyFill="1"/>
    <xf numFmtId="0" fontId="27" fillId="2" borderId="0" xfId="0" applyFont="1" applyFill="1"/>
    <xf numFmtId="0" fontId="25" fillId="2" borderId="0" xfId="2" applyFont="1" applyFill="1" applyBorder="1" applyAlignment="1" applyProtection="1">
      <alignment horizontal="left" vertical="center"/>
    </xf>
    <xf numFmtId="0" fontId="23" fillId="2" borderId="0" xfId="2" applyFont="1" applyFill="1" applyBorder="1" applyAlignment="1" applyProtection="1">
      <alignment vertical="center"/>
    </xf>
    <xf numFmtId="0" fontId="0" fillId="2" borderId="0" xfId="0" applyFill="1" applyAlignment="1">
      <alignment horizontal="left"/>
    </xf>
    <xf numFmtId="0" fontId="0" fillId="2" borderId="0" xfId="0" applyFill="1" applyAlignment="1">
      <alignment horizontal="left" vertical="center"/>
    </xf>
    <xf numFmtId="0" fontId="22" fillId="14" borderId="4" xfId="0" applyFont="1" applyFill="1" applyBorder="1" applyAlignment="1">
      <alignment horizontal="center" vertical="center"/>
    </xf>
    <xf numFmtId="0" fontId="22" fillId="11" borderId="4" xfId="0" applyFont="1" applyFill="1" applyBorder="1" applyAlignment="1">
      <alignment horizontal="center" vertical="center"/>
    </xf>
    <xf numFmtId="0" fontId="22" fillId="7" borderId="4" xfId="0" applyFont="1" applyFill="1" applyBorder="1" applyAlignment="1">
      <alignment horizontal="center" vertical="center"/>
    </xf>
    <xf numFmtId="0" fontId="20" fillId="2" borderId="0" xfId="0" applyFont="1" applyFill="1"/>
    <xf numFmtId="0" fontId="0" fillId="5" borderId="0" xfId="0" applyFill="1" applyAlignment="1">
      <alignment vertical="center"/>
    </xf>
    <xf numFmtId="0" fontId="0" fillId="2" borderId="0" xfId="0" applyFill="1" applyAlignment="1">
      <alignment vertical="center"/>
    </xf>
    <xf numFmtId="0" fontId="39" fillId="7" borderId="66" xfId="0" applyFont="1" applyFill="1" applyBorder="1" applyAlignment="1">
      <alignment horizontal="center" vertical="center" wrapText="1"/>
    </xf>
    <xf numFmtId="0" fontId="26" fillId="5" borderId="0" xfId="0" applyFont="1" applyFill="1"/>
    <xf numFmtId="0" fontId="26" fillId="2" borderId="0" xfId="0" applyFont="1" applyFill="1"/>
    <xf numFmtId="0" fontId="26" fillId="2" borderId="0" xfId="0" applyFont="1" applyFill="1" applyAlignment="1">
      <alignment horizontal="center"/>
    </xf>
    <xf numFmtId="0" fontId="0" fillId="2" borderId="0" xfId="0" applyFill="1" applyAlignment="1">
      <alignment horizontal="center" vertical="center"/>
    </xf>
    <xf numFmtId="0" fontId="0" fillId="5" borderId="0" xfId="0" applyFill="1" applyAlignment="1">
      <alignment horizontal="center" vertical="center"/>
    </xf>
    <xf numFmtId="0" fontId="6" fillId="2" borderId="39" xfId="0" applyFont="1" applyFill="1" applyBorder="1" applyAlignment="1">
      <alignment vertical="center" wrapText="1"/>
    </xf>
    <xf numFmtId="9" fontId="6" fillId="2" borderId="39" xfId="0" applyNumberFormat="1" applyFont="1" applyFill="1" applyBorder="1" applyAlignment="1">
      <alignment vertical="center" wrapText="1"/>
    </xf>
    <xf numFmtId="0" fontId="6" fillId="2" borderId="29" xfId="0" applyFont="1" applyFill="1" applyBorder="1" applyAlignment="1">
      <alignment vertical="center" wrapText="1"/>
    </xf>
    <xf numFmtId="0" fontId="20" fillId="5" borderId="0" xfId="0" applyFont="1" applyFill="1"/>
    <xf numFmtId="0" fontId="6" fillId="2" borderId="6" xfId="0" applyFont="1" applyFill="1" applyBorder="1" applyAlignment="1">
      <alignment vertical="center" wrapText="1"/>
    </xf>
    <xf numFmtId="0" fontId="0" fillId="2" borderId="2" xfId="0" applyFill="1" applyBorder="1" applyAlignment="1">
      <alignment vertical="center" wrapText="1"/>
    </xf>
    <xf numFmtId="9" fontId="0" fillId="2" borderId="2" xfId="0" applyNumberFormat="1" applyFill="1" applyBorder="1" applyAlignment="1">
      <alignment horizontal="center" vertical="center" wrapText="1"/>
    </xf>
    <xf numFmtId="9" fontId="0" fillId="2" borderId="2" xfId="0" applyNumberFormat="1" applyFill="1" applyBorder="1" applyAlignment="1">
      <alignment vertical="center" wrapText="1"/>
    </xf>
    <xf numFmtId="0" fontId="53" fillId="2" borderId="0" xfId="2" applyFont="1" applyFill="1" applyBorder="1" applyAlignment="1" applyProtection="1">
      <alignment horizontal="left" vertical="center"/>
    </xf>
    <xf numFmtId="0" fontId="0" fillId="2" borderId="2" xfId="0" applyFill="1" applyBorder="1" applyAlignment="1">
      <alignment horizontal="center" vertical="center" wrapText="1"/>
    </xf>
    <xf numFmtId="0" fontId="35" fillId="2" borderId="47" xfId="0" applyFont="1" applyFill="1" applyBorder="1" applyAlignment="1" applyProtection="1">
      <alignment horizontal="left" vertical="center" wrapText="1" readingOrder="1"/>
      <protection locked="0"/>
    </xf>
    <xf numFmtId="9" fontId="31" fillId="2" borderId="50" xfId="12" applyFont="1" applyFill="1" applyBorder="1" applyAlignment="1" applyProtection="1">
      <alignment horizontal="center" vertical="center"/>
      <protection locked="0"/>
    </xf>
    <xf numFmtId="0" fontId="55" fillId="0" borderId="0" xfId="0" applyFont="1" applyAlignment="1">
      <alignment wrapText="1"/>
    </xf>
    <xf numFmtId="0" fontId="21" fillId="5" borderId="0" xfId="0" applyFont="1" applyFill="1" applyAlignment="1">
      <alignment vertical="center" wrapText="1"/>
    </xf>
    <xf numFmtId="0" fontId="35" fillId="2" borderId="61" xfId="0" applyFont="1" applyFill="1" applyBorder="1" applyAlignment="1" applyProtection="1">
      <alignment horizontal="center" vertical="center" wrapText="1" readingOrder="1"/>
      <protection locked="0"/>
    </xf>
    <xf numFmtId="0" fontId="38" fillId="7" borderId="69" xfId="0" applyFont="1" applyFill="1" applyBorder="1" applyAlignment="1">
      <alignment horizontal="center" vertical="center" wrapText="1"/>
    </xf>
    <xf numFmtId="0" fontId="54" fillId="2" borderId="0" xfId="0" applyFont="1" applyFill="1" applyAlignment="1">
      <alignment vertical="center" wrapText="1"/>
    </xf>
    <xf numFmtId="0" fontId="56" fillId="2" borderId="0" xfId="0" applyFont="1" applyFill="1"/>
    <xf numFmtId="0" fontId="56" fillId="2" borderId="0" xfId="0" applyFont="1" applyFill="1" applyAlignment="1">
      <alignment horizontal="center" vertical="center"/>
    </xf>
    <xf numFmtId="0" fontId="56" fillId="2" borderId="0" xfId="0" applyFont="1" applyFill="1" applyAlignment="1">
      <alignment vertical="center" wrapText="1"/>
    </xf>
    <xf numFmtId="9" fontId="33" fillId="12" borderId="58" xfId="0" applyNumberFormat="1" applyFont="1" applyFill="1" applyBorder="1" applyAlignment="1">
      <alignment horizontal="center" vertical="center" wrapText="1" readingOrder="1"/>
    </xf>
    <xf numFmtId="9" fontId="35" fillId="2" borderId="47" xfId="0" applyNumberFormat="1" applyFont="1" applyFill="1" applyBorder="1" applyAlignment="1" applyProtection="1">
      <alignment horizontal="center" vertical="center" wrapText="1" readingOrder="1"/>
      <protection locked="0"/>
    </xf>
    <xf numFmtId="0" fontId="35" fillId="2" borderId="63" xfId="0" applyFont="1" applyFill="1" applyBorder="1" applyAlignment="1" applyProtection="1">
      <alignment horizontal="center" vertical="center" wrapText="1" readingOrder="1"/>
      <protection locked="0"/>
    </xf>
    <xf numFmtId="0" fontId="35" fillId="2" borderId="31" xfId="0" applyFont="1" applyFill="1" applyBorder="1" applyAlignment="1" applyProtection="1">
      <alignment horizontal="center" vertical="center" wrapText="1" readingOrder="1"/>
      <protection locked="0"/>
    </xf>
    <xf numFmtId="0" fontId="31" fillId="2" borderId="47"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vertical="center"/>
      <protection locked="0"/>
    </xf>
    <xf numFmtId="0" fontId="58" fillId="2" borderId="47" xfId="0" applyFont="1" applyFill="1" applyBorder="1" applyAlignment="1" applyProtection="1">
      <alignment horizontal="center" vertical="center" wrapText="1" readingOrder="1"/>
      <protection locked="0"/>
    </xf>
    <xf numFmtId="0" fontId="59" fillId="2" borderId="47" xfId="0" applyFont="1" applyFill="1" applyBorder="1" applyAlignment="1" applyProtection="1">
      <alignment horizontal="center" vertical="center" wrapText="1"/>
      <protection locked="0"/>
    </xf>
    <xf numFmtId="14" fontId="31" fillId="2" borderId="47" xfId="0" applyNumberFormat="1" applyFont="1" applyFill="1" applyBorder="1" applyAlignment="1" applyProtection="1">
      <alignment horizontal="center" vertical="center" wrapText="1"/>
      <protection locked="0"/>
    </xf>
    <xf numFmtId="0" fontId="1" fillId="2" borderId="0" xfId="0" applyFont="1" applyFill="1"/>
    <xf numFmtId="0" fontId="48" fillId="2" borderId="6" xfId="0" applyFont="1" applyFill="1" applyBorder="1" applyAlignment="1" applyProtection="1">
      <alignment horizontal="center" wrapText="1"/>
      <protection locked="0"/>
    </xf>
    <xf numFmtId="0" fontId="31" fillId="2" borderId="6" xfId="0" applyFont="1" applyFill="1" applyBorder="1" applyAlignment="1" applyProtection="1">
      <alignment horizontal="center" wrapText="1"/>
      <protection locked="0"/>
    </xf>
    <xf numFmtId="0" fontId="31" fillId="2" borderId="2" xfId="0" applyFont="1" applyFill="1" applyBorder="1" applyAlignment="1" applyProtection="1">
      <alignment horizontal="center" vertical="center" wrapText="1"/>
      <protection locked="0"/>
    </xf>
    <xf numFmtId="0" fontId="35" fillId="0" borderId="47" xfId="0" applyFont="1" applyBorder="1" applyAlignment="1" applyProtection="1">
      <alignment horizontal="center" vertical="center" wrapText="1" readingOrder="1"/>
      <protection locked="0"/>
    </xf>
    <xf numFmtId="0" fontId="42" fillId="2" borderId="0" xfId="11" applyFont="1" applyFill="1" applyAlignment="1">
      <alignment horizontal="left" vertical="center" wrapText="1"/>
    </xf>
    <xf numFmtId="0" fontId="31" fillId="2" borderId="0" xfId="11" applyFont="1" applyFill="1" applyAlignment="1">
      <alignment horizontal="left" vertical="center" wrapText="1"/>
    </xf>
    <xf numFmtId="0" fontId="31" fillId="2" borderId="0" xfId="0" applyFont="1" applyFill="1" applyAlignment="1">
      <alignment horizontal="left" vertical="center" wrapText="1"/>
    </xf>
    <xf numFmtId="0" fontId="33" fillId="8" borderId="4" xfId="0" applyFont="1" applyFill="1" applyBorder="1" applyAlignment="1">
      <alignment horizontal="center" vertical="center" wrapText="1" readingOrder="1"/>
    </xf>
    <xf numFmtId="0" fontId="33" fillId="8" borderId="5" xfId="0" applyFont="1" applyFill="1" applyBorder="1" applyAlignment="1">
      <alignment horizontal="center" vertical="center" wrapText="1" readingOrder="1"/>
    </xf>
    <xf numFmtId="0" fontId="33" fillId="8" borderId="3" xfId="0" applyFont="1" applyFill="1" applyBorder="1" applyAlignment="1">
      <alignment horizontal="center" vertical="center" wrapText="1" readingOrder="1"/>
    </xf>
    <xf numFmtId="0" fontId="33" fillId="8" borderId="2" xfId="0" applyFont="1" applyFill="1" applyBorder="1" applyAlignment="1">
      <alignment horizontal="center" vertical="center" wrapText="1" readingOrder="1"/>
    </xf>
    <xf numFmtId="9" fontId="33" fillId="8" borderId="43" xfId="0" applyNumberFormat="1" applyFont="1" applyFill="1" applyBorder="1" applyAlignment="1">
      <alignment horizontal="center" vertical="center" wrapText="1" readingOrder="1"/>
    </xf>
    <xf numFmtId="9" fontId="33" fillId="8" borderId="37" xfId="0" applyNumberFormat="1"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9" fontId="30" fillId="2" borderId="47" xfId="0" applyNumberFormat="1" applyFont="1" applyFill="1" applyBorder="1" applyAlignment="1" applyProtection="1">
      <alignment horizontal="center" vertical="center" wrapText="1"/>
      <protection locked="0"/>
    </xf>
    <xf numFmtId="0" fontId="30" fillId="2" borderId="47" xfId="0" applyFont="1" applyFill="1" applyBorder="1" applyAlignment="1" applyProtection="1">
      <alignment horizontal="center" vertical="center" wrapText="1" readingOrder="1"/>
      <protection locked="0"/>
    </xf>
    <xf numFmtId="0" fontId="35" fillId="2" borderId="47" xfId="0" applyFont="1" applyFill="1" applyBorder="1" applyAlignment="1" applyProtection="1">
      <alignment horizontal="center" vertical="center" wrapText="1" readingOrder="1"/>
      <protection locked="0"/>
    </xf>
    <xf numFmtId="9" fontId="33" fillId="8" borderId="57" xfId="0" applyNumberFormat="1" applyFont="1" applyFill="1" applyBorder="1" applyAlignment="1">
      <alignment horizontal="center" vertical="center" wrapText="1" readingOrder="1"/>
    </xf>
    <xf numFmtId="9" fontId="33" fillId="8" borderId="60" xfId="0" applyNumberFormat="1" applyFont="1" applyFill="1" applyBorder="1" applyAlignment="1">
      <alignment horizontal="center" vertical="center" wrapText="1" readingOrder="1"/>
    </xf>
    <xf numFmtId="9" fontId="33" fillId="12" borderId="58" xfId="0" applyNumberFormat="1" applyFont="1" applyFill="1" applyBorder="1" applyAlignment="1">
      <alignment horizontal="center" vertical="center" wrapText="1" readingOrder="1"/>
    </xf>
    <xf numFmtId="9" fontId="33" fillId="12" borderId="59" xfId="0" applyNumberFormat="1" applyFont="1" applyFill="1" applyBorder="1" applyAlignment="1">
      <alignment horizontal="center" vertical="center" wrapText="1" readingOrder="1"/>
    </xf>
    <xf numFmtId="0" fontId="30" fillId="2" borderId="61" xfId="0" applyFont="1" applyFill="1" applyBorder="1" applyAlignment="1" applyProtection="1">
      <alignment horizontal="center" vertical="center" wrapText="1" readingOrder="1"/>
      <protection locked="0"/>
    </xf>
    <xf numFmtId="9" fontId="33" fillId="8" borderId="62" xfId="0" applyNumberFormat="1" applyFont="1" applyFill="1" applyBorder="1" applyAlignment="1">
      <alignment horizontal="center" vertical="center" wrapText="1" readingOrder="1"/>
    </xf>
    <xf numFmtId="9" fontId="33" fillId="12" borderId="47" xfId="0" applyNumberFormat="1" applyFont="1" applyFill="1" applyBorder="1" applyAlignment="1">
      <alignment horizontal="center" vertical="center" wrapText="1" readingOrder="1"/>
    </xf>
    <xf numFmtId="9" fontId="33" fillId="12" borderId="61" xfId="0" applyNumberFormat="1" applyFont="1" applyFill="1" applyBorder="1" applyAlignment="1">
      <alignment horizontal="center" vertical="center" wrapText="1" readingOrder="1"/>
    </xf>
    <xf numFmtId="0" fontId="30" fillId="0" borderId="63" xfId="0" applyFont="1" applyBorder="1" applyAlignment="1" applyProtection="1">
      <alignment horizontal="center" vertical="center" wrapText="1" readingOrder="1"/>
      <protection locked="0"/>
    </xf>
    <xf numFmtId="0" fontId="30" fillId="0" borderId="31" xfId="0" applyFont="1" applyBorder="1" applyAlignment="1" applyProtection="1">
      <alignment horizontal="center" vertical="center" wrapText="1" readingOrder="1"/>
      <protection locked="0"/>
    </xf>
    <xf numFmtId="0" fontId="30" fillId="10" borderId="27" xfId="0" applyFont="1" applyFill="1" applyBorder="1" applyAlignment="1">
      <alignment horizontal="left" vertical="center" wrapText="1" indent="2" readingOrder="1"/>
    </xf>
    <xf numFmtId="0" fontId="30" fillId="10" borderId="18" xfId="0" applyFont="1" applyFill="1" applyBorder="1" applyAlignment="1">
      <alignment horizontal="left" vertical="center" wrapText="1" indent="2" readingOrder="1"/>
    </xf>
    <xf numFmtId="0" fontId="30" fillId="10" borderId="19" xfId="0" applyFont="1" applyFill="1" applyBorder="1" applyAlignment="1">
      <alignment horizontal="left" vertical="center" wrapText="1" indent="2" readingOrder="1"/>
    </xf>
    <xf numFmtId="9" fontId="33" fillId="8" borderId="10" xfId="0" applyNumberFormat="1" applyFont="1" applyFill="1" applyBorder="1" applyAlignment="1">
      <alignment horizontal="center" vertical="center" wrapText="1" readingOrder="1"/>
    </xf>
    <xf numFmtId="9" fontId="33" fillId="8" borderId="7" xfId="0" applyNumberFormat="1" applyFont="1" applyFill="1" applyBorder="1" applyAlignment="1">
      <alignment horizontal="center" vertical="center" wrapText="1" readingOrder="1"/>
    </xf>
    <xf numFmtId="9" fontId="33" fillId="12" borderId="24" xfId="0" applyNumberFormat="1" applyFont="1" applyFill="1" applyBorder="1" applyAlignment="1">
      <alignment horizontal="center" vertical="center" wrapText="1" readingOrder="1"/>
    </xf>
    <xf numFmtId="9" fontId="33" fillId="12" borderId="14" xfId="0" applyNumberFormat="1" applyFont="1" applyFill="1" applyBorder="1" applyAlignment="1">
      <alignment horizontal="center" vertical="center" wrapText="1" readingOrder="1"/>
    </xf>
    <xf numFmtId="9" fontId="33" fillId="12" borderId="20" xfId="0" applyNumberFormat="1" applyFont="1" applyFill="1" applyBorder="1" applyAlignment="1">
      <alignment horizontal="center" vertical="center" wrapText="1" readingOrder="1"/>
    </xf>
    <xf numFmtId="9" fontId="33" fillId="12" borderId="13" xfId="0" applyNumberFormat="1" applyFont="1" applyFill="1" applyBorder="1" applyAlignment="1">
      <alignment horizontal="center" vertical="center" wrapText="1" readingOrder="1"/>
    </xf>
    <xf numFmtId="9" fontId="30" fillId="2" borderId="4" xfId="0" applyNumberFormat="1" applyFont="1" applyFill="1" applyBorder="1" applyAlignment="1" applyProtection="1">
      <alignment horizontal="center" vertical="center" wrapText="1"/>
      <protection locked="0"/>
    </xf>
    <xf numFmtId="9" fontId="30" fillId="2" borderId="5" xfId="0" applyNumberFormat="1" applyFont="1" applyFill="1" applyBorder="1" applyAlignment="1" applyProtection="1">
      <alignment horizontal="center" vertical="center" wrapText="1"/>
      <protection locked="0"/>
    </xf>
    <xf numFmtId="9" fontId="30" fillId="2" borderId="3" xfId="0" applyNumberFormat="1" applyFont="1" applyFill="1" applyBorder="1" applyAlignment="1" applyProtection="1">
      <alignment horizontal="center" vertical="center" wrapText="1"/>
      <protection locked="0"/>
    </xf>
    <xf numFmtId="0" fontId="30" fillId="2" borderId="4" xfId="0" applyFont="1" applyFill="1" applyBorder="1" applyAlignment="1" applyProtection="1">
      <alignment horizontal="center" vertical="center" wrapText="1" readingOrder="1"/>
      <protection locked="0"/>
    </xf>
    <xf numFmtId="0" fontId="30" fillId="2" borderId="5" xfId="0" applyFont="1" applyFill="1" applyBorder="1" applyAlignment="1" applyProtection="1">
      <alignment horizontal="center" vertical="center" wrapText="1" readingOrder="1"/>
      <protection locked="0"/>
    </xf>
    <xf numFmtId="0" fontId="30" fillId="2" borderId="40" xfId="0" applyFont="1" applyFill="1" applyBorder="1" applyAlignment="1" applyProtection="1">
      <alignment horizontal="center" vertical="center" wrapText="1" readingOrder="1"/>
      <protection locked="0"/>
    </xf>
    <xf numFmtId="9" fontId="33" fillId="8" borderId="29" xfId="0" applyNumberFormat="1" applyFont="1" applyFill="1" applyBorder="1" applyAlignment="1">
      <alignment horizontal="center" vertical="center" wrapText="1" readingOrder="1"/>
    </xf>
    <xf numFmtId="9" fontId="33" fillId="8" borderId="67" xfId="0" applyNumberFormat="1" applyFont="1" applyFill="1" applyBorder="1" applyAlignment="1">
      <alignment horizontal="center" vertical="center" wrapText="1" readingOrder="1"/>
    </xf>
    <xf numFmtId="9" fontId="33" fillId="12" borderId="25" xfId="0" applyNumberFormat="1" applyFont="1" applyFill="1" applyBorder="1" applyAlignment="1">
      <alignment horizontal="center" vertical="center" wrapText="1" readingOrder="1"/>
    </xf>
    <xf numFmtId="9" fontId="33" fillId="12" borderId="22" xfId="0" applyNumberFormat="1" applyFont="1" applyFill="1" applyBorder="1" applyAlignment="1">
      <alignment horizontal="center" vertical="center" wrapText="1" readingOrder="1"/>
    </xf>
    <xf numFmtId="9" fontId="33" fillId="12" borderId="11" xfId="0" applyNumberFormat="1" applyFont="1" applyFill="1" applyBorder="1" applyAlignment="1">
      <alignment horizontal="center" vertical="center" wrapText="1" readingOrder="1"/>
    </xf>
    <xf numFmtId="9" fontId="33" fillId="12" borderId="28" xfId="0" applyNumberFormat="1" applyFont="1" applyFill="1" applyBorder="1" applyAlignment="1">
      <alignment horizontal="center" vertical="center" wrapText="1" readingOrder="1"/>
    </xf>
    <xf numFmtId="9" fontId="33" fillId="12" borderId="0" xfId="0" applyNumberFormat="1" applyFont="1" applyFill="1" applyAlignment="1">
      <alignment horizontal="center" vertical="center" wrapText="1" readingOrder="1"/>
    </xf>
    <xf numFmtId="9" fontId="33" fillId="12" borderId="46" xfId="0" applyNumberFormat="1" applyFont="1" applyFill="1" applyBorder="1" applyAlignment="1">
      <alignment horizontal="center" vertical="center" wrapText="1" readingOrder="1"/>
    </xf>
    <xf numFmtId="0" fontId="30" fillId="0" borderId="26" xfId="0" applyFont="1" applyBorder="1" applyAlignment="1" applyProtection="1">
      <alignment horizontal="center" vertical="center" wrapText="1" readingOrder="1"/>
      <protection locked="0"/>
    </xf>
    <xf numFmtId="0" fontId="30" fillId="0" borderId="17" xfId="0" applyFont="1" applyBorder="1" applyAlignment="1" applyProtection="1">
      <alignment horizontal="center" vertical="center" wrapText="1" readingOrder="1"/>
      <protection locked="0"/>
    </xf>
    <xf numFmtId="0" fontId="30" fillId="0" borderId="21" xfId="0" applyFont="1" applyBorder="1" applyAlignment="1" applyProtection="1">
      <alignment horizontal="center" vertical="center" wrapText="1" readingOrder="1"/>
      <protection locked="0"/>
    </xf>
    <xf numFmtId="0" fontId="30" fillId="0" borderId="87" xfId="0" applyFont="1" applyBorder="1" applyAlignment="1" applyProtection="1">
      <alignment horizontal="center" vertical="center" wrapText="1" readingOrder="1"/>
      <protection locked="0"/>
    </xf>
    <xf numFmtId="0" fontId="30" fillId="0" borderId="44" xfId="0" applyFont="1" applyBorder="1" applyAlignment="1" applyProtection="1">
      <alignment horizontal="center" vertical="center" wrapText="1" readingOrder="1"/>
      <protection locked="0"/>
    </xf>
    <xf numFmtId="0" fontId="30" fillId="0" borderId="88" xfId="0" applyFont="1" applyBorder="1" applyAlignment="1" applyProtection="1">
      <alignment horizontal="center" vertical="center" wrapText="1" readingOrder="1"/>
      <protection locked="0"/>
    </xf>
    <xf numFmtId="9" fontId="33" fillId="8" borderId="9" xfId="0" applyNumberFormat="1" applyFont="1" applyFill="1" applyBorder="1" applyAlignment="1">
      <alignment horizontal="center" vertical="center" wrapText="1" readingOrder="1"/>
    </xf>
    <xf numFmtId="9" fontId="33" fillId="12" borderId="56" xfId="0" applyNumberFormat="1" applyFont="1" applyFill="1" applyBorder="1" applyAlignment="1">
      <alignment horizontal="center" vertical="center" wrapText="1" readingOrder="1"/>
    </xf>
    <xf numFmtId="0" fontId="30" fillId="0" borderId="16" xfId="0" applyFont="1" applyBorder="1" applyAlignment="1" applyProtection="1">
      <alignment horizontal="center" vertical="center" wrapText="1" readingOrder="1"/>
      <protection locked="0"/>
    </xf>
    <xf numFmtId="0" fontId="30" fillId="10" borderId="28" xfId="0" applyFont="1" applyFill="1" applyBorder="1" applyAlignment="1">
      <alignment horizontal="left" vertical="center" wrapText="1" indent="2" readingOrder="1"/>
    </xf>
    <xf numFmtId="0" fontId="30" fillId="10" borderId="0" xfId="0" applyFont="1" applyFill="1" applyAlignment="1">
      <alignment horizontal="left" vertical="center" wrapText="1" indent="2" readingOrder="1"/>
    </xf>
    <xf numFmtId="0" fontId="30" fillId="10" borderId="46" xfId="0" applyFont="1" applyFill="1" applyBorder="1" applyAlignment="1">
      <alignment horizontal="left" vertical="center" wrapText="1" indent="2" readingOrder="1"/>
    </xf>
    <xf numFmtId="9" fontId="30" fillId="2" borderId="64" xfId="0" applyNumberFormat="1" applyFont="1" applyFill="1" applyBorder="1" applyAlignment="1" applyProtection="1">
      <alignment horizontal="center" vertical="center" wrapText="1"/>
      <protection locked="0"/>
    </xf>
    <xf numFmtId="9" fontId="30" fillId="2" borderId="65" xfId="0" applyNumberFormat="1" applyFont="1" applyFill="1" applyBorder="1" applyAlignment="1" applyProtection="1">
      <alignment horizontal="center" vertical="center" wrapText="1"/>
      <protection locked="0"/>
    </xf>
    <xf numFmtId="9" fontId="30" fillId="2" borderId="75" xfId="0" applyNumberFormat="1" applyFont="1" applyFill="1" applyBorder="1" applyAlignment="1" applyProtection="1">
      <alignment horizontal="center" vertical="center" wrapText="1"/>
      <protection locked="0"/>
    </xf>
    <xf numFmtId="9" fontId="30" fillId="2" borderId="61" xfId="0" applyNumberFormat="1" applyFont="1" applyFill="1" applyBorder="1" applyAlignment="1" applyProtection="1">
      <alignment horizontal="center" vertical="center" wrapText="1"/>
      <protection locked="0"/>
    </xf>
    <xf numFmtId="9" fontId="33" fillId="8" borderId="12" xfId="0" applyNumberFormat="1" applyFont="1" applyFill="1" applyBorder="1" applyAlignment="1">
      <alignment horizontal="center" vertical="center" wrapText="1" readingOrder="1"/>
    </xf>
    <xf numFmtId="9" fontId="33" fillId="8" borderId="86" xfId="0" applyNumberFormat="1" applyFont="1" applyFill="1" applyBorder="1" applyAlignment="1">
      <alignment horizontal="center" vertical="center" wrapText="1" readingOrder="1"/>
    </xf>
    <xf numFmtId="9" fontId="33" fillId="12" borderId="27" xfId="0" applyNumberFormat="1" applyFont="1" applyFill="1" applyBorder="1" applyAlignment="1">
      <alignment horizontal="center" vertical="center" wrapText="1" readingOrder="1"/>
    </xf>
    <xf numFmtId="9" fontId="33" fillId="12" borderId="18" xfId="0" applyNumberFormat="1" applyFont="1" applyFill="1" applyBorder="1" applyAlignment="1">
      <alignment horizontal="center" vertical="center" wrapText="1" readingOrder="1"/>
    </xf>
    <xf numFmtId="9" fontId="33" fillId="12" borderId="19" xfId="0" applyNumberFormat="1" applyFont="1" applyFill="1" applyBorder="1" applyAlignment="1">
      <alignment horizontal="center" vertical="center" wrapText="1" readingOrder="1"/>
    </xf>
    <xf numFmtId="9" fontId="30" fillId="2" borderId="38" xfId="0" applyNumberFormat="1" applyFont="1" applyFill="1" applyBorder="1" applyAlignment="1" applyProtection="1">
      <alignment horizontal="center" vertical="center" wrapText="1"/>
      <protection locked="0"/>
    </xf>
    <xf numFmtId="9" fontId="30" fillId="2" borderId="43" xfId="0" applyNumberFormat="1" applyFont="1" applyFill="1" applyBorder="1" applyAlignment="1" applyProtection="1">
      <alignment horizontal="center" vertical="center" wrapText="1"/>
      <protection locked="0"/>
    </xf>
    <xf numFmtId="9" fontId="30" fillId="2" borderId="37" xfId="0" applyNumberFormat="1" applyFont="1" applyFill="1" applyBorder="1" applyAlignment="1" applyProtection="1">
      <alignment horizontal="center" vertical="center" wrapText="1"/>
      <protection locked="0"/>
    </xf>
    <xf numFmtId="0" fontId="30" fillId="2" borderId="28" xfId="0" applyFont="1" applyFill="1" applyBorder="1" applyAlignment="1" applyProtection="1">
      <alignment horizontal="center" vertical="center" wrapText="1" readingOrder="1"/>
      <protection locked="0"/>
    </xf>
    <xf numFmtId="0" fontId="30" fillId="2" borderId="0" xfId="0" applyFont="1" applyFill="1" applyAlignment="1" applyProtection="1">
      <alignment horizontal="center" vertical="center" wrapText="1" readingOrder="1"/>
      <protection locked="0"/>
    </xf>
    <xf numFmtId="0" fontId="30" fillId="2" borderId="46" xfId="0" applyFont="1" applyFill="1" applyBorder="1" applyAlignment="1" applyProtection="1">
      <alignment horizontal="center" vertical="center" wrapText="1" readingOrder="1"/>
      <protection locked="0"/>
    </xf>
    <xf numFmtId="0" fontId="33" fillId="8" borderId="41" xfId="0" applyFont="1" applyFill="1" applyBorder="1" applyAlignment="1">
      <alignment horizontal="center" vertical="center" wrapText="1" readingOrder="1"/>
    </xf>
    <xf numFmtId="0" fontId="33" fillId="8" borderId="18"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9" fontId="48" fillId="2" borderId="64" xfId="0" applyNumberFormat="1" applyFont="1" applyFill="1" applyBorder="1" applyAlignment="1" applyProtection="1">
      <alignment horizontal="center" vertical="center" wrapText="1"/>
      <protection locked="0"/>
    </xf>
    <xf numFmtId="9" fontId="48" fillId="2" borderId="75" xfId="0" applyNumberFormat="1" applyFont="1" applyFill="1" applyBorder="1" applyAlignment="1" applyProtection="1">
      <alignment horizontal="center" vertical="center" wrapText="1"/>
      <protection locked="0"/>
    </xf>
    <xf numFmtId="0" fontId="42" fillId="2" borderId="64" xfId="0" applyFont="1" applyFill="1" applyBorder="1" applyAlignment="1" applyProtection="1">
      <alignment horizontal="center" vertical="center" wrapText="1" readingOrder="1"/>
      <protection locked="0"/>
    </xf>
    <xf numFmtId="0" fontId="42" fillId="2" borderId="65" xfId="0" applyFont="1" applyFill="1" applyBorder="1" applyAlignment="1" applyProtection="1">
      <alignment horizontal="center" vertical="center" wrapText="1" readingOrder="1"/>
      <protection locked="0"/>
    </xf>
    <xf numFmtId="0" fontId="42" fillId="2" borderId="76" xfId="0" applyFont="1" applyFill="1" applyBorder="1" applyAlignment="1" applyProtection="1">
      <alignment horizontal="center" vertical="center" wrapText="1" readingOrder="1"/>
      <protection locked="0"/>
    </xf>
    <xf numFmtId="9" fontId="33" fillId="8" borderId="68" xfId="0" applyNumberFormat="1" applyFont="1" applyFill="1" applyBorder="1" applyAlignment="1">
      <alignment horizontal="center" vertical="center" wrapText="1" readingOrder="1"/>
    </xf>
    <xf numFmtId="0" fontId="47" fillId="11" borderId="48" xfId="0" applyFont="1" applyFill="1" applyBorder="1" applyAlignment="1">
      <alignment horizontal="center" vertical="center" wrapText="1" readingOrder="1"/>
    </xf>
    <xf numFmtId="0" fontId="47" fillId="11" borderId="70" xfId="0" applyFont="1" applyFill="1" applyBorder="1" applyAlignment="1">
      <alignment horizontal="center" vertical="center" wrapText="1" readingOrder="1"/>
    </xf>
    <xf numFmtId="0" fontId="50" fillId="5" borderId="64" xfId="0" applyFont="1" applyFill="1" applyBorder="1" applyAlignment="1">
      <alignment horizontal="center" vertical="center" wrapText="1" readingOrder="1"/>
    </xf>
    <xf numFmtId="0" fontId="50" fillId="5" borderId="75" xfId="0" applyFont="1" applyFill="1" applyBorder="1" applyAlignment="1">
      <alignment horizontal="center" vertical="center" wrapText="1" readingOrder="1"/>
    </xf>
    <xf numFmtId="0" fontId="50" fillId="5" borderId="65" xfId="0" applyFont="1" applyFill="1" applyBorder="1" applyAlignment="1">
      <alignment horizontal="center" vertical="center" wrapText="1" readingOrder="1"/>
    </xf>
    <xf numFmtId="0" fontId="50" fillId="5" borderId="76" xfId="0" applyFont="1" applyFill="1" applyBorder="1" applyAlignment="1">
      <alignment horizontal="center" vertical="center" wrapText="1" readingOrder="1"/>
    </xf>
    <xf numFmtId="0" fontId="32" fillId="6" borderId="0" xfId="0" applyFont="1" applyFill="1" applyAlignment="1">
      <alignment horizontal="center" vertical="center" wrapText="1"/>
    </xf>
    <xf numFmtId="0" fontId="47" fillId="11" borderId="64" xfId="0" applyFont="1" applyFill="1" applyBorder="1" applyAlignment="1">
      <alignment horizontal="center" vertical="center" wrapText="1" readingOrder="1"/>
    </xf>
    <xf numFmtId="0" fontId="47" fillId="11" borderId="65" xfId="0" applyFont="1" applyFill="1" applyBorder="1" applyAlignment="1">
      <alignment horizontal="center" vertical="center" wrapText="1" readingOrder="1"/>
    </xf>
    <xf numFmtId="0" fontId="47" fillId="11" borderId="76" xfId="0" applyFont="1" applyFill="1" applyBorder="1" applyAlignment="1">
      <alignment horizontal="center" vertical="center" wrapText="1" readingOrder="1"/>
    </xf>
    <xf numFmtId="164" fontId="48" fillId="2" borderId="64" xfId="0" applyNumberFormat="1" applyFont="1" applyFill="1" applyBorder="1" applyAlignment="1" applyProtection="1">
      <alignment horizontal="center" vertical="center" wrapText="1"/>
      <protection locked="0"/>
    </xf>
    <xf numFmtId="164" fontId="48" fillId="2" borderId="65" xfId="0" applyNumberFormat="1" applyFont="1" applyFill="1" applyBorder="1" applyAlignment="1" applyProtection="1">
      <alignment horizontal="center" vertical="center" wrapText="1"/>
      <protection locked="0"/>
    </xf>
    <xf numFmtId="164" fontId="48" fillId="2" borderId="76" xfId="0" applyNumberFormat="1" applyFont="1" applyFill="1" applyBorder="1" applyAlignment="1" applyProtection="1">
      <alignment horizontal="center" vertical="center" wrapText="1"/>
      <protection locked="0"/>
    </xf>
    <xf numFmtId="9" fontId="48" fillId="2" borderId="65" xfId="0" applyNumberFormat="1" applyFont="1" applyFill="1" applyBorder="1" applyAlignment="1" applyProtection="1">
      <alignment horizontal="center" vertical="center" wrapText="1"/>
      <protection locked="0"/>
    </xf>
    <xf numFmtId="9" fontId="48" fillId="2" borderId="76" xfId="0" applyNumberFormat="1" applyFont="1" applyFill="1" applyBorder="1" applyAlignment="1" applyProtection="1">
      <alignment horizontal="center" vertical="center" wrapText="1"/>
      <protection locked="0"/>
    </xf>
    <xf numFmtId="0" fontId="43" fillId="7" borderId="72" xfId="0" applyFont="1" applyFill="1" applyBorder="1" applyAlignment="1">
      <alignment horizontal="center" vertical="center" wrapText="1"/>
    </xf>
    <xf numFmtId="0" fontId="43" fillId="7" borderId="34" xfId="0" applyFont="1" applyFill="1" applyBorder="1" applyAlignment="1">
      <alignment horizontal="center" vertical="center" wrapText="1"/>
    </xf>
    <xf numFmtId="0" fontId="31" fillId="2" borderId="50" xfId="0" applyFont="1" applyFill="1" applyBorder="1" applyAlignment="1" applyProtection="1">
      <alignment horizontal="center" vertical="center" wrapText="1"/>
      <protection locked="0"/>
    </xf>
    <xf numFmtId="0" fontId="48" fillId="2" borderId="50" xfId="0" applyFont="1" applyFill="1" applyBorder="1" applyAlignment="1" applyProtection="1">
      <alignment horizontal="center" vertical="center" wrapText="1"/>
      <protection locked="0"/>
    </xf>
    <xf numFmtId="0" fontId="48" fillId="2" borderId="30" xfId="0" applyFont="1" applyFill="1" applyBorder="1" applyAlignment="1" applyProtection="1">
      <alignment horizontal="center" vertical="center" wrapText="1"/>
      <protection locked="0"/>
    </xf>
    <xf numFmtId="9" fontId="47" fillId="8" borderId="68" xfId="0" applyNumberFormat="1" applyFont="1" applyFill="1" applyBorder="1" applyAlignment="1">
      <alignment horizontal="center" vertical="center" wrapText="1" readingOrder="1"/>
    </xf>
    <xf numFmtId="0" fontId="47" fillId="11" borderId="47" xfId="0" applyFont="1" applyFill="1" applyBorder="1" applyAlignment="1">
      <alignment horizontal="center" vertical="center" wrapText="1" readingOrder="1"/>
    </xf>
    <xf numFmtId="0" fontId="47" fillId="11" borderId="61" xfId="0" applyFont="1" applyFill="1" applyBorder="1" applyAlignment="1">
      <alignment horizontal="center" vertical="center" wrapText="1" readingOrder="1"/>
    </xf>
    <xf numFmtId="0" fontId="49" fillId="10" borderId="47" xfId="0" applyFont="1" applyFill="1" applyBorder="1" applyAlignment="1">
      <alignment horizontal="center" vertical="center" wrapText="1" readingOrder="1"/>
    </xf>
    <xf numFmtId="0" fontId="31" fillId="2" borderId="64" xfId="0" applyFont="1" applyFill="1" applyBorder="1" applyAlignment="1" applyProtection="1">
      <alignment horizontal="center" vertical="center" wrapText="1"/>
      <protection locked="0"/>
    </xf>
    <xf numFmtId="0" fontId="48" fillId="2" borderId="65" xfId="0" applyFont="1" applyFill="1" applyBorder="1" applyAlignment="1" applyProtection="1">
      <alignment horizontal="center" vertical="center" wrapText="1"/>
      <protection locked="0"/>
    </xf>
    <xf numFmtId="0" fontId="48" fillId="2" borderId="75" xfId="0" applyFont="1" applyFill="1" applyBorder="1" applyAlignment="1" applyProtection="1">
      <alignment horizontal="center" vertical="center" wrapText="1"/>
      <protection locked="0"/>
    </xf>
    <xf numFmtId="0" fontId="51" fillId="7" borderId="72" xfId="0" applyFont="1" applyFill="1" applyBorder="1" applyAlignment="1">
      <alignment horizontal="center" vertical="center" wrapText="1"/>
    </xf>
    <xf numFmtId="0" fontId="51" fillId="7" borderId="34" xfId="0" applyFont="1" applyFill="1" applyBorder="1" applyAlignment="1">
      <alignment horizontal="center" vertical="center" wrapText="1"/>
    </xf>
    <xf numFmtId="9" fontId="31" fillId="2" borderId="77" xfId="0" applyNumberFormat="1" applyFont="1" applyFill="1" applyBorder="1" applyAlignment="1" applyProtection="1">
      <alignment horizontal="center" vertical="center" wrapText="1"/>
      <protection locked="0"/>
    </xf>
    <xf numFmtId="9" fontId="48" fillId="2" borderId="73" xfId="0" applyNumberFormat="1" applyFont="1" applyFill="1" applyBorder="1" applyAlignment="1" applyProtection="1">
      <alignment horizontal="center" vertical="center" wrapText="1"/>
      <protection locked="0"/>
    </xf>
    <xf numFmtId="9" fontId="48" fillId="2" borderId="74" xfId="0" applyNumberFormat="1" applyFont="1" applyFill="1" applyBorder="1" applyAlignment="1" applyProtection="1">
      <alignment horizontal="center" vertical="center" wrapText="1"/>
      <protection locked="0"/>
    </xf>
    <xf numFmtId="0" fontId="49" fillId="10" borderId="64" xfId="0" applyFont="1" applyFill="1" applyBorder="1" applyAlignment="1">
      <alignment horizontal="center" vertical="center" wrapText="1" readingOrder="1"/>
    </xf>
    <xf numFmtId="0" fontId="49" fillId="10" borderId="65" xfId="0" applyFont="1" applyFill="1" applyBorder="1" applyAlignment="1">
      <alignment horizontal="center" vertical="center" wrapText="1" readingOrder="1"/>
    </xf>
    <xf numFmtId="0" fontId="49" fillId="10" borderId="75" xfId="0" applyFont="1" applyFill="1" applyBorder="1" applyAlignment="1">
      <alignment horizontal="center" vertical="center" wrapText="1" readingOrder="1"/>
    </xf>
    <xf numFmtId="0" fontId="48" fillId="2" borderId="64" xfId="0" applyFont="1" applyFill="1" applyBorder="1" applyAlignment="1" applyProtection="1">
      <alignment horizontal="center" vertical="center" wrapText="1"/>
      <protection locked="0"/>
    </xf>
    <xf numFmtId="0" fontId="48" fillId="2" borderId="47" xfId="0" applyFont="1" applyFill="1" applyBorder="1" applyAlignment="1" applyProtection="1">
      <alignment horizontal="center" vertical="center" wrapText="1"/>
      <protection locked="0"/>
    </xf>
    <xf numFmtId="0" fontId="31" fillId="2" borderId="77" xfId="0" applyFont="1" applyFill="1" applyBorder="1" applyAlignment="1" applyProtection="1">
      <alignment horizontal="center" vertical="center" wrapText="1"/>
      <protection locked="0"/>
    </xf>
    <xf numFmtId="0" fontId="48" fillId="2" borderId="73" xfId="0" applyFont="1" applyFill="1" applyBorder="1" applyAlignment="1" applyProtection="1">
      <alignment horizontal="center" vertical="center" wrapText="1"/>
      <protection locked="0"/>
    </xf>
    <xf numFmtId="0" fontId="48" fillId="2" borderId="74" xfId="0" applyFont="1" applyFill="1" applyBorder="1" applyAlignment="1" applyProtection="1">
      <alignment horizontal="center" vertical="center" wrapText="1"/>
      <protection locked="0"/>
    </xf>
    <xf numFmtId="0" fontId="31" fillId="2" borderId="65" xfId="0" applyFont="1" applyFill="1" applyBorder="1" applyAlignment="1" applyProtection="1">
      <alignment horizontal="center" vertical="center" wrapText="1"/>
      <protection locked="0"/>
    </xf>
    <xf numFmtId="0" fontId="31" fillId="2" borderId="75" xfId="0" applyFont="1" applyFill="1" applyBorder="1" applyAlignment="1" applyProtection="1">
      <alignment horizontal="center" vertical="center" wrapText="1"/>
      <protection locked="0"/>
    </xf>
    <xf numFmtId="0" fontId="15" fillId="0" borderId="60" xfId="0" applyFont="1" applyBorder="1" applyAlignment="1" applyProtection="1">
      <alignment horizontal="center" vertical="center" wrapText="1" readingOrder="1"/>
      <protection locked="0"/>
    </xf>
    <xf numFmtId="0" fontId="15" fillId="0" borderId="61" xfId="0" applyFont="1" applyBorder="1" applyAlignment="1" applyProtection="1">
      <alignment horizontal="center" vertical="center" wrapText="1" readingOrder="1"/>
      <protection locked="0"/>
    </xf>
    <xf numFmtId="0" fontId="15" fillId="0" borderId="62" xfId="0" applyFont="1" applyBorder="1" applyAlignment="1" applyProtection="1">
      <alignment horizontal="center" vertical="center" wrapText="1" readingOrder="1"/>
      <protection locked="0"/>
    </xf>
    <xf numFmtId="0" fontId="15" fillId="0" borderId="31" xfId="0" applyFont="1" applyBorder="1" applyAlignment="1" applyProtection="1">
      <alignment horizontal="center" vertical="center" wrapText="1" readingOrder="1"/>
      <protection locked="0"/>
    </xf>
    <xf numFmtId="0" fontId="33" fillId="8" borderId="92" xfId="0"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15" fillId="0" borderId="57" xfId="0" applyFont="1" applyBorder="1" applyAlignment="1" applyProtection="1">
      <alignment horizontal="center" vertical="center" wrapText="1" readingOrder="1"/>
      <protection locked="0"/>
    </xf>
    <xf numFmtId="0" fontId="15" fillId="0" borderId="59" xfId="0" applyFont="1" applyBorder="1" applyAlignment="1" applyProtection="1">
      <alignment horizontal="center" vertical="center" wrapText="1" readingOrder="1"/>
      <protection locked="0"/>
    </xf>
    <xf numFmtId="9" fontId="33" fillId="8" borderId="78" xfId="0" applyNumberFormat="1" applyFont="1" applyFill="1" applyBorder="1" applyAlignment="1">
      <alignment horizontal="center" vertical="center" wrapText="1" readingOrder="1"/>
    </xf>
    <xf numFmtId="9" fontId="33" fillId="8" borderId="54" xfId="0" applyNumberFormat="1" applyFont="1" applyFill="1" applyBorder="1" applyAlignment="1">
      <alignment horizontal="center" vertical="center" wrapText="1" readingOrder="1"/>
    </xf>
    <xf numFmtId="9" fontId="33" fillId="12" borderId="33" xfId="0" applyNumberFormat="1" applyFont="1" applyFill="1" applyBorder="1" applyAlignment="1">
      <alignment horizontal="center" vertical="center" wrapText="1" readingOrder="1"/>
    </xf>
    <xf numFmtId="9" fontId="33" fillId="12" borderId="5" xfId="0" applyNumberFormat="1" applyFont="1" applyFill="1" applyBorder="1" applyAlignment="1">
      <alignment horizontal="center" vertical="center" wrapText="1" readingOrder="1"/>
    </xf>
    <xf numFmtId="9" fontId="33" fillId="12" borderId="3" xfId="0" applyNumberFormat="1" applyFont="1" applyFill="1" applyBorder="1" applyAlignment="1">
      <alignment horizontal="center" vertical="center" wrapText="1" readingOrder="1"/>
    </xf>
    <xf numFmtId="9" fontId="33" fillId="12" borderId="4" xfId="0" applyNumberFormat="1" applyFont="1" applyFill="1" applyBorder="1" applyAlignment="1">
      <alignment horizontal="center" vertical="center" wrapText="1" readingOrder="1"/>
    </xf>
    <xf numFmtId="9" fontId="33" fillId="12" borderId="98" xfId="0" applyNumberFormat="1" applyFont="1" applyFill="1" applyBorder="1" applyAlignment="1">
      <alignment horizontal="center" vertical="center" wrapText="1" readingOrder="1"/>
    </xf>
    <xf numFmtId="9" fontId="30" fillId="2" borderId="100" xfId="0" applyNumberFormat="1" applyFont="1" applyFill="1" applyBorder="1" applyAlignment="1" applyProtection="1">
      <alignment horizontal="center" vertical="center" wrapText="1"/>
      <protection locked="0"/>
    </xf>
    <xf numFmtId="9" fontId="30" fillId="2" borderId="101" xfId="0" applyNumberFormat="1" applyFont="1" applyFill="1" applyBorder="1" applyAlignment="1" applyProtection="1">
      <alignment horizontal="center" vertical="center" wrapText="1"/>
      <protection locked="0"/>
    </xf>
    <xf numFmtId="9" fontId="30" fillId="2" borderId="102" xfId="0" applyNumberFormat="1" applyFont="1" applyFill="1" applyBorder="1" applyAlignment="1" applyProtection="1">
      <alignment horizontal="center" vertical="center" wrapText="1"/>
      <protection locked="0"/>
    </xf>
    <xf numFmtId="0" fontId="30" fillId="2" borderId="103" xfId="0" applyFont="1" applyFill="1" applyBorder="1" applyAlignment="1" applyProtection="1">
      <alignment horizontal="center" vertical="center" wrapText="1" readingOrder="1"/>
      <protection locked="0"/>
    </xf>
    <xf numFmtId="0" fontId="30" fillId="2" borderId="101" xfId="0" applyFont="1" applyFill="1" applyBorder="1" applyAlignment="1" applyProtection="1">
      <alignment horizontal="center" vertical="center" wrapText="1" readingOrder="1"/>
      <protection locked="0"/>
    </xf>
    <xf numFmtId="0" fontId="30" fillId="2" borderId="104" xfId="0" applyFont="1" applyFill="1" applyBorder="1" applyAlignment="1" applyProtection="1">
      <alignment horizontal="center" vertical="center" wrapText="1" readingOrder="1"/>
      <protection locked="0"/>
    </xf>
    <xf numFmtId="0" fontId="25" fillId="10" borderId="52" xfId="0" applyFont="1" applyFill="1" applyBorder="1" applyAlignment="1" applyProtection="1">
      <alignment horizontal="center" vertical="center" wrapText="1" readingOrder="1"/>
      <protection locked="0"/>
    </xf>
    <xf numFmtId="0" fontId="25" fillId="10" borderId="53" xfId="0" applyFont="1" applyFill="1" applyBorder="1" applyAlignment="1" applyProtection="1">
      <alignment horizontal="center" vertical="center" wrapText="1" readingOrder="1"/>
      <protection locked="0"/>
    </xf>
    <xf numFmtId="9" fontId="30" fillId="2" borderId="33" xfId="0" applyNumberFormat="1" applyFont="1" applyFill="1" applyBorder="1" applyAlignment="1" applyProtection="1">
      <alignment horizontal="center" vertical="center" wrapText="1"/>
      <protection locked="0"/>
    </xf>
    <xf numFmtId="0" fontId="30" fillId="2" borderId="98" xfId="0" applyFont="1" applyFill="1" applyBorder="1" applyAlignment="1" applyProtection="1">
      <alignment horizontal="center" vertical="center" wrapText="1" readingOrder="1"/>
      <protection locked="0"/>
    </xf>
    <xf numFmtId="0" fontId="30" fillId="0" borderId="103" xfId="0" applyFont="1" applyBorder="1" applyAlignment="1" applyProtection="1">
      <alignment horizontal="center" vertical="center" wrapText="1" readingOrder="1"/>
      <protection locked="0"/>
    </xf>
    <xf numFmtId="0" fontId="30" fillId="0" borderId="101" xfId="0" applyFont="1" applyBorder="1" applyAlignment="1" applyProtection="1">
      <alignment horizontal="center" vertical="center" wrapText="1" readingOrder="1"/>
      <protection locked="0"/>
    </xf>
    <xf numFmtId="0" fontId="30" fillId="0" borderId="104" xfId="0" applyFont="1" applyBorder="1" applyAlignment="1" applyProtection="1">
      <alignment horizontal="center" vertical="center" wrapText="1" readingOrder="1"/>
      <protection locked="0"/>
    </xf>
    <xf numFmtId="0" fontId="30" fillId="0" borderId="100" xfId="0" applyFont="1" applyBorder="1" applyAlignment="1" applyProtection="1">
      <alignment horizontal="center" vertical="center" wrapText="1" readingOrder="1"/>
      <protection locked="0"/>
    </xf>
    <xf numFmtId="0" fontId="30" fillId="0" borderId="102" xfId="0" applyFont="1" applyBorder="1" applyAlignment="1" applyProtection="1">
      <alignment horizontal="center" vertical="center" wrapText="1" readingOrder="1"/>
      <protection locked="0"/>
    </xf>
    <xf numFmtId="0" fontId="25" fillId="10" borderId="105" xfId="0" applyFont="1" applyFill="1" applyBorder="1" applyAlignment="1" applyProtection="1">
      <alignment horizontal="center" vertical="center" wrapText="1" readingOrder="1"/>
      <protection locked="0"/>
    </xf>
    <xf numFmtId="0" fontId="25" fillId="10" borderId="106" xfId="0" applyFont="1" applyFill="1" applyBorder="1" applyAlignment="1" applyProtection="1">
      <alignment horizontal="center" vertical="center" wrapText="1" readingOrder="1"/>
      <protection locked="0"/>
    </xf>
    <xf numFmtId="0" fontId="25" fillId="10" borderId="107" xfId="0" applyFont="1" applyFill="1" applyBorder="1" applyAlignment="1" applyProtection="1">
      <alignment horizontal="center" vertical="center" wrapText="1" readingOrder="1"/>
      <protection locked="0"/>
    </xf>
    <xf numFmtId="0" fontId="30" fillId="2" borderId="100" xfId="0" applyFont="1" applyFill="1" applyBorder="1" applyAlignment="1" applyProtection="1">
      <alignment horizontal="center" vertical="center" wrapText="1" readingOrder="1"/>
      <protection locked="0"/>
    </xf>
    <xf numFmtId="0" fontId="30" fillId="2" borderId="102" xfId="0" applyFont="1" applyFill="1" applyBorder="1" applyAlignment="1" applyProtection="1">
      <alignment horizontal="center" vertical="center" wrapText="1" readingOrder="1"/>
      <protection locked="0"/>
    </xf>
    <xf numFmtId="0" fontId="44" fillId="2" borderId="0" xfId="2" applyFont="1" applyFill="1" applyBorder="1" applyAlignment="1" applyProtection="1">
      <alignment horizontal="left" vertical="center" wrapText="1"/>
      <protection locked="0"/>
    </xf>
    <xf numFmtId="0" fontId="34" fillId="2" borderId="24" xfId="0" applyFont="1" applyFill="1" applyBorder="1" applyAlignment="1" applyProtection="1">
      <alignment horizontal="left" vertical="center" wrapText="1"/>
      <protection locked="0"/>
    </xf>
    <xf numFmtId="0" fontId="34" fillId="2" borderId="14" xfId="0" applyFont="1" applyFill="1" applyBorder="1" applyAlignment="1" applyProtection="1">
      <alignment horizontal="left" vertical="center" wrapText="1"/>
      <protection locked="0"/>
    </xf>
    <xf numFmtId="0" fontId="34" fillId="2" borderId="13" xfId="0" applyFont="1" applyFill="1" applyBorder="1" applyAlignment="1" applyProtection="1">
      <alignment horizontal="left" vertical="center" wrapText="1"/>
      <protection locked="0"/>
    </xf>
    <xf numFmtId="0" fontId="34" fillId="2" borderId="4" xfId="0" applyFont="1" applyFill="1" applyBorder="1" applyAlignment="1" applyProtection="1">
      <alignment horizontal="left" vertical="center" wrapText="1"/>
      <protection locked="0"/>
    </xf>
    <xf numFmtId="0" fontId="34" fillId="2" borderId="5" xfId="0" applyFont="1" applyFill="1" applyBorder="1" applyAlignment="1" applyProtection="1">
      <alignment horizontal="left" vertical="center" wrapText="1"/>
      <protection locked="0"/>
    </xf>
    <xf numFmtId="0" fontId="34" fillId="2" borderId="40" xfId="0" applyFont="1" applyFill="1" applyBorder="1" applyAlignment="1" applyProtection="1">
      <alignment horizontal="left" vertical="center" wrapText="1"/>
      <protection locked="0"/>
    </xf>
    <xf numFmtId="14" fontId="34" fillId="2" borderId="26" xfId="0" applyNumberFormat="1" applyFont="1" applyFill="1" applyBorder="1" applyAlignment="1" applyProtection="1">
      <alignment horizontal="left" vertical="center" wrapText="1"/>
      <protection locked="0"/>
    </xf>
    <xf numFmtId="14" fontId="34" fillId="2" borderId="17" xfId="0" applyNumberFormat="1" applyFont="1" applyFill="1" applyBorder="1" applyAlignment="1" applyProtection="1">
      <alignment horizontal="left" vertical="center" wrapText="1"/>
      <protection locked="0"/>
    </xf>
    <xf numFmtId="14" fontId="34" fillId="2" borderId="16" xfId="0" applyNumberFormat="1" applyFont="1" applyFill="1" applyBorder="1" applyAlignment="1" applyProtection="1">
      <alignment horizontal="left" vertical="center" wrapText="1"/>
      <protection locked="0"/>
    </xf>
    <xf numFmtId="14" fontId="31" fillId="2" borderId="24" xfId="0" applyNumberFormat="1" applyFont="1" applyFill="1" applyBorder="1" applyAlignment="1" applyProtection="1">
      <alignment horizontal="left" vertical="center" wrapText="1"/>
      <protection locked="0"/>
    </xf>
    <xf numFmtId="14" fontId="31" fillId="2" borderId="14" xfId="0" applyNumberFormat="1" applyFont="1" applyFill="1" applyBorder="1" applyAlignment="1" applyProtection="1">
      <alignment horizontal="left" vertical="center" wrapText="1"/>
      <protection locked="0"/>
    </xf>
    <xf numFmtId="14" fontId="31" fillId="2" borderId="13" xfId="0" applyNumberFormat="1" applyFont="1" applyFill="1" applyBorder="1" applyAlignment="1" applyProtection="1">
      <alignment horizontal="left" vertical="center" wrapText="1"/>
      <protection locked="0"/>
    </xf>
    <xf numFmtId="14" fontId="31" fillId="2" borderId="26" xfId="0" applyNumberFormat="1" applyFont="1" applyFill="1" applyBorder="1" applyAlignment="1" applyProtection="1">
      <alignment horizontal="left" vertical="center" wrapText="1"/>
      <protection locked="0"/>
    </xf>
    <xf numFmtId="14" fontId="31" fillId="2" borderId="17" xfId="0" applyNumberFormat="1" applyFont="1" applyFill="1" applyBorder="1" applyAlignment="1" applyProtection="1">
      <alignment horizontal="left" vertical="center" wrapText="1"/>
      <protection locked="0"/>
    </xf>
    <xf numFmtId="14" fontId="31" fillId="2" borderId="16" xfId="0" applyNumberFormat="1" applyFont="1" applyFill="1" applyBorder="1" applyAlignment="1" applyProtection="1">
      <alignment horizontal="left" vertical="center" wrapText="1"/>
      <protection locked="0"/>
    </xf>
    <xf numFmtId="0" fontId="30" fillId="2" borderId="58" xfId="0" applyFont="1" applyFill="1" applyBorder="1" applyAlignment="1" applyProtection="1">
      <alignment horizontal="center" vertical="center" wrapText="1"/>
      <protection locked="0"/>
    </xf>
    <xf numFmtId="0" fontId="30" fillId="2" borderId="59"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0" fontId="30" fillId="2" borderId="47" xfId="0" applyFont="1" applyFill="1" applyBorder="1" applyAlignment="1" applyProtection="1">
      <alignment horizontal="center" vertical="center" wrapText="1"/>
      <protection locked="0"/>
    </xf>
    <xf numFmtId="0" fontId="31" fillId="3" borderId="79" xfId="0" applyFont="1" applyFill="1" applyBorder="1" applyAlignment="1">
      <alignment horizontal="center" vertical="center" wrapText="1"/>
    </xf>
    <xf numFmtId="0" fontId="31" fillId="3" borderId="84"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33" fillId="11" borderId="92" xfId="0" applyFont="1" applyFill="1" applyBorder="1" applyAlignment="1">
      <alignment horizontal="center" vertical="center" wrapText="1" readingOrder="1"/>
    </xf>
    <xf numFmtId="0" fontId="33" fillId="11" borderId="93" xfId="0" applyFont="1" applyFill="1" applyBorder="1" applyAlignment="1">
      <alignment horizontal="center" vertical="center" wrapText="1" readingOrder="1"/>
    </xf>
    <xf numFmtId="0" fontId="33" fillId="11" borderId="94" xfId="0" applyFont="1" applyFill="1" applyBorder="1" applyAlignment="1">
      <alignment horizontal="center" vertical="center" wrapText="1" readingOrder="1"/>
    </xf>
    <xf numFmtId="9" fontId="33" fillId="8" borderId="80" xfId="0" applyNumberFormat="1" applyFont="1" applyFill="1" applyBorder="1" applyAlignment="1">
      <alignment horizontal="center" vertical="center" wrapText="1" readingOrder="1"/>
    </xf>
    <xf numFmtId="9" fontId="33" fillId="8" borderId="96" xfId="0" applyNumberFormat="1" applyFont="1" applyFill="1" applyBorder="1" applyAlignment="1">
      <alignment horizontal="center" vertical="center" wrapText="1" readingOrder="1"/>
    </xf>
    <xf numFmtId="9" fontId="33" fillId="8" borderId="81" xfId="0" applyNumberFormat="1" applyFont="1" applyFill="1" applyBorder="1" applyAlignment="1">
      <alignment horizontal="center" vertical="center" wrapText="1" readingOrder="1"/>
    </xf>
    <xf numFmtId="9" fontId="33" fillId="8" borderId="97" xfId="0" applyNumberFormat="1" applyFont="1" applyFill="1" applyBorder="1" applyAlignment="1">
      <alignment horizontal="center" vertical="center" wrapText="1" readingOrder="1"/>
    </xf>
    <xf numFmtId="0" fontId="30" fillId="2" borderId="57" xfId="0" applyFont="1" applyFill="1" applyBorder="1" applyAlignment="1" applyProtection="1">
      <alignment horizontal="center" vertical="center" wrapText="1"/>
      <protection locked="0"/>
    </xf>
    <xf numFmtId="0" fontId="30" fillId="2" borderId="60"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vertical="center" wrapText="1"/>
      <protection locked="0"/>
    </xf>
    <xf numFmtId="0" fontId="33" fillId="11" borderId="50" xfId="0" applyFont="1" applyFill="1" applyBorder="1" applyAlignment="1">
      <alignment horizontal="center" vertical="center" wrapText="1" readingOrder="1"/>
    </xf>
    <xf numFmtId="0" fontId="25" fillId="5" borderId="47" xfId="0" applyFont="1" applyFill="1" applyBorder="1" applyAlignment="1">
      <alignment horizontal="center" vertical="center" wrapText="1" readingOrder="1"/>
    </xf>
    <xf numFmtId="0" fontId="34" fillId="10" borderId="47" xfId="0" applyFont="1" applyFill="1" applyBorder="1" applyAlignment="1">
      <alignment horizontal="center" vertical="center" wrapText="1" readingOrder="1"/>
    </xf>
    <xf numFmtId="0" fontId="34" fillId="2" borderId="47" xfId="0" applyFont="1" applyFill="1" applyBorder="1" applyAlignment="1" applyProtection="1">
      <alignment horizontal="center" vertical="center"/>
      <protection locked="0"/>
    </xf>
    <xf numFmtId="0" fontId="43" fillId="7" borderId="73" xfId="0" applyFont="1" applyFill="1" applyBorder="1" applyAlignment="1">
      <alignment horizontal="center" vertical="center" wrapText="1"/>
    </xf>
    <xf numFmtId="0" fontId="43" fillId="7" borderId="74" xfId="0" applyFont="1" applyFill="1" applyBorder="1" applyAlignment="1">
      <alignment horizontal="center" vertical="center" wrapText="1"/>
    </xf>
    <xf numFmtId="0" fontId="32" fillId="5" borderId="0" xfId="0" applyFont="1" applyFill="1" applyAlignment="1">
      <alignment horizontal="center" vertical="center"/>
    </xf>
    <xf numFmtId="0" fontId="31" fillId="2" borderId="47" xfId="0" applyFont="1" applyFill="1" applyBorder="1" applyAlignment="1" applyProtection="1">
      <alignment horizontal="center"/>
      <protection locked="0"/>
    </xf>
    <xf numFmtId="0" fontId="31" fillId="2" borderId="47" xfId="0" applyFont="1" applyFill="1" applyBorder="1" applyAlignment="1" applyProtection="1">
      <alignment horizontal="center" vertical="center"/>
      <protection locked="0"/>
    </xf>
    <xf numFmtId="0" fontId="57" fillId="2" borderId="47" xfId="0" applyFont="1" applyFill="1" applyBorder="1" applyAlignment="1" applyProtection="1">
      <alignment horizontal="center" vertical="center" wrapText="1"/>
      <protection locked="0"/>
    </xf>
    <xf numFmtId="0" fontId="57" fillId="2" borderId="47" xfId="0" applyFont="1" applyFill="1" applyBorder="1" applyAlignment="1" applyProtection="1">
      <alignment horizontal="center" vertical="center"/>
      <protection locked="0"/>
    </xf>
    <xf numFmtId="0" fontId="31" fillId="2" borderId="64" xfId="0" applyFont="1" applyFill="1" applyBorder="1" applyAlignment="1" applyProtection="1">
      <alignment horizontal="center"/>
      <protection locked="0"/>
    </xf>
    <xf numFmtId="0" fontId="31" fillId="2" borderId="65" xfId="0" applyFont="1" applyFill="1" applyBorder="1" applyAlignment="1" applyProtection="1">
      <alignment horizontal="center"/>
      <protection locked="0"/>
    </xf>
    <xf numFmtId="0" fontId="31" fillId="2" borderId="75" xfId="0" applyFont="1" applyFill="1" applyBorder="1" applyAlignment="1" applyProtection="1">
      <alignment horizontal="center"/>
      <protection locked="0"/>
    </xf>
    <xf numFmtId="0" fontId="59" fillId="2" borderId="47" xfId="0" applyFont="1" applyFill="1" applyBorder="1" applyAlignment="1" applyProtection="1">
      <alignment horizontal="center" vertical="center" wrapText="1"/>
      <protection locked="0"/>
    </xf>
    <xf numFmtId="0" fontId="9" fillId="8" borderId="47" xfId="0" applyFont="1" applyFill="1" applyBorder="1" applyAlignment="1">
      <alignment horizontal="center" vertical="center" wrapText="1" readingOrder="1"/>
    </xf>
    <xf numFmtId="0" fontId="9" fillId="11" borderId="47" xfId="0" applyFont="1" applyFill="1" applyBorder="1" applyAlignment="1">
      <alignment horizontal="center" vertical="center" wrapText="1" readingOrder="1"/>
    </xf>
    <xf numFmtId="9" fontId="14" fillId="2" borderId="48" xfId="0" applyNumberFormat="1" applyFont="1" applyFill="1" applyBorder="1" applyAlignment="1">
      <alignment horizontal="center" vertical="center" wrapText="1" readingOrder="1"/>
    </xf>
    <xf numFmtId="9" fontId="14" fillId="2" borderId="49" xfId="0" applyNumberFormat="1" applyFont="1" applyFill="1" applyBorder="1" applyAlignment="1">
      <alignment horizontal="center" vertical="center" wrapText="1" readingOrder="1"/>
    </xf>
    <xf numFmtId="9" fontId="14" fillId="2" borderId="50" xfId="0" applyNumberFormat="1" applyFont="1" applyFill="1" applyBorder="1" applyAlignment="1">
      <alignment horizontal="center" vertical="center" wrapText="1" readingOrder="1"/>
    </xf>
    <xf numFmtId="0" fontId="12" fillId="2" borderId="47" xfId="0" applyFont="1" applyFill="1" applyBorder="1" applyAlignment="1">
      <alignment horizontal="center" vertical="center" wrapText="1"/>
    </xf>
    <xf numFmtId="0" fontId="9" fillId="7" borderId="2" xfId="0" applyFont="1" applyFill="1" applyBorder="1" applyAlignment="1">
      <alignment horizontal="center" vertical="center" wrapText="1"/>
    </xf>
    <xf numFmtId="14" fontId="12" fillId="2" borderId="4" xfId="0" applyNumberFormat="1" applyFont="1" applyFill="1" applyBorder="1" applyAlignment="1" applyProtection="1">
      <alignment horizontal="center" vertical="center" wrapText="1"/>
      <protection locked="0"/>
    </xf>
    <xf numFmtId="14" fontId="12" fillId="2" borderId="3" xfId="0" applyNumberFormat="1" applyFont="1" applyFill="1" applyBorder="1" applyAlignment="1" applyProtection="1">
      <alignment horizontal="center" vertical="center" wrapText="1"/>
      <protection locked="0"/>
    </xf>
    <xf numFmtId="0" fontId="19" fillId="2" borderId="0" xfId="2" applyFont="1" applyFill="1" applyBorder="1" applyAlignment="1">
      <alignment horizontal="left" vertical="center" wrapText="1"/>
    </xf>
    <xf numFmtId="0" fontId="16" fillId="2" borderId="0" xfId="11" applyFill="1" applyAlignment="1">
      <alignment vertical="center" wrapText="1"/>
    </xf>
    <xf numFmtId="0" fontId="8" fillId="4" borderId="2" xfId="0" applyFont="1" applyFill="1" applyBorder="1" applyAlignment="1" applyProtection="1">
      <alignment horizontal="center" vertical="center" wrapText="1" readingOrder="1"/>
      <protection locked="0"/>
    </xf>
    <xf numFmtId="0" fontId="11" fillId="4" borderId="2" xfId="0" applyFont="1" applyFill="1" applyBorder="1" applyAlignment="1" applyProtection="1">
      <alignment horizontal="center" vertical="center" wrapText="1" readingOrder="1"/>
      <protection locked="0"/>
    </xf>
    <xf numFmtId="0" fontId="9" fillId="8" borderId="2" xfId="0" applyFont="1" applyFill="1" applyBorder="1" applyAlignment="1">
      <alignment horizontal="center" vertical="center" wrapText="1" readingOrder="1"/>
    </xf>
    <xf numFmtId="0" fontId="12" fillId="2" borderId="47" xfId="0" applyFont="1" applyFill="1" applyBorder="1" applyAlignment="1" applyProtection="1">
      <alignment horizontal="left" vertical="center" wrapText="1" indent="2"/>
      <protection locked="0"/>
    </xf>
    <xf numFmtId="0" fontId="12" fillId="2" borderId="47" xfId="0" applyFont="1" applyFill="1" applyBorder="1" applyAlignment="1" applyProtection="1">
      <alignment horizontal="center" vertical="center" wrapText="1"/>
      <protection locked="0"/>
    </xf>
    <xf numFmtId="0" fontId="12" fillId="2" borderId="0" xfId="0" applyFont="1" applyFill="1" applyAlignment="1">
      <alignment horizontal="left" vertical="center" wrapText="1"/>
    </xf>
    <xf numFmtId="0" fontId="9" fillId="11" borderId="48" xfId="0" applyFont="1" applyFill="1" applyBorder="1" applyAlignment="1">
      <alignment horizontal="center" vertical="center" wrapText="1" readingOrder="1"/>
    </xf>
    <xf numFmtId="9" fontId="9" fillId="8" borderId="51" xfId="0" applyNumberFormat="1" applyFont="1" applyFill="1" applyBorder="1" applyAlignment="1">
      <alignment horizontal="center" vertical="center" wrapText="1" readingOrder="1"/>
    </xf>
    <xf numFmtId="9" fontId="9" fillId="8" borderId="78" xfId="0" applyNumberFormat="1" applyFont="1" applyFill="1" applyBorder="1" applyAlignment="1">
      <alignment horizontal="center" vertical="center" wrapText="1" readingOrder="1"/>
    </xf>
    <xf numFmtId="9" fontId="9" fillId="8" borderId="55" xfId="0" applyNumberFormat="1" applyFont="1" applyFill="1" applyBorder="1" applyAlignment="1">
      <alignment horizontal="center" vertical="center" wrapText="1" readingOrder="1"/>
    </xf>
    <xf numFmtId="0" fontId="11" fillId="2" borderId="58" xfId="0" applyFont="1" applyFill="1" applyBorder="1" applyAlignment="1" applyProtection="1">
      <alignment horizontal="center" vertical="center" wrapText="1"/>
      <protection locked="0"/>
    </xf>
    <xf numFmtId="0" fontId="11" fillId="9" borderId="58"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13" borderId="58" xfId="0" applyFont="1" applyFill="1" applyBorder="1" applyAlignment="1" applyProtection="1">
      <alignment horizontal="center" vertical="center" wrapText="1"/>
      <protection locked="0"/>
    </xf>
    <xf numFmtId="0" fontId="11" fillId="13" borderId="59" xfId="0" applyFont="1" applyFill="1" applyBorder="1" applyAlignment="1" applyProtection="1">
      <alignment horizontal="center" vertical="center" wrapText="1"/>
      <protection locked="0"/>
    </xf>
    <xf numFmtId="0" fontId="11" fillId="2" borderId="47" xfId="0" applyFont="1" applyFill="1" applyBorder="1" applyAlignment="1" applyProtection="1">
      <alignment horizontal="center" vertical="center" wrapText="1"/>
      <protection locked="0"/>
    </xf>
    <xf numFmtId="0" fontId="11" fillId="13" borderId="47" xfId="0" applyFont="1" applyFill="1" applyBorder="1" applyAlignment="1" applyProtection="1">
      <alignment horizontal="center" vertical="center" wrapText="1"/>
      <protection locked="0"/>
    </xf>
    <xf numFmtId="0" fontId="11" fillId="13" borderId="61" xfId="0" applyFont="1" applyFill="1" applyBorder="1" applyAlignment="1" applyProtection="1">
      <alignment horizontal="center" vertical="center" wrapText="1"/>
      <protection locked="0"/>
    </xf>
    <xf numFmtId="0" fontId="11" fillId="2" borderId="6" xfId="0" applyFont="1" applyFill="1" applyBorder="1" applyAlignment="1" applyProtection="1">
      <alignment horizontal="center" vertical="center" wrapText="1"/>
      <protection locked="0"/>
    </xf>
    <xf numFmtId="0" fontId="11" fillId="9" borderId="61" xfId="0" applyFont="1" applyFill="1" applyBorder="1" applyAlignment="1" applyProtection="1">
      <alignment horizontal="center" vertical="center" wrapText="1"/>
      <protection locked="0"/>
    </xf>
    <xf numFmtId="1" fontId="15" fillId="10" borderId="48" xfId="0" applyNumberFormat="1" applyFont="1" applyFill="1" applyBorder="1" applyAlignment="1">
      <alignment horizontal="center" vertical="center" wrapText="1" readingOrder="1"/>
    </xf>
    <xf numFmtId="1" fontId="15" fillId="10" borderId="70" xfId="0" applyNumberFormat="1" applyFont="1" applyFill="1" applyBorder="1" applyAlignment="1">
      <alignment horizontal="center" vertical="center" wrapText="1" readingOrder="1"/>
    </xf>
    <xf numFmtId="9" fontId="9" fillId="8" borderId="80" xfId="0" applyNumberFormat="1" applyFont="1" applyFill="1" applyBorder="1" applyAlignment="1">
      <alignment horizontal="center" vertical="center" wrapText="1" readingOrder="1"/>
    </xf>
    <xf numFmtId="9" fontId="9" fillId="8" borderId="81" xfId="0" applyNumberFormat="1" applyFont="1" applyFill="1" applyBorder="1" applyAlignment="1">
      <alignment horizontal="center" vertical="center" wrapText="1" readingOrder="1"/>
    </xf>
    <xf numFmtId="9" fontId="9" fillId="8" borderId="83" xfId="0" applyNumberFormat="1" applyFont="1" applyFill="1" applyBorder="1" applyAlignment="1">
      <alignment horizontal="center" vertical="center" wrapText="1" readingOrder="1"/>
    </xf>
    <xf numFmtId="9" fontId="9" fillId="8" borderId="38" xfId="0" applyNumberFormat="1" applyFont="1" applyFill="1" applyBorder="1" applyAlignment="1">
      <alignment horizontal="center" vertical="center" wrapText="1" readingOrder="1"/>
    </xf>
    <xf numFmtId="9" fontId="9" fillId="8" borderId="37" xfId="0" applyNumberFormat="1" applyFont="1" applyFill="1" applyBorder="1" applyAlignment="1">
      <alignment horizontal="center" vertical="center" wrapText="1" readingOrder="1"/>
    </xf>
    <xf numFmtId="9" fontId="9" fillId="8" borderId="25" xfId="0" applyNumberFormat="1" applyFont="1" applyFill="1" applyBorder="1" applyAlignment="1">
      <alignment horizontal="center" vertical="center" wrapText="1" readingOrder="1"/>
    </xf>
    <xf numFmtId="9" fontId="9" fillId="8" borderId="11" xfId="0" applyNumberFormat="1" applyFont="1" applyFill="1" applyBorder="1" applyAlignment="1">
      <alignment horizontal="center" vertical="center" wrapText="1" readingOrder="1"/>
    </xf>
    <xf numFmtId="9" fontId="9" fillId="12" borderId="4" xfId="0" applyNumberFormat="1" applyFont="1" applyFill="1" applyBorder="1" applyAlignment="1">
      <alignment horizontal="center" vertical="center" wrapText="1" readingOrder="1"/>
    </xf>
    <xf numFmtId="9" fontId="9" fillId="12" borderId="3" xfId="0" applyNumberFormat="1" applyFont="1" applyFill="1" applyBorder="1" applyAlignment="1">
      <alignment horizontal="center" vertical="center" wrapText="1" readingOrder="1"/>
    </xf>
    <xf numFmtId="9" fontId="9" fillId="12" borderId="5" xfId="0" applyNumberFormat="1" applyFont="1" applyFill="1" applyBorder="1" applyAlignment="1">
      <alignment horizontal="center" vertical="center" wrapText="1" readingOrder="1"/>
    </xf>
    <xf numFmtId="0" fontId="11" fillId="0" borderId="2" xfId="0" applyFont="1" applyBorder="1" applyAlignment="1" applyProtection="1">
      <alignment horizontal="center" vertical="center" wrapText="1" readingOrder="1"/>
      <protection locked="0"/>
    </xf>
    <xf numFmtId="1" fontId="15" fillId="10" borderId="63" xfId="0" applyNumberFormat="1" applyFont="1" applyFill="1" applyBorder="1" applyAlignment="1">
      <alignment horizontal="center" vertical="center" wrapText="1" readingOrder="1"/>
    </xf>
    <xf numFmtId="1" fontId="15" fillId="10" borderId="31" xfId="0" applyNumberFormat="1" applyFont="1" applyFill="1" applyBorder="1" applyAlignment="1">
      <alignment horizontal="center" vertical="center" wrapText="1" readingOrder="1"/>
    </xf>
    <xf numFmtId="0" fontId="16" fillId="2" borderId="0" xfId="11" applyFill="1" applyAlignment="1">
      <alignment horizontal="left" vertical="center" wrapText="1"/>
    </xf>
    <xf numFmtId="9" fontId="9" fillId="8" borderId="54" xfId="0" applyNumberFormat="1" applyFont="1" applyFill="1" applyBorder="1" applyAlignment="1">
      <alignment horizontal="center" vertical="center" wrapText="1" readingOrder="1"/>
    </xf>
    <xf numFmtId="9" fontId="9" fillId="8" borderId="4" xfId="0" applyNumberFormat="1" applyFont="1" applyFill="1" applyBorder="1" applyAlignment="1">
      <alignment horizontal="center" vertical="center" wrapText="1" readingOrder="1"/>
    </xf>
    <xf numFmtId="9" fontId="9" fillId="8" borderId="3" xfId="0" applyNumberFormat="1" applyFont="1" applyFill="1" applyBorder="1" applyAlignment="1">
      <alignment horizontal="center" vertical="center" wrapText="1" readingOrder="1"/>
    </xf>
    <xf numFmtId="14" fontId="12" fillId="10" borderId="4" xfId="0" applyNumberFormat="1" applyFont="1" applyFill="1" applyBorder="1" applyAlignment="1" applyProtection="1">
      <alignment horizontal="center" vertical="center" wrapText="1"/>
      <protection locked="0"/>
    </xf>
    <xf numFmtId="14" fontId="12" fillId="10" borderId="5" xfId="0" applyNumberFormat="1" applyFont="1" applyFill="1" applyBorder="1" applyAlignment="1" applyProtection="1">
      <alignment horizontal="center" vertical="center" wrapText="1"/>
      <protection locked="0"/>
    </xf>
    <xf numFmtId="14" fontId="12" fillId="10" borderId="3" xfId="0" applyNumberFormat="1" applyFont="1" applyFill="1" applyBorder="1" applyAlignment="1" applyProtection="1">
      <alignment horizontal="center" vertical="center" wrapText="1"/>
      <protection locked="0"/>
    </xf>
    <xf numFmtId="0" fontId="11" fillId="0" borderId="4" xfId="0" applyFont="1" applyBorder="1" applyAlignment="1" applyProtection="1">
      <alignment horizontal="center" vertical="center" wrapText="1" readingOrder="1"/>
      <protection locked="0"/>
    </xf>
    <xf numFmtId="0" fontId="11" fillId="0" borderId="3" xfId="0" applyFont="1" applyBorder="1" applyAlignment="1" applyProtection="1">
      <alignment horizontal="center" vertical="center" wrapText="1" readingOrder="1"/>
      <protection locked="0"/>
    </xf>
    <xf numFmtId="9" fontId="9" fillId="12" borderId="2" xfId="0" applyNumberFormat="1" applyFont="1" applyFill="1" applyBorder="1" applyAlignment="1">
      <alignment horizontal="center" vertical="center" wrapText="1" readingOrder="1"/>
    </xf>
    <xf numFmtId="0" fontId="8" fillId="0" borderId="2" xfId="0" applyFont="1" applyBorder="1" applyAlignment="1" applyProtection="1">
      <alignment horizontal="center" vertical="center" wrapText="1" readingOrder="1"/>
      <protection locked="0"/>
    </xf>
    <xf numFmtId="0" fontId="8" fillId="0" borderId="4" xfId="0" applyFont="1" applyBorder="1" applyAlignment="1" applyProtection="1">
      <alignment horizontal="center" vertical="center" wrapText="1" readingOrder="1"/>
      <protection locked="0"/>
    </xf>
    <xf numFmtId="0" fontId="8" fillId="0" borderId="3" xfId="0" applyFont="1" applyBorder="1" applyAlignment="1" applyProtection="1">
      <alignment horizontal="center" vertical="center" wrapText="1" readingOrder="1"/>
      <protection locked="0"/>
    </xf>
    <xf numFmtId="0" fontId="18" fillId="2" borderId="0" xfId="7" applyFont="1" applyFill="1" applyBorder="1" applyAlignment="1">
      <alignment horizontal="left" vertical="center" wrapText="1"/>
    </xf>
    <xf numFmtId="0" fontId="12" fillId="2" borderId="22" xfId="0" applyFont="1" applyFill="1" applyBorder="1" applyAlignment="1">
      <alignment horizontal="left" vertical="center" wrapText="1"/>
    </xf>
    <xf numFmtId="0" fontId="11" fillId="10" borderId="2" xfId="0" applyFont="1" applyFill="1" applyBorder="1" applyAlignment="1">
      <alignment horizontal="left" vertical="center" wrapText="1" indent="2" readingOrder="1"/>
    </xf>
    <xf numFmtId="9" fontId="9" fillId="8" borderId="2" xfId="0" applyNumberFormat="1" applyFont="1" applyFill="1" applyBorder="1" applyAlignment="1">
      <alignment horizontal="center" vertical="center" wrapText="1" readingOrder="1"/>
    </xf>
    <xf numFmtId="9" fontId="9" fillId="12" borderId="38" xfId="0" applyNumberFormat="1" applyFont="1" applyFill="1" applyBorder="1" applyAlignment="1">
      <alignment horizontal="center" vertical="center" wrapText="1" readingOrder="1"/>
    </xf>
    <xf numFmtId="9" fontId="9" fillId="12" borderId="43" xfId="0" applyNumberFormat="1" applyFont="1" applyFill="1" applyBorder="1" applyAlignment="1">
      <alignment horizontal="center" vertical="center" wrapText="1" readingOrder="1"/>
    </xf>
    <xf numFmtId="9" fontId="9" fillId="12" borderId="37" xfId="0" applyNumberFormat="1" applyFont="1" applyFill="1" applyBorder="1" applyAlignment="1">
      <alignment horizontal="center" vertical="center" wrapText="1" readingOrder="1"/>
    </xf>
    <xf numFmtId="9" fontId="11" fillId="4" borderId="25" xfId="0" applyNumberFormat="1" applyFont="1" applyFill="1" applyBorder="1" applyAlignment="1" applyProtection="1">
      <alignment horizontal="center" vertical="center" wrapText="1" readingOrder="1"/>
      <protection locked="0"/>
    </xf>
    <xf numFmtId="9" fontId="11" fillId="4" borderId="22" xfId="0" applyNumberFormat="1" applyFont="1" applyFill="1" applyBorder="1" applyAlignment="1" applyProtection="1">
      <alignment horizontal="center" vertical="center" wrapText="1" readingOrder="1"/>
      <protection locked="0"/>
    </xf>
    <xf numFmtId="9" fontId="11" fillId="4" borderId="11" xfId="0" applyNumberFormat="1" applyFont="1" applyFill="1" applyBorder="1" applyAlignment="1" applyProtection="1">
      <alignment horizontal="center" vertical="center" wrapText="1" readingOrder="1"/>
      <protection locked="0"/>
    </xf>
    <xf numFmtId="9" fontId="11" fillId="4" borderId="28" xfId="0" applyNumberFormat="1" applyFont="1" applyFill="1" applyBorder="1" applyAlignment="1" applyProtection="1">
      <alignment horizontal="center" vertical="center" wrapText="1" readingOrder="1"/>
      <protection locked="0"/>
    </xf>
    <xf numFmtId="9" fontId="11" fillId="4" borderId="0" xfId="0" applyNumberFormat="1" applyFont="1" applyFill="1" applyAlignment="1" applyProtection="1">
      <alignment horizontal="center" vertical="center" wrapText="1" readingOrder="1"/>
      <protection locked="0"/>
    </xf>
    <xf numFmtId="9" fontId="11" fillId="4" borderId="36" xfId="0" applyNumberFormat="1" applyFont="1" applyFill="1" applyBorder="1" applyAlignment="1" applyProtection="1">
      <alignment horizontal="center" vertical="center" wrapText="1" readingOrder="1"/>
      <protection locked="0"/>
    </xf>
    <xf numFmtId="9" fontId="9" fillId="8" borderId="39" xfId="0" applyNumberFormat="1" applyFont="1" applyFill="1" applyBorder="1" applyAlignment="1">
      <alignment horizontal="center" vertical="center" wrapText="1" readingOrder="1"/>
    </xf>
    <xf numFmtId="9" fontId="9" fillId="8" borderId="6" xfId="0" applyNumberFormat="1" applyFont="1" applyFill="1" applyBorder="1" applyAlignment="1">
      <alignment horizontal="center" vertical="center" wrapText="1" readingOrder="1"/>
    </xf>
    <xf numFmtId="0" fontId="31" fillId="2" borderId="64" xfId="0" applyFont="1" applyFill="1" applyBorder="1" applyAlignment="1" applyProtection="1">
      <alignment horizontal="center" vertical="center"/>
      <protection locked="0"/>
    </xf>
    <xf numFmtId="0" fontId="31" fillId="2" borderId="65" xfId="0" applyFont="1" applyFill="1" applyBorder="1" applyAlignment="1" applyProtection="1">
      <alignment horizontal="center" vertical="center"/>
      <protection locked="0"/>
    </xf>
    <xf numFmtId="0" fontId="31" fillId="2" borderId="75" xfId="0" applyFont="1" applyFill="1" applyBorder="1" applyAlignment="1" applyProtection="1">
      <alignment horizontal="center" vertical="center"/>
      <protection locked="0"/>
    </xf>
    <xf numFmtId="0" fontId="34" fillId="2" borderId="50" xfId="0" applyFont="1" applyFill="1" applyBorder="1" applyAlignment="1" applyProtection="1">
      <alignment horizontal="center" vertical="center" wrapText="1"/>
      <protection locked="0"/>
    </xf>
    <xf numFmtId="0" fontId="49" fillId="2" borderId="50" xfId="0" applyFont="1" applyFill="1" applyBorder="1" applyAlignment="1" applyProtection="1">
      <alignment horizontal="center" vertical="center" wrapText="1"/>
      <protection locked="0"/>
    </xf>
    <xf numFmtId="0" fontId="49" fillId="2" borderId="30" xfId="0" applyFont="1" applyFill="1" applyBorder="1" applyAlignment="1" applyProtection="1">
      <alignment horizontal="center" vertical="center" wrapText="1"/>
      <protection locked="0"/>
    </xf>
    <xf numFmtId="0" fontId="48" fillId="2" borderId="77" xfId="0" applyFont="1" applyFill="1" applyBorder="1" applyAlignment="1" applyProtection="1">
      <alignment horizontal="center" vertical="center" wrapText="1"/>
      <protection locked="0"/>
    </xf>
    <xf numFmtId="0" fontId="51" fillId="7" borderId="108" xfId="0" applyFont="1" applyFill="1" applyBorder="1" applyAlignment="1">
      <alignment horizontal="center" vertical="center" wrapText="1"/>
    </xf>
    <xf numFmtId="0" fontId="51" fillId="7" borderId="109" xfId="0" applyFont="1" applyFill="1" applyBorder="1" applyAlignment="1">
      <alignment horizontal="center" vertical="center" wrapText="1"/>
    </xf>
    <xf numFmtId="0" fontId="48" fillId="2" borderId="114" xfId="0" applyFont="1" applyFill="1" applyBorder="1" applyAlignment="1" applyProtection="1">
      <alignment horizontal="center" vertical="center" wrapText="1"/>
      <protection locked="0"/>
    </xf>
    <xf numFmtId="0" fontId="49" fillId="10" borderId="115" xfId="0" applyFont="1" applyFill="1" applyBorder="1" applyAlignment="1">
      <alignment horizontal="center" vertical="center" wrapText="1" readingOrder="1"/>
    </xf>
    <xf numFmtId="0" fontId="48" fillId="2" borderId="116" xfId="0" applyFont="1" applyFill="1" applyBorder="1" applyAlignment="1" applyProtection="1">
      <alignment horizontal="center" vertical="center" wrapText="1"/>
      <protection locked="0"/>
    </xf>
    <xf numFmtId="0" fontId="48" fillId="2" borderId="84" xfId="0" applyFont="1" applyFill="1" applyBorder="1" applyAlignment="1" applyProtection="1">
      <alignment horizontal="center" vertical="center" wrapText="1"/>
      <protection locked="0"/>
    </xf>
    <xf numFmtId="0" fontId="48" fillId="2" borderId="32" xfId="0" applyFont="1" applyFill="1" applyBorder="1" applyAlignment="1" applyProtection="1">
      <alignment horizontal="center" vertical="center" wrapText="1"/>
      <protection locked="0"/>
    </xf>
    <xf numFmtId="0" fontId="47" fillId="11" borderId="117" xfId="0" applyFont="1" applyFill="1" applyBorder="1" applyAlignment="1">
      <alignment horizontal="center" vertical="center" wrapText="1" readingOrder="1"/>
    </xf>
    <xf numFmtId="0" fontId="47" fillId="11" borderId="118" xfId="0" applyFont="1" applyFill="1" applyBorder="1" applyAlignment="1">
      <alignment horizontal="center" vertical="center" wrapText="1" readingOrder="1"/>
    </xf>
    <xf numFmtId="0" fontId="47" fillId="11" borderId="119" xfId="0" applyFont="1" applyFill="1" applyBorder="1" applyAlignment="1">
      <alignment horizontal="center" vertical="center" wrapText="1" readingOrder="1"/>
    </xf>
    <xf numFmtId="9" fontId="48" fillId="2" borderId="79" xfId="0" applyNumberFormat="1" applyFont="1" applyFill="1" applyBorder="1" applyAlignment="1" applyProtection="1">
      <alignment horizontal="center" vertical="center" wrapText="1"/>
      <protection locked="0"/>
    </xf>
    <xf numFmtId="9" fontId="48" fillId="2" borderId="32" xfId="0" applyNumberFormat="1" applyFont="1" applyFill="1" applyBorder="1" applyAlignment="1" applyProtection="1">
      <alignment horizontal="center" vertical="center" wrapText="1"/>
      <protection locked="0"/>
    </xf>
    <xf numFmtId="0" fontId="42" fillId="2" borderId="79" xfId="0" applyFont="1" applyFill="1" applyBorder="1" applyAlignment="1" applyProtection="1">
      <alignment horizontal="center" vertical="center" wrapText="1" readingOrder="1"/>
      <protection locked="0"/>
    </xf>
    <xf numFmtId="0" fontId="42" fillId="2" borderId="84" xfId="0" applyFont="1" applyFill="1" applyBorder="1" applyAlignment="1" applyProtection="1">
      <alignment horizontal="center" vertical="center" wrapText="1" readingOrder="1"/>
      <protection locked="0"/>
    </xf>
    <xf numFmtId="0" fontId="42" fillId="2" borderId="35" xfId="0" applyFont="1" applyFill="1" applyBorder="1" applyAlignment="1" applyProtection="1">
      <alignment horizontal="center" vertical="center" wrapText="1" readingOrder="1"/>
      <protection locked="0"/>
    </xf>
    <xf numFmtId="0" fontId="51" fillId="7" borderId="71" xfId="0" applyFont="1" applyFill="1" applyBorder="1" applyAlignment="1">
      <alignment horizontal="center" vertical="center" wrapText="1"/>
    </xf>
    <xf numFmtId="0" fontId="44" fillId="2" borderId="0" xfId="2" applyFont="1" applyFill="1" applyBorder="1" applyAlignment="1" applyProtection="1">
      <alignment horizontal="left" vertical="center" wrapText="1"/>
    </xf>
    <xf numFmtId="9" fontId="48" fillId="2" borderId="110" xfId="0" applyNumberFormat="1" applyFont="1" applyFill="1" applyBorder="1" applyAlignment="1" applyProtection="1">
      <alignment horizontal="center" vertical="center" wrapText="1"/>
      <protection locked="0"/>
    </xf>
    <xf numFmtId="9" fontId="48" fillId="2" borderId="111" xfId="0" applyNumberFormat="1" applyFont="1" applyFill="1" applyBorder="1" applyAlignment="1" applyProtection="1">
      <alignment horizontal="center" vertical="center" wrapText="1"/>
      <protection locked="0"/>
    </xf>
    <xf numFmtId="0" fontId="42" fillId="2" borderId="110" xfId="0" applyFont="1" applyFill="1" applyBorder="1" applyAlignment="1" applyProtection="1">
      <alignment horizontal="center" vertical="center" wrapText="1" readingOrder="1"/>
      <protection locked="0"/>
    </xf>
    <xf numFmtId="0" fontId="42" fillId="2" borderId="112" xfId="0" applyFont="1" applyFill="1" applyBorder="1" applyAlignment="1" applyProtection="1">
      <alignment horizontal="center" vertical="center" wrapText="1" readingOrder="1"/>
      <protection locked="0"/>
    </xf>
    <xf numFmtId="0" fontId="42" fillId="2" borderId="113" xfId="0" applyFont="1" applyFill="1" applyBorder="1" applyAlignment="1" applyProtection="1">
      <alignment horizontal="center" vertical="center" wrapText="1" readingOrder="1"/>
      <protection locked="0"/>
    </xf>
    <xf numFmtId="9" fontId="48" fillId="2" borderId="77" xfId="0" applyNumberFormat="1" applyFont="1" applyFill="1" applyBorder="1" applyAlignment="1" applyProtection="1">
      <alignment horizontal="center" vertical="center" wrapText="1"/>
      <protection locked="0"/>
    </xf>
    <xf numFmtId="0" fontId="26" fillId="2" borderId="0" xfId="0" applyFont="1" applyFill="1" applyAlignment="1">
      <alignment horizontal="center"/>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56" fillId="2" borderId="28" xfId="0" applyFont="1" applyFill="1" applyBorder="1" applyAlignment="1">
      <alignment horizontal="center" vertical="center" wrapText="1"/>
    </xf>
    <xf numFmtId="0" fontId="56" fillId="2" borderId="0" xfId="0" applyFont="1" applyFill="1" applyAlignment="1">
      <alignment horizontal="center" vertical="center" wrapText="1"/>
    </xf>
    <xf numFmtId="0" fontId="20" fillId="2" borderId="4" xfId="0" applyFont="1" applyFill="1" applyBorder="1" applyAlignment="1" applyProtection="1">
      <alignment horizontal="center" vertical="center" wrapText="1"/>
      <protection locked="0"/>
    </xf>
    <xf numFmtId="0" fontId="20" fillId="2" borderId="5" xfId="0" applyFont="1" applyFill="1" applyBorder="1" applyAlignment="1" applyProtection="1">
      <alignment horizontal="center" vertical="center" wrapText="1"/>
      <protection locked="0"/>
    </xf>
    <xf numFmtId="0" fontId="20" fillId="2" borderId="3" xfId="0" applyFont="1" applyFill="1" applyBorder="1" applyAlignment="1" applyProtection="1">
      <alignment horizontal="center" vertical="center" wrapText="1"/>
      <protection locked="0"/>
    </xf>
  </cellXfs>
  <cellStyles count="13">
    <cellStyle name="Comma" xfId="5" builtinId="3"/>
    <cellStyle name="Comma 2" xfId="6" xr:uid="{1F1B8E04-BF2E-410F-94FF-A8D4BC163C13}"/>
    <cellStyle name="Comma 2 2" xfId="9" xr:uid="{2E74FA1B-71C5-4F66-AE15-067F5CADDE0D}"/>
    <cellStyle name="Comma 3" xfId="8" xr:uid="{D2FE7FFE-F7B9-4828-B02F-D8E582CB3E86}"/>
    <cellStyle name="Currency 2" xfId="10" xr:uid="{EF23449B-F6F1-48C6-8878-051376DFDEDC}"/>
    <cellStyle name="Date" xfId="4" xr:uid="{983A65CD-B9D2-451F-A6F6-A3A473A2A47B}"/>
    <cellStyle name="Heading 1" xfId="2" builtinId="16"/>
    <cellStyle name="Hyperlink" xfId="7" xr:uid="{00000000-000B-0000-0000-000008000000}"/>
    <cellStyle name="Normal" xfId="0" builtinId="0"/>
    <cellStyle name="Percent" xfId="12" builtinId="5"/>
    <cellStyle name="Title" xfId="1" builtinId="15"/>
    <cellStyle name="Title sub" xfId="11" xr:uid="{E86D44FF-A527-49F4-8970-6AB8E70D11B9}"/>
    <cellStyle name="zHiddenText" xfId="3" xr:uid="{B6CBCC6D-B0F7-4BA5-ADE3-CF681D838CB9}"/>
  </cellStyles>
  <dxfs count="3174">
    <dxf>
      <font>
        <color theme="0"/>
      </font>
      <fill>
        <patternFill>
          <bgColor theme="0"/>
        </patternFill>
      </fill>
    </dxf>
    <dxf>
      <font>
        <color theme="0"/>
      </font>
      <fill>
        <patternFill>
          <bgColor theme="0"/>
        </patternFill>
      </fill>
    </dxf>
    <dxf>
      <font>
        <color theme="0"/>
      </font>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amily val="2"/>
      </font>
      <protection locked="1" hidden="0"/>
    </dxf>
    <dxf>
      <font>
        <strike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left style="thin">
          <color rgb="FF000000"/>
        </left>
        <right style="thin">
          <color rgb="FF000000"/>
        </right>
        <top style="thin">
          <color rgb="FF000000"/>
        </top>
        <bottom style="thin">
          <color rgb="FF000000"/>
        </bottom>
      </border>
    </dxf>
    <dxf>
      <fill>
        <patternFill patternType="solid">
          <fgColor indexed="64"/>
          <bgColor theme="0"/>
        </patternFill>
      </fill>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ttom style="medium">
          <color indexed="64"/>
        </bottom>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s>
  <tableStyles count="0" defaultTableStyle="TableStyleMedium2" defaultPivotStyle="PivotStyleLight16"/>
  <colors>
    <mruColors>
      <color rgb="FF00297A"/>
      <color rgb="FFACD8C3"/>
      <color rgb="FF008080"/>
      <color rgb="FF002060"/>
      <color rgb="FF0F5D4A"/>
      <color rgb="FF0D5342"/>
      <color rgb="FF005566"/>
      <color rgb="FF009999"/>
      <color rgb="FF003742"/>
      <color rgb="FF76E0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SMART Goals Manager status</a:t>
            </a:r>
          </a:p>
        </c:rich>
      </c:tx>
      <c:layout>
        <c:manualLayout>
          <c:xMode val="edge"/>
          <c:yMode val="edge"/>
          <c:x val="0.29196314837377779"/>
          <c:y val="0.631262400536821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536422579206715"/>
          <c:y val="0.16584476142097487"/>
          <c:w val="0.44927137551224861"/>
          <c:h val="0.71773887251339485"/>
        </c:manualLayout>
      </c:layout>
      <c:doughnutChart>
        <c:varyColors val="1"/>
        <c:ser>
          <c:idx val="0"/>
          <c:order val="0"/>
          <c:tx>
            <c:v>Tranches</c:v>
          </c:tx>
          <c:spPr>
            <a:ln>
              <a:noFill/>
            </a:ln>
          </c:spPr>
          <c:dPt>
            <c:idx val="0"/>
            <c:bubble3D val="0"/>
            <c:spPr>
              <a:solidFill>
                <a:srgbClr val="ACD8C3"/>
              </a:solidFill>
              <a:ln w="19050">
                <a:noFill/>
              </a:ln>
              <a:effectLst/>
            </c:spPr>
            <c:extLst>
              <c:ext xmlns:c16="http://schemas.microsoft.com/office/drawing/2014/chart" uri="{C3380CC4-5D6E-409C-BE32-E72D297353CC}">
                <c16:uniqueId val="{00000009-DD0F-452B-9A03-6A2B98862F8D}"/>
              </c:ext>
            </c:extLst>
          </c:dPt>
          <c:dPt>
            <c:idx val="1"/>
            <c:bubble3D val="0"/>
            <c:spPr>
              <a:solidFill>
                <a:srgbClr val="008080"/>
              </a:solidFill>
              <a:ln w="19050">
                <a:noFill/>
              </a:ln>
              <a:effectLst/>
            </c:spPr>
            <c:extLst>
              <c:ext xmlns:c16="http://schemas.microsoft.com/office/drawing/2014/chart" uri="{C3380CC4-5D6E-409C-BE32-E72D297353CC}">
                <c16:uniqueId val="{0000000B-DD0F-452B-9A03-6A2B98862F8D}"/>
              </c:ext>
            </c:extLst>
          </c:dPt>
          <c:dPt>
            <c:idx val="2"/>
            <c:bubble3D val="0"/>
            <c:spPr>
              <a:solidFill>
                <a:srgbClr val="00297A"/>
              </a:solidFill>
              <a:ln w="19050">
                <a:noFill/>
              </a:ln>
              <a:effectLst/>
            </c:spPr>
            <c:extLst>
              <c:ext xmlns:c16="http://schemas.microsoft.com/office/drawing/2014/chart" uri="{C3380CC4-5D6E-409C-BE32-E72D297353CC}">
                <c16:uniqueId val="{0000000A-DD0F-452B-9A03-6A2B98862F8D}"/>
              </c:ext>
            </c:extLst>
          </c:dPt>
          <c:dPt>
            <c:idx val="3"/>
            <c:bubble3D val="0"/>
            <c:spPr>
              <a:noFill/>
              <a:ln w="19050">
                <a:noFill/>
              </a:ln>
              <a:effectLst/>
            </c:spPr>
            <c:extLst>
              <c:ext xmlns:c16="http://schemas.microsoft.com/office/drawing/2014/chart" uri="{C3380CC4-5D6E-409C-BE32-E72D297353CC}">
                <c16:uniqueId val="{00000008-DD0F-452B-9A03-6A2B98862F8D}"/>
              </c:ext>
            </c:extLst>
          </c:dPt>
          <c:val>
            <c:numRef>
              <c:f>Dashboard!$Q$58:$Q$61</c:f>
              <c:numCache>
                <c:formatCode>General</c:formatCode>
                <c:ptCount val="4"/>
                <c:pt idx="0">
                  <c:v>33.33</c:v>
                </c:pt>
                <c:pt idx="1">
                  <c:v>33.33</c:v>
                </c:pt>
                <c:pt idx="2">
                  <c:v>33.33</c:v>
                </c:pt>
                <c:pt idx="3">
                  <c:v>100</c:v>
                </c:pt>
              </c:numCache>
            </c:numRef>
          </c:val>
          <c:extLst>
            <c:ext xmlns:c16="http://schemas.microsoft.com/office/drawing/2014/chart" uri="{C3380CC4-5D6E-409C-BE32-E72D297353CC}">
              <c16:uniqueId val="{00000003-DD0F-452B-9A03-6A2B98862F8D}"/>
            </c:ext>
          </c:extLst>
        </c:ser>
        <c:dLbls>
          <c:showLegendKey val="0"/>
          <c:showVal val="0"/>
          <c:showCatName val="0"/>
          <c:showSerName val="0"/>
          <c:showPercent val="0"/>
          <c:showBubbleSize val="0"/>
          <c:showLeaderLines val="1"/>
        </c:dLbls>
        <c:firstSliceAng val="270"/>
        <c:holeSize val="50"/>
      </c:doughnutChart>
      <c:pieChart>
        <c:varyColors val="1"/>
        <c:ser>
          <c:idx val="1"/>
          <c:order val="1"/>
          <c:tx>
            <c:v>Indicateur</c:v>
          </c:tx>
          <c:spPr>
            <a:solidFill>
              <a:schemeClr val="tx1"/>
            </a:solidFill>
          </c:spPr>
          <c:dPt>
            <c:idx val="0"/>
            <c:bubble3D val="0"/>
            <c:spPr>
              <a:noFill/>
              <a:ln w="19050">
                <a:noFill/>
              </a:ln>
              <a:effectLst/>
            </c:spPr>
            <c:extLst>
              <c:ext xmlns:c16="http://schemas.microsoft.com/office/drawing/2014/chart" uri="{C3380CC4-5D6E-409C-BE32-E72D297353CC}">
                <c16:uniqueId val="{00000005-DD0F-452B-9A03-6A2B98862F8D}"/>
              </c:ext>
            </c:extLst>
          </c:dPt>
          <c:dPt>
            <c:idx val="1"/>
            <c:bubble3D val="0"/>
            <c:spPr>
              <a:solidFill>
                <a:schemeClr val="tx1"/>
              </a:solidFill>
              <a:ln w="19050">
                <a:noFill/>
              </a:ln>
              <a:effectLst/>
            </c:spPr>
            <c:extLst>
              <c:ext xmlns:c16="http://schemas.microsoft.com/office/drawing/2014/chart" uri="{C3380CC4-5D6E-409C-BE32-E72D297353CC}">
                <c16:uniqueId val="{00000007-DD0F-452B-9A03-6A2B98862F8D}"/>
              </c:ext>
            </c:extLst>
          </c:dPt>
          <c:dPt>
            <c:idx val="2"/>
            <c:bubble3D val="0"/>
            <c:spPr>
              <a:noFill/>
              <a:ln w="19050">
                <a:solidFill>
                  <a:schemeClr val="lt1"/>
                </a:solidFill>
              </a:ln>
              <a:effectLst/>
            </c:spPr>
            <c:extLst>
              <c:ext xmlns:c16="http://schemas.microsoft.com/office/drawing/2014/chart" uri="{C3380CC4-5D6E-409C-BE32-E72D297353CC}">
                <c16:uniqueId val="{00000006-DD0F-452B-9A03-6A2B98862F8D}"/>
              </c:ext>
            </c:extLst>
          </c:dPt>
          <c:val>
            <c:numRef>
              <c:f>Dashboard!$Q$63:$Q$65</c:f>
              <c:numCache>
                <c:formatCode>General</c:formatCode>
                <c:ptCount val="3"/>
                <c:pt idx="0">
                  <c:v>84</c:v>
                </c:pt>
                <c:pt idx="1">
                  <c:v>2</c:v>
                </c:pt>
                <c:pt idx="2">
                  <c:v>123</c:v>
                </c:pt>
              </c:numCache>
            </c:numRef>
          </c:val>
          <c:extLst>
            <c:ext xmlns:c16="http://schemas.microsoft.com/office/drawing/2014/chart" uri="{C3380CC4-5D6E-409C-BE32-E72D297353CC}">
              <c16:uniqueId val="{00000004-DD0F-452B-9A03-6A2B98862F8D}"/>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1092200</xdr:colOff>
      <xdr:row>0</xdr:row>
      <xdr:rowOff>19050</xdr:rowOff>
    </xdr:from>
    <xdr:to>
      <xdr:col>11</xdr:col>
      <xdr:colOff>3397250</xdr:colOff>
      <xdr:row>1</xdr:row>
      <xdr:rowOff>857250</xdr:rowOff>
    </xdr:to>
    <xdr:pic>
      <xdr:nvPicPr>
        <xdr:cNvPr id="2" name="Picture 1">
          <a:extLst>
            <a:ext uri="{FF2B5EF4-FFF2-40B4-BE49-F238E27FC236}">
              <a16:creationId xmlns:a16="http://schemas.microsoft.com/office/drawing/2014/main" id="{0C872E48-7AD1-4917-AF31-DF28E91890EA}"/>
            </a:ext>
          </a:extLst>
        </xdr:cNvPr>
        <xdr:cNvPicPr>
          <a:picLocks noChangeAspect="1"/>
        </xdr:cNvPicPr>
      </xdr:nvPicPr>
      <xdr:blipFill>
        <a:blip xmlns:r="http://schemas.openxmlformats.org/officeDocument/2006/relationships" r:embed="rId1"/>
        <a:stretch>
          <a:fillRect/>
        </a:stretch>
      </xdr:blipFill>
      <xdr:spPr>
        <a:xfrm>
          <a:off x="31048325" y="19050"/>
          <a:ext cx="2305050" cy="876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647700</xdr:colOff>
      <xdr:row>1</xdr:row>
      <xdr:rowOff>9525</xdr:rowOff>
    </xdr:from>
    <xdr:to>
      <xdr:col>11</xdr:col>
      <xdr:colOff>323850</xdr:colOff>
      <xdr:row>1</xdr:row>
      <xdr:rowOff>838200</xdr:rowOff>
    </xdr:to>
    <xdr:pic>
      <xdr:nvPicPr>
        <xdr:cNvPr id="2" name="Picture 1">
          <a:extLst>
            <a:ext uri="{FF2B5EF4-FFF2-40B4-BE49-F238E27FC236}">
              <a16:creationId xmlns:a16="http://schemas.microsoft.com/office/drawing/2014/main" id="{E9512DF6-3B2F-458B-A0A4-5D3CADF5A56F}"/>
            </a:ext>
          </a:extLst>
        </xdr:cNvPr>
        <xdr:cNvPicPr>
          <a:picLocks noChangeAspect="1"/>
        </xdr:cNvPicPr>
      </xdr:nvPicPr>
      <xdr:blipFill>
        <a:blip xmlns:r="http://schemas.openxmlformats.org/officeDocument/2006/relationships" r:embed="rId1"/>
        <a:stretch>
          <a:fillRect/>
        </a:stretch>
      </xdr:blipFill>
      <xdr:spPr>
        <a:xfrm>
          <a:off x="20888325" y="476250"/>
          <a:ext cx="2209800" cy="828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48B88C61-F785-44B5-8B7D-C8746CDEB90E}"/>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BD903C9-32D8-4E83-8658-2C85264BF28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4331981-A219-42C1-A0EE-D7000B13F182}"/>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CDB21A5B-A377-46EE-A32C-AAA1DE515E72}"/>
            </a:ext>
          </a:extLst>
        </xdr:cNvPr>
        <xdr:cNvPicPr>
          <a:picLocks noChangeAspect="1"/>
        </xdr:cNvPicPr>
      </xdr:nvPicPr>
      <xdr:blipFill>
        <a:blip xmlns:r="http://schemas.openxmlformats.org/officeDocument/2006/relationships" r:embed="rId1"/>
        <a:stretch>
          <a:fillRect/>
        </a:stretch>
      </xdr:blipFill>
      <xdr:spPr>
        <a:xfrm>
          <a:off x="32597725" y="285750"/>
          <a:ext cx="2473325" cy="879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72D78013-4657-422B-9741-1AFE6701E4B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342900</xdr:colOff>
      <xdr:row>2</xdr:row>
      <xdr:rowOff>66675</xdr:rowOff>
    </xdr:from>
    <xdr:to>
      <xdr:col>8</xdr:col>
      <xdr:colOff>190500</xdr:colOff>
      <xdr:row>6</xdr:row>
      <xdr:rowOff>130629</xdr:rowOff>
    </xdr:to>
    <xdr:pic>
      <xdr:nvPicPr>
        <xdr:cNvPr id="2" name="Picture 1">
          <a:extLst>
            <a:ext uri="{FF2B5EF4-FFF2-40B4-BE49-F238E27FC236}">
              <a16:creationId xmlns:a16="http://schemas.microsoft.com/office/drawing/2014/main" id="{9F09F7F5-DEB9-4275-B4AB-723DE89E8E5F}"/>
            </a:ext>
          </a:extLst>
        </xdr:cNvPr>
        <xdr:cNvPicPr>
          <a:picLocks noChangeAspect="1"/>
        </xdr:cNvPicPr>
      </xdr:nvPicPr>
      <xdr:blipFill>
        <a:blip xmlns:r="http://schemas.openxmlformats.org/officeDocument/2006/relationships" r:embed="rId1"/>
        <a:stretch>
          <a:fillRect/>
        </a:stretch>
      </xdr:blipFill>
      <xdr:spPr>
        <a:xfrm>
          <a:off x="12134850" y="428625"/>
          <a:ext cx="2428875" cy="949779"/>
        </a:xfrm>
        <a:prstGeom prst="rect">
          <a:avLst/>
        </a:prstGeom>
      </xdr:spPr>
    </xdr:pic>
    <xdr:clientData/>
  </xdr:twoCellAnchor>
  <xdr:twoCellAnchor>
    <xdr:from>
      <xdr:col>4</xdr:col>
      <xdr:colOff>1115785</xdr:colOff>
      <xdr:row>54</xdr:row>
      <xdr:rowOff>240846</xdr:rowOff>
    </xdr:from>
    <xdr:to>
      <xdr:col>6</xdr:col>
      <xdr:colOff>975178</xdr:colOff>
      <xdr:row>63</xdr:row>
      <xdr:rowOff>164646</xdr:rowOff>
    </xdr:to>
    <xdr:graphicFrame macro="">
      <xdr:nvGraphicFramePr>
        <xdr:cNvPr id="3" name="Chart 2">
          <a:extLst>
            <a:ext uri="{FF2B5EF4-FFF2-40B4-BE49-F238E27FC236}">
              <a16:creationId xmlns:a16="http://schemas.microsoft.com/office/drawing/2014/main" id="{8CF70B5F-F79E-7E94-D961-EA153D6A2F84}"/>
            </a:ext>
            <a:ext uri="{147F2762-F138-4A5C-976F-8EAC2B608ADB}">
              <a16:predDERef xmlns:a16="http://schemas.microsoft.com/office/drawing/2014/main" pred="{9F09F7F5-DEB9-4275-B4AB-723DE89E8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740F6AE-B594-4175-A44B-11AEBAFCB055}"/>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Ramp Up" id="{9183CA8F-01CF-4393-B986-2165D7CF16E0}"/>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AF1442FE-64BC-40C4-8ACA-56A78A36B361}"/>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0D80B0C-C224-4AFD-9F96-E68A5869A48A}"/>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EA360CE-5BBB-4CA8-9DF8-7FCA61ADDD21}"/>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7421E6A-E881-4F7A-8F46-628348D93759}"/>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62F5AF76-A450-4EF7-BC9B-40A1E6E965B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F3872-001E-4B36-B76B-2E607A833FAA}" name="Table1" displayName="Table1" ref="D29:G54" totalsRowShown="0" headerRowDxfId="3173" dataDxfId="3171" headerRowBorderDxfId="3172" tableBorderDxfId="3170">
  <autoFilter ref="D29:G54" xr:uid="{4EFF3872-001E-4B36-B76B-2E607A833FAA}">
    <filterColumn colId="0">
      <filters>
        <filter val="2024"/>
      </filters>
    </filterColumn>
  </autoFilter>
  <tableColumns count="4">
    <tableColumn id="1" xr3:uid="{BB9B4FB4-6F2E-4835-A684-DB068AC2EAC4}" name="Date" dataDxfId="3169"/>
    <tableColumn id="2" xr3:uid="{EFD10357-9E0C-4E28-AB51-E3AED15D5B58}" name="Description " dataDxfId="3168"/>
    <tableColumn id="3" xr3:uid="{5D061A70-D37E-400A-A733-510B138AAF71}" name="Team member status" dataDxfId="3167"/>
    <tableColumn id="4" xr3:uid="{EDF30C3C-A03D-45C3-B148-240EB55A6ED2}" name="Manager status" dataDxfId="31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4F93D7-31D9-40AB-BFA0-7D7CF919CC76}" name="Table2" displayName="Table2" ref="D69:H74" totalsRowShown="0" headerRowDxfId="3165" dataDxfId="3163" headerRowBorderDxfId="3164" tableBorderDxfId="3162" totalsRowBorderDxfId="3161">
  <autoFilter ref="D69:H74" xr:uid="{DE4F93D7-31D9-40AB-BFA0-7D7CF919CC76}"/>
  <tableColumns count="5">
    <tableColumn id="1" xr3:uid="{8CC682DD-FD4F-48E3-9F23-E5E5AB134D01}" name="Date" dataDxfId="3160"/>
    <tableColumn id="2" xr3:uid="{108171EE-EB76-4C89-AA07-391F3716E2CF}" name="Quality" dataDxfId="3159">
      <calculatedColumnFormula>'CC Model'!$L$154</calculatedColumnFormula>
    </tableColumn>
    <tableColumn id="3" xr3:uid="{AA0344DD-98BF-41B2-8CF7-892286261960}" name="Innovation" dataDxfId="3158">
      <calculatedColumnFormula>'CC Model'!$L$159</calculatedColumnFormula>
    </tableColumn>
    <tableColumn id="4" xr3:uid="{6D9ECAFC-5F1B-4BBC-9C82-86CF80192D48}" name="Collab" dataDxfId="3157">
      <calculatedColumnFormula>'CC Model'!$L$164</calculatedColumnFormula>
    </tableColumn>
    <tableColumn id="5" xr3:uid="{76C1EE5A-571D-401E-8AC3-5E65EAFD338A}" name="Cust. Centricity" dataDxfId="3156">
      <calculatedColumnFormula>'CC Model'!$L$169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6C792A-187F-4FC4-BC50-DDCA5AB1FB40}" name="Table3" displayName="Table3" ref="D18:G23" totalsRowShown="0" headerRowDxfId="3155" dataDxfId="3153" headerRowBorderDxfId="3154" tableBorderDxfId="3152" totalsRowBorderDxfId="3151">
  <autoFilter ref="D18:G23" xr:uid="{6D6C792A-187F-4FC4-BC50-DDCA5AB1FB40}"/>
  <tableColumns count="4">
    <tableColumn id="1" xr3:uid="{E7331FFA-8437-4BA3-8B7E-AA35E063E605}" name="Date" dataDxfId="3150"/>
    <tableColumn id="2" xr3:uid="{15BDC371-49EE-4DD0-8BF8-F1CA2564F169}" name="Start" dataDxfId="3149"/>
    <tableColumn id="7" xr3:uid="{98018421-C53B-42CE-A66C-0F44EB2A2C6C}" name="Stop" dataDxfId="3148"/>
    <tableColumn id="8" xr3:uid="{BCC8EFF7-E994-419F-AFAC-3D0E5E15C30C}" name="Continue" dataDxfId="314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72A8B3-29E5-4646-9239-F0C85CF8B046}" name="Table4" displayName="Table4" ref="U61:W66" totalsRowShown="0" headerRowDxfId="3146" dataDxfId="3145">
  <autoFilter ref="U61:W66" xr:uid="{E272A8B3-29E5-4646-9239-F0C85CF8B046}"/>
  <tableColumns count="3">
    <tableColumn id="1" xr3:uid="{141EDBD9-3E4D-45F6-A0CE-05F5EB331B65}" name="Year" dataDxfId="3144"/>
    <tableColumn id="2" xr3:uid="{BB0FD5C7-0812-41E6-A18A-EBFCB3DC5DC7}" name="Team member" dataDxfId="3143"/>
    <tableColumn id="3" xr3:uid="{640E9B19-EFBA-4718-8D41-96223F4B8497}" name="Manager" dataDxfId="314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orbes.com/advisor/business/smart-goals/" TargetMode="External"/><Relationship Id="rId1" Type="http://schemas.openxmlformats.org/officeDocument/2006/relationships/hyperlink" Target="https://www.forbes.com/advisor/business/smart-goals/" TargetMode="External"/><Relationship Id="rId5" Type="http://schemas.microsoft.com/office/2019/04/relationships/namedSheetView" Target="../namedSheetViews/namedSheetView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4.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5.xm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6.xml"/><Relationship Id="rId5" Type="http://schemas.openxmlformats.org/officeDocument/2006/relationships/drawing" Target="../drawings/drawing6.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7.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C45F1-6649-4744-8D77-582D553A7001}">
  <sheetPr>
    <pageSetUpPr autoPageBreaks="0" fitToPage="1"/>
  </sheetPr>
  <dimension ref="A1:Q198"/>
  <sheetViews>
    <sheetView topLeftCell="C188" zoomScale="30" zoomScaleNormal="30" zoomScalePageLayoutView="25" workbookViewId="0">
      <selection activeCell="G162" sqref="G162:I162"/>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89.1" customHeight="1">
      <c r="A2" s="100"/>
      <c r="B2" s="100"/>
      <c r="C2" s="101"/>
      <c r="D2" s="107"/>
      <c r="E2" s="397" t="s">
        <v>0</v>
      </c>
      <c r="F2" s="397"/>
      <c r="G2" s="397"/>
      <c r="H2" s="397"/>
      <c r="I2" s="150"/>
      <c r="J2" s="150"/>
      <c r="K2" s="133"/>
      <c r="L2" s="144" t="e">
        <f>CONCATENATE(G146,"/",Q174)</f>
        <v>#DIV/0!</v>
      </c>
      <c r="M2" s="151"/>
      <c r="O2" s="149"/>
    </row>
    <row r="3" spans="1:17" s="148" customFormat="1" ht="23.25" customHeight="1">
      <c r="A3" s="100"/>
      <c r="B3" s="100"/>
      <c r="C3" s="101"/>
      <c r="D3" s="107"/>
      <c r="E3" s="152">
        <v>2023</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c r="G6" s="399"/>
      <c r="H6" s="399"/>
      <c r="I6" s="399"/>
      <c r="J6" s="399"/>
      <c r="K6" s="399"/>
      <c r="L6" s="400"/>
      <c r="M6" s="154"/>
      <c r="O6" s="124"/>
    </row>
    <row r="7" spans="1:17" s="148" customFormat="1" ht="50.45" customHeight="1">
      <c r="A7" s="100"/>
      <c r="B7" s="100"/>
      <c r="C7" s="101"/>
      <c r="D7" s="107"/>
      <c r="E7" s="105" t="s">
        <v>3</v>
      </c>
      <c r="F7" s="401"/>
      <c r="G7" s="402"/>
      <c r="H7" s="402"/>
      <c r="I7" s="402"/>
      <c r="J7" s="402"/>
      <c r="K7" s="402"/>
      <c r="L7" s="403"/>
      <c r="M7" s="154"/>
      <c r="O7" s="124"/>
    </row>
    <row r="8" spans="1:17" s="148" customFormat="1" ht="50.45" customHeight="1">
      <c r="A8" s="100"/>
      <c r="B8" s="100"/>
      <c r="C8" s="101"/>
      <c r="D8" s="103"/>
      <c r="E8" s="106" t="s">
        <v>4</v>
      </c>
      <c r="F8" s="404"/>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c r="G10" s="408"/>
      <c r="H10" s="408"/>
      <c r="I10" s="408"/>
      <c r="J10" s="408"/>
      <c r="K10" s="408"/>
      <c r="L10" s="409"/>
      <c r="M10" s="151"/>
      <c r="O10" s="149"/>
      <c r="Q10" s="124"/>
    </row>
    <row r="11" spans="1:17" s="148" customFormat="1" ht="50.45" customHeight="1">
      <c r="C11" s="155"/>
      <c r="D11" s="156"/>
      <c r="E11" s="106" t="s">
        <v>6</v>
      </c>
      <c r="F11" s="410"/>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- 00/01/1900</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- 00/01/1900</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c r="G28" s="383"/>
      <c r="H28" s="383"/>
      <c r="I28" s="383"/>
      <c r="J28" s="383"/>
      <c r="K28" s="383"/>
      <c r="L28" s="384"/>
      <c r="M28" s="44"/>
    </row>
    <row r="29" spans="4:13" ht="43.5" customHeight="1">
      <c r="D29" s="158"/>
      <c r="E29" s="370" t="str">
        <f>CONCATENATE("Mid-year meeting - ", TEXT($F$10,"dd/mm/yyyy"))</f>
        <v>Mid-year meeting - 00/01/1900</v>
      </c>
      <c r="F29" s="117"/>
      <c r="G29" s="372" t="str">
        <f>'CC 2023'!E2</f>
        <v>Employee Name</v>
      </c>
      <c r="H29" s="373"/>
      <c r="I29" s="374"/>
      <c r="J29" s="375">
        <f>F7</f>
        <v>0</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- 00/01/1900</v>
      </c>
      <c r="F31" s="117"/>
      <c r="G31" s="372" t="str">
        <f>'CC 2023'!E2</f>
        <v>Employee Name</v>
      </c>
      <c r="H31" s="373"/>
      <c r="I31" s="374"/>
      <c r="J31" s="375">
        <f>F7</f>
        <v>0</v>
      </c>
      <c r="K31" s="373"/>
      <c r="L31" s="376"/>
      <c r="M31" s="44"/>
    </row>
    <row r="32" spans="4:13" ht="110.25" customHeigh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c r="G34" s="393"/>
      <c r="H34" s="393"/>
      <c r="I34" s="393"/>
      <c r="J34" s="393"/>
      <c r="K34" s="393"/>
      <c r="L34" s="394"/>
      <c r="M34" s="44"/>
    </row>
    <row r="35" spans="4:13" ht="43.5" customHeight="1">
      <c r="D35" s="158"/>
      <c r="E35" s="370" t="str">
        <f>CONCATENATE("Mid-year meeting - ", TEXT($F$10,"dd/mm/yyyy"))</f>
        <v>Mid-year meeting - 00/01/1900</v>
      </c>
      <c r="F35" s="117"/>
      <c r="G35" s="372" t="str">
        <f>'CC 2023'!E2</f>
        <v>Employee Name</v>
      </c>
      <c r="H35" s="373"/>
      <c r="I35" s="374"/>
      <c r="J35" s="375">
        <f>F7</f>
        <v>0</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- 00/01/1900</v>
      </c>
      <c r="F37" s="117"/>
      <c r="G37" s="372" t="str">
        <f>'CC 2023'!E2</f>
        <v>Employee Name</v>
      </c>
      <c r="H37" s="373"/>
      <c r="I37" s="374"/>
      <c r="J37" s="375">
        <f>F7</f>
        <v>0</v>
      </c>
      <c r="K37" s="373"/>
      <c r="L37" s="376"/>
      <c r="M37" s="44"/>
    </row>
    <row r="38" spans="4:13" ht="144.94999999999999" customHeigh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c r="G40" s="393"/>
      <c r="H40" s="393"/>
      <c r="I40" s="393"/>
      <c r="J40" s="393"/>
      <c r="K40" s="393"/>
      <c r="L40" s="394"/>
      <c r="M40" s="44"/>
    </row>
    <row r="41" spans="4:13" ht="43.5" customHeight="1">
      <c r="D41" s="158"/>
      <c r="E41" s="370" t="str">
        <f>CONCATENATE("Mid-year meeting - ", TEXT($F$10,"dd/mm/yyyy"))</f>
        <v>Mid-year meeting - 00/01/1900</v>
      </c>
      <c r="F41" s="117"/>
      <c r="G41" s="372" t="str">
        <f>'CC 2023'!E2</f>
        <v>Employee Name</v>
      </c>
      <c r="H41" s="373"/>
      <c r="I41" s="374"/>
      <c r="J41" s="375">
        <f>F7</f>
        <v>0</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- 00/01/1900</v>
      </c>
      <c r="F43" s="117"/>
      <c r="G43" s="372" t="str">
        <f>'CC 2023'!E2</f>
        <v>Employee Name</v>
      </c>
      <c r="H43" s="373"/>
      <c r="I43" s="374"/>
      <c r="J43" s="375">
        <f>F7</f>
        <v>0</v>
      </c>
      <c r="K43" s="373"/>
      <c r="L43" s="376"/>
      <c r="M43" s="44"/>
    </row>
    <row r="44" spans="4:13" ht="113.45" customHeigh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c r="G46" s="393"/>
      <c r="H46" s="393"/>
      <c r="I46" s="393"/>
      <c r="J46" s="393"/>
      <c r="K46" s="393"/>
      <c r="L46" s="394"/>
      <c r="M46" s="44"/>
    </row>
    <row r="47" spans="4:13" ht="43.5" customHeight="1">
      <c r="D47" s="156"/>
      <c r="E47" s="370" t="str">
        <f>CONCATENATE("Mid-year meeting - ", TEXT($F$10,"dd/mm/yyyy"))</f>
        <v>Mid-year meeting - 00/01/1900</v>
      </c>
      <c r="F47" s="117"/>
      <c r="G47" s="372" t="str">
        <f>'CC 2023'!E2</f>
        <v>Employee Name</v>
      </c>
      <c r="H47" s="373"/>
      <c r="I47" s="374"/>
      <c r="J47" s="375">
        <f>F7</f>
        <v>0</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- 00/01/1900</v>
      </c>
      <c r="F49" s="117"/>
      <c r="G49" s="372" t="str">
        <f>'CC 2023'!E2</f>
        <v>Employee Name</v>
      </c>
      <c r="H49" s="373"/>
      <c r="I49" s="374"/>
      <c r="J49" s="375">
        <f>F7</f>
        <v>0</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c r="G52" s="393"/>
      <c r="H52" s="393"/>
      <c r="I52" s="393"/>
      <c r="J52" s="393"/>
      <c r="K52" s="393"/>
      <c r="L52" s="394"/>
      <c r="M52" s="44"/>
    </row>
    <row r="53" spans="4:13" ht="43.5" customHeight="1">
      <c r="D53" s="156"/>
      <c r="E53" s="370" t="str">
        <f>CONCATENATE("Mid-year meeting - ", TEXT($F$10,"dd/mm/yyyy"))</f>
        <v>Mid-year meeting - 00/01/1900</v>
      </c>
      <c r="F53" s="117"/>
      <c r="G53" s="372" t="str">
        <f>'CC 2023'!E2</f>
        <v>Employee Name</v>
      </c>
      <c r="H53" s="373"/>
      <c r="I53" s="374"/>
      <c r="J53" s="375">
        <f>F7</f>
        <v>0</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- 00/01/1900</v>
      </c>
      <c r="F55" s="117"/>
      <c r="G55" s="372" t="str">
        <f>'CC 2023'!E2</f>
        <v>Employee Name</v>
      </c>
      <c r="H55" s="373"/>
      <c r="I55" s="374"/>
      <c r="J55" s="375">
        <f>F7</f>
        <v>0</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c r="G58" s="383"/>
      <c r="H58" s="383"/>
      <c r="I58" s="383"/>
      <c r="J58" s="383"/>
      <c r="K58" s="383"/>
      <c r="L58" s="384"/>
      <c r="M58" s="44"/>
    </row>
    <row r="59" spans="4:13" ht="43.5" customHeight="1">
      <c r="D59" s="156"/>
      <c r="E59" s="370" t="str">
        <f>CONCATENATE("Mid-year meeting - ", TEXT($F$10,"dd/mm/yyyy"))</f>
        <v>Mid-year meeting - 00/01/1900</v>
      </c>
      <c r="F59" s="117"/>
      <c r="G59" s="372" t="str">
        <f>'CC 2023'!E2</f>
        <v>Employee Name</v>
      </c>
      <c r="H59" s="373"/>
      <c r="I59" s="374"/>
      <c r="J59" s="375">
        <f>F7</f>
        <v>0</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- 00/01/1900</v>
      </c>
      <c r="F61" s="117"/>
      <c r="G61" s="372" t="str">
        <f>'CC 2023'!E2</f>
        <v>Employee Name</v>
      </c>
      <c r="H61" s="373"/>
      <c r="I61" s="374"/>
      <c r="J61" s="375">
        <f>F7</f>
        <v>0</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c r="G64" s="383"/>
      <c r="H64" s="383"/>
      <c r="I64" s="383"/>
      <c r="J64" s="383"/>
      <c r="K64" s="383"/>
      <c r="L64" s="384"/>
      <c r="M64" s="44"/>
    </row>
    <row r="65" spans="3:15" ht="43.5" customHeight="1">
      <c r="D65" s="156"/>
      <c r="E65" s="370" t="str">
        <f>CONCATENATE("Mid-year meeting - ", TEXT($F$10,"dd/mm/yyyy"))</f>
        <v>Mid-year meeting - 00/01/1900</v>
      </c>
      <c r="F65" s="117"/>
      <c r="G65" s="372" t="str">
        <f>'CC 2023'!E2</f>
        <v>Employee Name</v>
      </c>
      <c r="H65" s="373"/>
      <c r="I65" s="374"/>
      <c r="J65" s="375">
        <f>F7</f>
        <v>0</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- 00/01/1900</v>
      </c>
      <c r="F67" s="117"/>
      <c r="G67" s="372" t="str">
        <f>'CC 2023'!E2</f>
        <v>Employee Name</v>
      </c>
      <c r="H67" s="373"/>
      <c r="I67" s="374"/>
      <c r="J67" s="375">
        <f>F7</f>
        <v>0</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1"/>
      <c r="K74" s="87"/>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357" t="s">
        <v>39</v>
      </c>
      <c r="G87" s="358"/>
      <c r="H87" s="358"/>
      <c r="I87" s="358"/>
      <c r="J87" s="358"/>
      <c r="K87" s="358"/>
      <c r="L87" s="359"/>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44" t="s">
        <v>46</v>
      </c>
      <c r="G89" s="360"/>
      <c r="H89" s="361"/>
      <c r="I89" s="143" t="s">
        <v>47</v>
      </c>
      <c r="J89" s="228" t="s">
        <v>48</v>
      </c>
      <c r="K89" s="228" t="s">
        <v>49</v>
      </c>
      <c r="L89" s="228" t="s">
        <v>50</v>
      </c>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- 00/01/1900</v>
      </c>
      <c r="F92" s="314"/>
      <c r="G92" s="315"/>
      <c r="H92" s="314"/>
      <c r="I92" s="333"/>
      <c r="J92" s="333"/>
      <c r="K92" s="333"/>
      <c r="L92" s="334"/>
      <c r="M92" s="44"/>
      <c r="O92" s="326"/>
    </row>
    <row r="93" spans="3:15" ht="135.94999999999999" customHeight="1">
      <c r="C93" s="164"/>
      <c r="D93" s="158"/>
      <c r="E93" s="56" t="str">
        <f>CONCATENATE("End-of-year meeting - ", TEXT($F$11,"dd/mm/yyyy"))</f>
        <v>End-of-year meeting - 00/01/1900</v>
      </c>
      <c r="F93" s="314"/>
      <c r="G93" s="315"/>
      <c r="H93" s="316"/>
      <c r="I93" s="317"/>
      <c r="J93" s="317"/>
      <c r="K93" s="317"/>
      <c r="L93" s="318"/>
      <c r="M93" s="44"/>
      <c r="O93" s="326"/>
    </row>
    <row r="94" spans="3:15" ht="53.45" customHeight="1">
      <c r="C94" s="164"/>
      <c r="D94" s="158"/>
      <c r="E94" s="340"/>
      <c r="F94" s="341">
        <f>F7</f>
        <v>0</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- 00/01/1900</v>
      </c>
      <c r="F96" s="314"/>
      <c r="G96" s="315"/>
      <c r="H96" s="314"/>
      <c r="I96" s="333"/>
      <c r="J96" s="333"/>
      <c r="K96" s="333"/>
      <c r="L96" s="334"/>
      <c r="M96" s="44"/>
      <c r="O96" s="326"/>
    </row>
    <row r="97" spans="3:15" ht="135.94999999999999" customHeight="1">
      <c r="C97" s="164"/>
      <c r="D97" s="158"/>
      <c r="E97" s="126" t="str">
        <f>CONCATENATE("End-of-year meeting - ", TEXT($F$11,"dd/mm/yyyy"))</f>
        <v>End-of-year meeting - 00/01/1900</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337"/>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- 00/01/1900</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- 00/01/1900</v>
      </c>
      <c r="F105" s="314"/>
      <c r="G105" s="315"/>
      <c r="H105" s="316"/>
      <c r="I105" s="317"/>
      <c r="J105" s="317"/>
      <c r="K105" s="317"/>
      <c r="L105" s="318"/>
      <c r="M105" s="44"/>
      <c r="N105" s="165"/>
      <c r="O105" s="326"/>
    </row>
    <row r="106" spans="3:15" ht="53.45" customHeight="1">
      <c r="C106" s="164"/>
      <c r="D106" s="158"/>
      <c r="E106" s="340"/>
      <c r="F106" s="341">
        <f>F7</f>
        <v>0</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- 00/01/1900</v>
      </c>
      <c r="F108" s="314"/>
      <c r="G108" s="315"/>
      <c r="H108" s="314"/>
      <c r="I108" s="333"/>
      <c r="J108" s="333"/>
      <c r="K108" s="333"/>
      <c r="L108" s="334"/>
      <c r="M108" s="44"/>
      <c r="N108" s="165"/>
      <c r="O108" s="326"/>
    </row>
    <row r="109" spans="3:15" ht="135.94999999999999" customHeight="1">
      <c r="C109" s="164"/>
      <c r="D109" s="158"/>
      <c r="E109" s="126" t="str">
        <f>CONCATENATE("End-of-year meeting - ", TEXT($F$11,"dd/mm/yyyy"))</f>
        <v>End-of-year meeting - 00/01/1900</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7"/>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- 00/01/1900</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- 00/01/1900</v>
      </c>
      <c r="F117" s="314"/>
      <c r="G117" s="315"/>
      <c r="H117" s="316"/>
      <c r="I117" s="317"/>
      <c r="J117" s="317"/>
      <c r="K117" s="317"/>
      <c r="L117" s="318"/>
      <c r="M117" s="44"/>
      <c r="O117" s="326"/>
    </row>
    <row r="118" spans="3:15" ht="53.45" customHeight="1">
      <c r="C118" s="164"/>
      <c r="D118" s="158"/>
      <c r="E118" s="340"/>
      <c r="F118" s="341">
        <f>F7</f>
        <v>0</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- 00/01/1900</v>
      </c>
      <c r="F120" s="314"/>
      <c r="G120" s="315"/>
      <c r="H120" s="314"/>
      <c r="I120" s="333"/>
      <c r="J120" s="333"/>
      <c r="K120" s="333"/>
      <c r="L120" s="334"/>
      <c r="M120" s="44"/>
      <c r="O120" s="326"/>
    </row>
    <row r="121" spans="3:15" ht="135.94999999999999" customHeight="1">
      <c r="C121" s="164"/>
      <c r="D121" s="158"/>
      <c r="E121" s="126" t="str">
        <f>CONCATENATE("End-of-year meeting - ", TEXT($F$11,"dd/mm/yyyy"))</f>
        <v>End-of-year meeting - 00/01/1900</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349"/>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- 00/01/1900</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- 00/01/1900</v>
      </c>
      <c r="F129" s="314"/>
      <c r="G129" s="315"/>
      <c r="H129" s="316"/>
      <c r="I129" s="317"/>
      <c r="J129" s="317"/>
      <c r="K129" s="317"/>
      <c r="L129" s="318"/>
      <c r="M129" s="44"/>
      <c r="O129" s="326"/>
    </row>
    <row r="130" spans="3:15" ht="53.45" customHeight="1">
      <c r="C130" s="164"/>
      <c r="D130" s="158"/>
      <c r="E130" s="340"/>
      <c r="F130" s="341">
        <f>F7</f>
        <v>0</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- 00/01/1900</v>
      </c>
      <c r="F132" s="314"/>
      <c r="G132" s="315"/>
      <c r="H132" s="314"/>
      <c r="I132" s="333"/>
      <c r="J132" s="333"/>
      <c r="K132" s="333"/>
      <c r="L132" s="334"/>
      <c r="M132" s="44"/>
      <c r="O132" s="326"/>
    </row>
    <row r="133" spans="3:15" ht="135.94999999999999" customHeight="1">
      <c r="C133" s="164"/>
      <c r="D133" s="158"/>
      <c r="E133" s="126" t="str">
        <f>CONCATENATE("End-of-year meeting - ", TEXT($F$11,"dd/mm/yyyy"))</f>
        <v>End-of-year meeting - 00/01/1900</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337"/>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44"/>
      <c r="G137" s="345"/>
      <c r="H137" s="346"/>
      <c r="I137" s="225"/>
      <c r="J137" s="75"/>
      <c r="K137" s="75"/>
      <c r="L137" s="76"/>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- 00/01/1900</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- 00/01/1900</v>
      </c>
      <c r="F141" s="314"/>
      <c r="G141" s="315"/>
      <c r="H141" s="316"/>
      <c r="I141" s="317"/>
      <c r="J141" s="317"/>
      <c r="K141" s="317"/>
      <c r="L141" s="318"/>
      <c r="M141" s="44"/>
      <c r="O141" s="326"/>
    </row>
    <row r="142" spans="3:15" ht="53.45" customHeight="1">
      <c r="C142" s="164"/>
      <c r="D142" s="158"/>
      <c r="E142" s="319"/>
      <c r="F142" s="320">
        <f>F7</f>
        <v>0</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- 00/01/1900</v>
      </c>
      <c r="F144" s="314"/>
      <c r="G144" s="315"/>
      <c r="H144" s="314"/>
      <c r="I144" s="333"/>
      <c r="J144" s="333"/>
      <c r="K144" s="333"/>
      <c r="L144" s="334"/>
      <c r="M144" s="44"/>
      <c r="O144" s="326"/>
    </row>
    <row r="145" spans="3:17" ht="135.94999999999999" customHeight="1">
      <c r="C145" s="164"/>
      <c r="D145" s="158"/>
      <c r="E145" s="129" t="str">
        <f>CONCATENATE("End-of-year meeting - ", TEXT($F$11,"dd/mm/yyyy"))</f>
        <v>End-of-year meeting - 00/01/1900</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- 00/01/1900</v>
      </c>
      <c r="F154" s="224" t="s">
        <v>64</v>
      </c>
      <c r="G154" s="253" t="str">
        <f>'CC 2023'!E2</f>
        <v>Employee Name</v>
      </c>
      <c r="H154" s="253"/>
      <c r="I154" s="253"/>
      <c r="J154" s="253">
        <f>F7</f>
        <v>0</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- 00/01/1900</v>
      </c>
      <c r="F156" s="224" t="s">
        <v>64</v>
      </c>
      <c r="G156" s="257" t="str">
        <f>'CC 2023'!E2</f>
        <v>Employee Name</v>
      </c>
      <c r="H156" s="257"/>
      <c r="I156" s="257"/>
      <c r="J156" s="257">
        <f>F7</f>
        <v>0</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- 00/01/1900</v>
      </c>
      <c r="F159" s="224" t="s">
        <v>64</v>
      </c>
      <c r="G159" s="266" t="str">
        <f>'CC 2023'!E2</f>
        <v>Employee Name</v>
      </c>
      <c r="H159" s="267"/>
      <c r="I159" s="268"/>
      <c r="J159" s="302">
        <f>F7</f>
        <v>0</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- 00/01/1900</v>
      </c>
      <c r="F161" s="224" t="s">
        <v>64</v>
      </c>
      <c r="G161" s="278" t="str">
        <f>'CC 2023'!E2</f>
        <v>Employee Name</v>
      </c>
      <c r="H161" s="279"/>
      <c r="I161" s="280"/>
      <c r="J161" s="281">
        <f>F7</f>
        <v>0</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- 00/01/1900</v>
      </c>
      <c r="F164" s="224" t="s">
        <v>64</v>
      </c>
      <c r="G164" s="266" t="str">
        <f>'CC 2023'!E2</f>
        <v>Employee Name</v>
      </c>
      <c r="H164" s="267"/>
      <c r="I164" s="268"/>
      <c r="J164" s="266">
        <f>F7</f>
        <v>0</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- 00/01/1900</v>
      </c>
      <c r="F166" s="224" t="s">
        <v>64</v>
      </c>
      <c r="G166" s="278" t="str">
        <f>'CC 2023'!E2</f>
        <v>Employee Name</v>
      </c>
      <c r="H166" s="279"/>
      <c r="I166" s="280"/>
      <c r="J166" s="278">
        <f>F7</f>
        <v>0</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- 00/01/1900</v>
      </c>
      <c r="F169" s="224" t="s">
        <v>64</v>
      </c>
      <c r="G169" s="253" t="str">
        <f>'CC 2023'!E2</f>
        <v>Employee Name</v>
      </c>
      <c r="H169" s="253"/>
      <c r="I169" s="253"/>
      <c r="J169" s="253">
        <f>F7</f>
        <v>0</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- 00/01/1900</v>
      </c>
      <c r="F171" s="224" t="s">
        <v>64</v>
      </c>
      <c r="G171" s="257" t="str">
        <f>'CC 2023'!E2</f>
        <v>Employee Name</v>
      </c>
      <c r="H171" s="257"/>
      <c r="I171" s="257"/>
      <c r="J171" s="257">
        <f>F7</f>
        <v>0</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f>F7</f>
        <v>0</v>
      </c>
      <c r="K177" s="245"/>
      <c r="L177" s="246"/>
      <c r="M177" s="44"/>
      <c r="Q177" s="148"/>
    </row>
    <row r="178" spans="4:17" ht="111" customHeight="1">
      <c r="D178" s="158"/>
      <c r="E178" s="139" t="str">
        <f>CONCATENATE("Mid-year meeting - ",TEXT($F$10,"dd/mm/yyyy"))</f>
        <v>Mid-year meeting - 00/01/1900</v>
      </c>
      <c r="F178" s="176"/>
      <c r="G178" s="248"/>
      <c r="H178" s="248"/>
      <c r="I178" s="248"/>
      <c r="J178" s="249"/>
      <c r="K178" s="249"/>
      <c r="L178" s="250"/>
      <c r="M178" s="44"/>
    </row>
    <row r="179" spans="4:17" ht="111" customHeight="1">
      <c r="D179" s="158"/>
      <c r="E179" s="140" t="str">
        <f>CONCATENATE("End-of-year meeting - ", TEXT($F$11,"dd/mm/yyyy"))</f>
        <v>End-of-year meeting - 00/01/1900</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1" t="s">
        <v>80</v>
      </c>
      <c r="I186" s="242"/>
      <c r="J186" s="243"/>
      <c r="K186" s="244" t="s">
        <v>81</v>
      </c>
      <c r="L186" s="244"/>
      <c r="M186" s="44"/>
    </row>
    <row r="187" spans="4:17" ht="129.75" customHeight="1">
      <c r="D187" s="158"/>
      <c r="E187" s="141" t="str">
        <f>CONCATENATE("Mid-year meeting - ",TEXT($F$10,"dd/mm/yyyy"))</f>
        <v>Mid-year meeting - 00/01/1900</v>
      </c>
      <c r="F187" s="235"/>
      <c r="G187" s="235"/>
      <c r="H187" s="234"/>
      <c r="I187" s="234"/>
      <c r="J187" s="234"/>
      <c r="K187" s="235"/>
      <c r="L187" s="235"/>
      <c r="M187" s="44"/>
    </row>
    <row r="188" spans="4:17" ht="129.75" customHeight="1">
      <c r="D188" s="158"/>
      <c r="E188" s="142" t="str">
        <f>CONCATENATE("End-of-year meeting - ", TEXT($F$11,"dd/mm/yyyy"))</f>
        <v>End-of-year meeting - 00/01/1900</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row r="197" spans="8:10" ht="23.25" customHeight="1">
      <c r="H197" s="165"/>
      <c r="I197" s="165"/>
      <c r="J197" s="165"/>
    </row>
    <row r="198" spans="8:10" ht="23.25" customHeight="1">
      <c r="H198" s="165"/>
      <c r="I198" s="165"/>
      <c r="J198" s="165"/>
    </row>
  </sheetData>
  <sheetProtection algorithmName="SHA-512" hashValue="PzTvA5NWp4BJ8BpvoBAhv6z831xzxkDuAj/30MGLNa6tzC0QX9UFVb4k6ouf53mp0lxOwG+AauU6rGduBUhCiw==" saltValue="fEf7ofVNRzFkVkI6Y6Hn7A=="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3141" priority="337" operator="containsText" text="Stop">
      <formula>NOT(ISERROR(SEARCH("Stop",E4)))</formula>
    </cfRule>
    <cfRule type="containsText" dxfId="3140" priority="338" operator="containsText" text="Start">
      <formula>NOT(ISERROR(SEARCH("Start",E4)))</formula>
    </cfRule>
    <cfRule type="containsText" dxfId="3139" priority="336" operator="containsText" text="Continue">
      <formula>NOT(ISERROR(SEARCH("Continue",E4)))</formula>
    </cfRule>
  </conditionalFormatting>
  <conditionalFormatting sqref="E14">
    <cfRule type="containsText" dxfId="3138" priority="456" operator="containsText" text="Continue">
      <formula>NOT(ISERROR(SEARCH("Continue",E14)))</formula>
    </cfRule>
    <cfRule type="containsText" dxfId="3137" priority="457" operator="containsText" text="Stop">
      <formula>NOT(ISERROR(SEARCH("Stop",E14)))</formula>
    </cfRule>
    <cfRule type="containsText" dxfId="3136" priority="458" operator="containsText" text="Start">
      <formula>NOT(ISERROR(SEARCH("Start",E14)))</formula>
    </cfRule>
  </conditionalFormatting>
  <conditionalFormatting sqref="E28 E154 G154 E156 G156">
    <cfRule type="containsText" dxfId="3135" priority="391" operator="containsText" text="N/A">
      <formula>NOT(ISERROR(SEARCH("N/A",E28)))</formula>
    </cfRule>
    <cfRule type="containsText" dxfId="3134" priority="388" operator="containsText" text="Continue">
      <formula>NOT(ISERROR(SEARCH("Continue",E28)))</formula>
    </cfRule>
    <cfRule type="containsText" dxfId="3133" priority="393" operator="containsText" text="Meets">
      <formula>NOT(ISERROR(SEARCH("Meets",E28)))</formula>
    </cfRule>
    <cfRule type="containsText" dxfId="3132" priority="392" operator="containsText" text="Exceeds">
      <formula>NOT(ISERROR(SEARCH("Exceeds",E28)))</formula>
    </cfRule>
    <cfRule type="containsText" dxfId="3131" priority="390" operator="containsText" text="Start">
      <formula>NOT(ISERROR(SEARCH("Start",E28)))</formula>
    </cfRule>
    <cfRule type="containsText" dxfId="3130" priority="389" operator="containsText" text="Stop">
      <formula>NOT(ISERROR(SEARCH("Stop",E28)))</formula>
    </cfRule>
    <cfRule type="containsText" dxfId="3129" priority="394" operator="containsText" text="Under">
      <formula>NOT(ISERROR(SEARCH("Under",E28)))</formula>
    </cfRule>
  </conditionalFormatting>
  <conditionalFormatting sqref="E34">
    <cfRule type="containsText" dxfId="3128" priority="368" operator="containsText" text="Stop">
      <formula>NOT(ISERROR(SEARCH("Stop",E34)))</formula>
    </cfRule>
    <cfRule type="containsText" dxfId="3127" priority="373" operator="containsText" text="Under">
      <formula>NOT(ISERROR(SEARCH("Under",E34)))</formula>
    </cfRule>
    <cfRule type="containsText" dxfId="3126" priority="372" operator="containsText" text="Meets">
      <formula>NOT(ISERROR(SEARCH("Meets",E34)))</formula>
    </cfRule>
    <cfRule type="containsText" dxfId="3125" priority="371" operator="containsText" text="Exceeds">
      <formula>NOT(ISERROR(SEARCH("Exceeds",E34)))</formula>
    </cfRule>
    <cfRule type="containsText" dxfId="3124" priority="370" operator="containsText" text="N/A">
      <formula>NOT(ISERROR(SEARCH("N/A",E34)))</formula>
    </cfRule>
    <cfRule type="containsText" dxfId="3123" priority="369" operator="containsText" text="Start">
      <formula>NOT(ISERROR(SEARCH("Start",E34)))</formula>
    </cfRule>
    <cfRule type="containsText" dxfId="3122" priority="367" operator="containsText" text="Continue">
      <formula>NOT(ISERROR(SEARCH("Continue",E34)))</formula>
    </cfRule>
  </conditionalFormatting>
  <conditionalFormatting sqref="E40">
    <cfRule type="containsText" dxfId="3121" priority="364" operator="containsText" text="Exceeds">
      <formula>NOT(ISERROR(SEARCH("Exceeds",E40)))</formula>
    </cfRule>
    <cfRule type="containsText" dxfId="3120" priority="365" operator="containsText" text="Meets">
      <formula>NOT(ISERROR(SEARCH("Meets",E40)))</formula>
    </cfRule>
    <cfRule type="containsText" dxfId="3119" priority="366" operator="containsText" text="Under">
      <formula>NOT(ISERROR(SEARCH("Under",E40)))</formula>
    </cfRule>
    <cfRule type="containsText" dxfId="3118" priority="360" operator="containsText" text="Continue">
      <formula>NOT(ISERROR(SEARCH("Continue",E40)))</formula>
    </cfRule>
    <cfRule type="containsText" dxfId="3117" priority="362" operator="containsText" text="Start">
      <formula>NOT(ISERROR(SEARCH("Start",E40)))</formula>
    </cfRule>
    <cfRule type="containsText" dxfId="3116" priority="363" operator="containsText" text="N/A">
      <formula>NOT(ISERROR(SEARCH("N/A",E40)))</formula>
    </cfRule>
    <cfRule type="containsText" dxfId="3115" priority="361" operator="containsText" text="Stop">
      <formula>NOT(ISERROR(SEARCH("Stop",E40)))</formula>
    </cfRule>
  </conditionalFormatting>
  <conditionalFormatting sqref="E46">
    <cfRule type="containsText" dxfId="3114" priority="359" operator="containsText" text="Under">
      <formula>NOT(ISERROR(SEARCH("Under",E46)))</formula>
    </cfRule>
    <cfRule type="containsText" dxfId="3113" priority="358" operator="containsText" text="Meets">
      <formula>NOT(ISERROR(SEARCH("Meets",E46)))</formula>
    </cfRule>
    <cfRule type="containsText" dxfId="3112" priority="357" operator="containsText" text="Exceeds">
      <formula>NOT(ISERROR(SEARCH("Exceeds",E46)))</formula>
    </cfRule>
    <cfRule type="containsText" dxfId="3111" priority="356" operator="containsText" text="N/A">
      <formula>NOT(ISERROR(SEARCH("N/A",E46)))</formula>
    </cfRule>
    <cfRule type="containsText" dxfId="3110" priority="355" operator="containsText" text="Start">
      <formula>NOT(ISERROR(SEARCH("Start",E46)))</formula>
    </cfRule>
    <cfRule type="containsText" dxfId="3109" priority="354" operator="containsText" text="Stop">
      <formula>NOT(ISERROR(SEARCH("Stop",E46)))</formula>
    </cfRule>
    <cfRule type="containsText" dxfId="3108" priority="353" operator="containsText" text="Continue">
      <formula>NOT(ISERROR(SEARCH("Continue",E46)))</formula>
    </cfRule>
  </conditionalFormatting>
  <conditionalFormatting sqref="E52">
    <cfRule type="containsText" dxfId="3107" priority="349" operator="containsText" text="N/A">
      <formula>NOT(ISERROR(SEARCH("N/A",E52)))</formula>
    </cfRule>
    <cfRule type="containsText" dxfId="3106" priority="348" operator="containsText" text="Start">
      <formula>NOT(ISERROR(SEARCH("Start",E52)))</formula>
    </cfRule>
    <cfRule type="containsText" dxfId="3105" priority="347" operator="containsText" text="Stop">
      <formula>NOT(ISERROR(SEARCH("Stop",E52)))</formula>
    </cfRule>
    <cfRule type="containsText" dxfId="3104" priority="352" operator="containsText" text="Under">
      <formula>NOT(ISERROR(SEARCH("Under",E52)))</formula>
    </cfRule>
    <cfRule type="containsText" dxfId="3103" priority="351" operator="containsText" text="Meets">
      <formula>NOT(ISERROR(SEARCH("Meets",E52)))</formula>
    </cfRule>
    <cfRule type="containsText" dxfId="3102" priority="346" operator="containsText" text="Continue">
      <formula>NOT(ISERROR(SEARCH("Continue",E52)))</formula>
    </cfRule>
    <cfRule type="containsText" dxfId="3101" priority="350" operator="containsText" text="Exceeds">
      <formula>NOT(ISERROR(SEARCH("Exceeds",E52)))</formula>
    </cfRule>
  </conditionalFormatting>
  <conditionalFormatting sqref="E58">
    <cfRule type="containsText" dxfId="3100" priority="341" operator="containsText" text="Start">
      <formula>NOT(ISERROR(SEARCH("Start",E58)))</formula>
    </cfRule>
    <cfRule type="containsText" dxfId="3099" priority="342" operator="containsText" text="N/A">
      <formula>NOT(ISERROR(SEARCH("N/A",E58)))</formula>
    </cfRule>
    <cfRule type="containsText" dxfId="3098" priority="344" operator="containsText" text="Meets">
      <formula>NOT(ISERROR(SEARCH("Meets",E58)))</formula>
    </cfRule>
    <cfRule type="containsText" dxfId="3097" priority="343" operator="containsText" text="Exceeds">
      <formula>NOT(ISERROR(SEARCH("Exceeds",E58)))</formula>
    </cfRule>
    <cfRule type="containsText" dxfId="3096" priority="345" operator="containsText" text="Under">
      <formula>NOT(ISERROR(SEARCH("Under",E58)))</formula>
    </cfRule>
    <cfRule type="containsText" dxfId="3095" priority="339" operator="containsText" text="Continue">
      <formula>NOT(ISERROR(SEARCH("Continue",E58)))</formula>
    </cfRule>
    <cfRule type="containsText" dxfId="3094" priority="340" operator="containsText" text="Stop">
      <formula>NOT(ISERROR(SEARCH("Stop",E58)))</formula>
    </cfRule>
  </conditionalFormatting>
  <conditionalFormatting sqref="E64">
    <cfRule type="containsText" dxfId="3093" priority="242" operator="containsText" text="Stop">
      <formula>NOT(ISERROR(SEARCH("Stop",E64)))</formula>
    </cfRule>
    <cfRule type="containsText" dxfId="3092" priority="243" operator="containsText" text="Start">
      <formula>NOT(ISERROR(SEARCH("Start",E64)))</formula>
    </cfRule>
    <cfRule type="containsText" dxfId="3091" priority="245" operator="containsText" text="Exceeds">
      <formula>NOT(ISERROR(SEARCH("Exceeds",E64)))</formula>
    </cfRule>
    <cfRule type="containsText" dxfId="3090" priority="246" operator="containsText" text="Meets">
      <formula>NOT(ISERROR(SEARCH("Meets",E64)))</formula>
    </cfRule>
    <cfRule type="containsText" dxfId="3089" priority="247" operator="containsText" text="Under">
      <formula>NOT(ISERROR(SEARCH("Under",E64)))</formula>
    </cfRule>
    <cfRule type="containsText" dxfId="3088" priority="244" operator="containsText" text="N/A">
      <formula>NOT(ISERROR(SEARCH("N/A",E64)))</formula>
    </cfRule>
    <cfRule type="containsText" dxfId="3087" priority="241" operator="containsText" text="Continue">
      <formula>NOT(ISERROR(SEARCH("Continue",E64)))</formula>
    </cfRule>
  </conditionalFormatting>
  <conditionalFormatting sqref="E159 E164">
    <cfRule type="containsText" dxfId="3086" priority="431" operator="containsText" text="Exceeds">
      <formula>NOT(ISERROR(SEARCH("Exceeds",E159)))</formula>
    </cfRule>
    <cfRule type="containsText" dxfId="3085" priority="430" operator="containsText" text="N/A">
      <formula>NOT(ISERROR(SEARCH("N/A",E159)))</formula>
    </cfRule>
    <cfRule type="containsText" dxfId="3084" priority="429" operator="containsText" text="Start">
      <formula>NOT(ISERROR(SEARCH("Start",E159)))</formula>
    </cfRule>
    <cfRule type="containsText" dxfId="3083" priority="428" operator="containsText" text="Stop">
      <formula>NOT(ISERROR(SEARCH("Stop",E159)))</formula>
    </cfRule>
    <cfRule type="containsText" dxfId="3082" priority="427" operator="containsText" text="Continue">
      <formula>NOT(ISERROR(SEARCH("Continue",E159)))</formula>
    </cfRule>
    <cfRule type="containsText" dxfId="3081" priority="432" operator="containsText" text="Meets">
      <formula>NOT(ISERROR(SEARCH("Meets",E159)))</formula>
    </cfRule>
    <cfRule type="containsText" dxfId="3080" priority="433" operator="containsText" text="Under">
      <formula>NOT(ISERROR(SEARCH("Under",E159)))</formula>
    </cfRule>
  </conditionalFormatting>
  <conditionalFormatting sqref="E161 E166">
    <cfRule type="containsText" dxfId="3079" priority="426" operator="containsText" text="Under">
      <formula>NOT(ISERROR(SEARCH("Under",E161)))</formula>
    </cfRule>
    <cfRule type="containsText" dxfId="3078" priority="425" operator="containsText" text="Meets">
      <formula>NOT(ISERROR(SEARCH("Meets",E161)))</formula>
    </cfRule>
    <cfRule type="containsText" dxfId="3077" priority="424" operator="containsText" text="Exceeds">
      <formula>NOT(ISERROR(SEARCH("Exceeds",E161)))</formula>
    </cfRule>
    <cfRule type="containsText" dxfId="3076" priority="423" operator="containsText" text="N/A">
      <formula>NOT(ISERROR(SEARCH("N/A",E161)))</formula>
    </cfRule>
    <cfRule type="containsText" dxfId="3075" priority="422" operator="containsText" text="Start">
      <formula>NOT(ISERROR(SEARCH("Start",E161)))</formula>
    </cfRule>
    <cfRule type="containsText" dxfId="3074" priority="421" operator="containsText" text="Stop">
      <formula>NOT(ISERROR(SEARCH("Stop",E161)))</formula>
    </cfRule>
    <cfRule type="containsText" dxfId="3073" priority="420" operator="containsText" text="Continue">
      <formula>NOT(ISERROR(SEARCH("Continue",E161)))</formula>
    </cfRule>
  </conditionalFormatting>
  <conditionalFormatting sqref="E169">
    <cfRule type="containsText" dxfId="3072" priority="443" operator="containsText" text="Start">
      <formula>NOT(ISERROR(SEARCH("Start",E169)))</formula>
    </cfRule>
    <cfRule type="containsText" dxfId="3071" priority="442" operator="containsText" text="Stop">
      <formula>NOT(ISERROR(SEARCH("Stop",E169)))</formula>
    </cfRule>
    <cfRule type="containsText" dxfId="3070" priority="441" operator="containsText" text="Continue">
      <formula>NOT(ISERROR(SEARCH("Continue",E169)))</formula>
    </cfRule>
    <cfRule type="containsText" dxfId="3069" priority="447" operator="containsText" text="Under">
      <formula>NOT(ISERROR(SEARCH("Under",E169)))</formula>
    </cfRule>
    <cfRule type="containsText" dxfId="3068" priority="446" operator="containsText" text="Meets">
      <formula>NOT(ISERROR(SEARCH("Meets",E169)))</formula>
    </cfRule>
    <cfRule type="containsText" dxfId="3067" priority="445" operator="containsText" text="Exceeds">
      <formula>NOT(ISERROR(SEARCH("Exceeds",E169)))</formula>
    </cfRule>
    <cfRule type="containsText" dxfId="3066" priority="444" operator="containsText" text="N/A">
      <formula>NOT(ISERROR(SEARCH("N/A",E169)))</formula>
    </cfRule>
  </conditionalFormatting>
  <conditionalFormatting sqref="E171">
    <cfRule type="containsText" dxfId="3065" priority="398" operator="containsText" text="N/A">
      <formula>NOT(ISERROR(SEARCH("N/A",E171)))</formula>
    </cfRule>
    <cfRule type="containsText" dxfId="3064" priority="399" operator="containsText" text="Exceeds">
      <formula>NOT(ISERROR(SEARCH("Exceeds",E171)))</formula>
    </cfRule>
    <cfRule type="containsText" dxfId="3063" priority="400" operator="containsText" text="Meets">
      <formula>NOT(ISERROR(SEARCH("Meets",E171)))</formula>
    </cfRule>
    <cfRule type="containsText" dxfId="3062" priority="401" operator="containsText" text="Under">
      <formula>NOT(ISERROR(SEARCH("Under",E171)))</formula>
    </cfRule>
    <cfRule type="containsText" dxfId="3061" priority="395" operator="containsText" text="Continue">
      <formula>NOT(ISERROR(SEARCH("Continue",E171)))</formula>
    </cfRule>
    <cfRule type="containsText" dxfId="3060" priority="396" operator="containsText" text="Stop">
      <formula>NOT(ISERROR(SEARCH("Stop",E171)))</formula>
    </cfRule>
    <cfRule type="containsText" dxfId="3059" priority="397" operator="containsText" text="Start">
      <formula>NOT(ISERROR(SEARCH("Start",E171)))</formula>
    </cfRule>
  </conditionalFormatting>
  <conditionalFormatting sqref="E12:L13">
    <cfRule type="containsText" dxfId="3058" priority="333" operator="containsText" text="Continue">
      <formula>NOT(ISERROR(SEARCH("Continue",E12)))</formula>
    </cfRule>
    <cfRule type="containsText" dxfId="3057" priority="334" operator="containsText" text="Stop">
      <formula>NOT(ISERROR(SEARCH("Stop",E12)))</formula>
    </cfRule>
    <cfRule type="containsText" dxfId="3056" priority="335" operator="containsText" text="Start">
      <formula>NOT(ISERROR(SEARCH("Start",E12)))</formula>
    </cfRule>
  </conditionalFormatting>
  <conditionalFormatting sqref="F32 K73 K75:K80 J74:K74">
    <cfRule type="dataBar" priority="116">
      <dataBar>
        <cfvo type="num" val="0"/>
        <cfvo type="num" val="1"/>
        <color theme="0" tint="-0.249977111117893"/>
      </dataBar>
      <extLst>
        <ext xmlns:x14="http://schemas.microsoft.com/office/spreadsheetml/2009/9/main" uri="{B025F937-C7B1-47D3-B67F-A62EFF666E3E}">
          <x14:id>{1ECDFD6F-97FA-40DB-9459-BECBBAA39182}</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{A01589CC-B696-4531-B2C4-9AC22DF5D241}</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{23371696-7648-4D24-8EA0-E0118F50F885}</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{9AC77EA7-C250-454D-BB0F-4161F868AE2A}</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{67AD4906-165F-4157-B8B9-A11DEA4B297A}</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{230C7F8E-14D2-426C-8ADF-9014565E569B}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{260574CA-4BAC-43E5-A9C4-D6372C5CB8E3}</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{C439AF76-0A9E-4004-BC13-F324A13BF8DD}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{5CA175D8-3629-417B-8F32-E87A1674602A}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{631F1A37-6DD4-411E-A4E7-CED8B37743B8}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{0B61A07A-BD40-489C-BF89-4EC94656A4D2}</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{74362F57-325A-4ED7-9D6C-AF02478B30F2}</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{0CAC41A7-195E-401C-8023-8DCCCFB56A8A}</x14:id>
        </ext>
      </extLst>
    </cfRule>
  </conditionalFormatting>
  <conditionalFormatting sqref="F157">
    <cfRule type="containsText" dxfId="3055" priority="404" operator="containsText" text="Stop">
      <formula>NOT(ISERROR(SEARCH("Stop",F157)))</formula>
    </cfRule>
    <cfRule type="containsText" dxfId="3054"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{3ED6E276-A303-463B-BBEE-6E3A1E06CA4C}</x14:id>
        </ext>
      </extLst>
    </cfRule>
    <cfRule type="containsText" dxfId="3053" priority="409" operator="containsText" text="Under">
      <formula>NOT(ISERROR(SEARCH("Under",F157)))</formula>
    </cfRule>
    <cfRule type="containsText" dxfId="3052" priority="408" operator="containsText" text="Meets">
      <formula>NOT(ISERROR(SEARCH("Meets",F157)))</formula>
    </cfRule>
    <cfRule type="containsText" dxfId="3051" priority="407" operator="containsText" text="Exceeds">
      <formula>NOT(ISERROR(SEARCH("Exceeds",F157)))</formula>
    </cfRule>
    <cfRule type="containsText" dxfId="3050"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{AF26C502-5DAF-42B7-86FE-4B411E733840}</x14:id>
        </ext>
      </extLst>
    </cfRule>
    <cfRule type="containsText" dxfId="3049" priority="405" operator="containsText" text="Start">
      <formula>NOT(ISERROR(SEARCH("Start",F157)))</formula>
    </cfRule>
  </conditionalFormatting>
  <conditionalFormatting sqref="F162">
    <cfRule type="containsText" dxfId="3048" priority="320" operator="containsText" text="Exceeds">
      <formula>NOT(ISERROR(SEARCH("Exceeds",F162)))</formula>
    </cfRule>
    <cfRule type="containsText" dxfId="3047" priority="321" operator="containsText" text="Meets">
      <formula>NOT(ISERROR(SEARCH("Meets",F162)))</formula>
    </cfRule>
    <cfRule type="containsText" dxfId="3046"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{206C7F5D-492B-48D9-87FC-044999225860}</x14:id>
        </ext>
      </extLst>
    </cfRule>
    <cfRule type="containsText" dxfId="3045" priority="318" operator="containsText" text="Start">
      <formula>NOT(ISERROR(SEARCH("Start",F162)))</formula>
    </cfRule>
    <cfRule type="containsText" dxfId="3044"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{7DA0927A-C55A-4E95-B2F5-BC55AD567414}</x14:id>
        </ext>
      </extLst>
    </cfRule>
    <cfRule type="containsText" dxfId="3043" priority="319" operator="containsText" text="N/A">
      <formula>NOT(ISERROR(SEARCH("N/A",F162)))</formula>
    </cfRule>
    <cfRule type="containsText" dxfId="3042"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{00044D51-61FF-4A5B-8DFC-EE75A5DCE662}</x14:id>
        </ext>
      </extLst>
    </cfRule>
    <cfRule type="containsText" dxfId="3041" priority="299" operator="containsText" text="Under">
      <formula>NOT(ISERROR(SEARCH("Under",F167)))</formula>
    </cfRule>
    <cfRule type="containsText" dxfId="3040" priority="298" operator="containsText" text="Meets">
      <formula>NOT(ISERROR(SEARCH("Meets",F167)))</formula>
    </cfRule>
    <cfRule type="containsText" dxfId="3039"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{2EA6CFE5-4D73-46CC-815D-023B6935BFEA}</x14:id>
        </ext>
      </extLst>
    </cfRule>
    <cfRule type="containsText" dxfId="3038" priority="293" operator="containsText" text="Continue">
      <formula>NOT(ISERROR(SEARCH("Continue",F167)))</formula>
    </cfRule>
    <cfRule type="containsText" dxfId="3037" priority="295" operator="containsText" text="Start">
      <formula>NOT(ISERROR(SEARCH("Start",F167)))</formula>
    </cfRule>
    <cfRule type="containsText" dxfId="3036" priority="297" operator="containsText" text="Exceeds">
      <formula>NOT(ISERROR(SEARCH("Exceeds",F167)))</formula>
    </cfRule>
    <cfRule type="containsText" dxfId="3035"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{CC0BEC30-E8EE-4173-BE6D-E4D5E0CED656}</x14:id>
        </ext>
      </extLst>
    </cfRule>
    <cfRule type="containsText" dxfId="3034" priority="269" operator="containsText" text="Under">
      <formula>NOT(ISERROR(SEARCH("Under",F172)))</formula>
    </cfRule>
    <cfRule type="containsText" dxfId="3033" priority="268" operator="containsText" text="Meets">
      <formula>NOT(ISERROR(SEARCH("Meets",F172)))</formula>
    </cfRule>
    <cfRule type="containsText" dxfId="3032" priority="267" operator="containsText" text="Exceeds">
      <formula>NOT(ISERROR(SEARCH("Exceeds",F172)))</formula>
    </cfRule>
    <cfRule type="containsText" dxfId="3031"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{F0BE1511-604E-4278-87F9-44881E4D2963}</x14:id>
        </ext>
      </extLst>
    </cfRule>
    <cfRule type="containsText" dxfId="3030" priority="265" operator="containsText" text="Start">
      <formula>NOT(ISERROR(SEARCH("Start",F172)))</formula>
    </cfRule>
    <cfRule type="containsText" dxfId="3029" priority="264" operator="containsText" text="Stop">
      <formula>NOT(ISERROR(SEARCH("Stop",F172)))</formula>
    </cfRule>
    <cfRule type="containsText" dxfId="3028"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{433A6AD4-C42E-44CA-8A6C-C093737D71B7}</x14:id>
        </ext>
      </extLst>
    </cfRule>
  </conditionalFormatting>
  <conditionalFormatting sqref="F148:G148 G25 H147">
    <cfRule type="dataBar" priority="459">
      <dataBar>
        <cfvo type="num" val="0"/>
        <cfvo type="num" val="1"/>
        <color theme="0" tint="-0.249977111117893"/>
      </dataBar>
      <extLst>
        <ext xmlns:x14="http://schemas.microsoft.com/office/spreadsheetml/2009/9/main" uri="{B025F937-C7B1-47D3-B67F-A62EFF666E3E}">
          <x14:id>{D6ABD94F-2315-4FCF-B07E-439D0D6AD869}</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{37E5FB85-472A-4F04-9612-B65B9D86FD5B}</x14:id>
        </ext>
      </extLst>
    </cfRule>
    <cfRule type="containsText" dxfId="3027" priority="412" operator="containsText" text="Continue">
      <formula>NOT(ISERROR(SEARCH("Continue",F155)))</formula>
    </cfRule>
    <cfRule type="containsText" dxfId="3026" priority="413" operator="containsText" text="Stop">
      <formula>NOT(ISERROR(SEARCH("Stop",F155)))</formula>
    </cfRule>
    <cfRule type="containsText" dxfId="3025" priority="414" operator="containsText" text="Start">
      <formula>NOT(ISERROR(SEARCH("Start",F155)))</formula>
    </cfRule>
    <cfRule type="containsText" dxfId="3024" priority="415" operator="containsText" text="N/A">
      <formula>NOT(ISERROR(SEARCH("N/A",F155)))</formula>
    </cfRule>
    <cfRule type="containsText" dxfId="3023" priority="416" operator="containsText" text="Exceeds">
      <formula>NOT(ISERROR(SEARCH("Exceeds",F155)))</formula>
    </cfRule>
    <cfRule type="containsText" dxfId="3022" priority="417" operator="containsText" text="Meets">
      <formula>NOT(ISERROR(SEARCH("Meets",F155)))</formula>
    </cfRule>
    <cfRule type="containsText" dxfId="3021"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{21B871EE-41BC-4472-87F5-B62DE44F70A9}</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{C814CB48-7F06-4C09-8FBA-D95618A8CDC3}</x14:id>
        </ext>
      </extLst>
    </cfRule>
    <cfRule type="containsText" dxfId="3020" priority="331" operator="containsText" text="Under">
      <formula>NOT(ISERROR(SEARCH("Under",F160)))</formula>
    </cfRule>
    <cfRule type="containsText" dxfId="3019" priority="330" operator="containsText" text="Meets">
      <formula>NOT(ISERROR(SEARCH("Meets",F160)))</formula>
    </cfRule>
    <cfRule type="containsText" dxfId="3018" priority="329" operator="containsText" text="Exceeds">
      <formula>NOT(ISERROR(SEARCH("Exceeds",F160)))</formula>
    </cfRule>
    <cfRule type="containsText" dxfId="3017" priority="328" operator="containsText" text="N/A">
      <formula>NOT(ISERROR(SEARCH("N/A",F160)))</formula>
    </cfRule>
    <cfRule type="containsText" dxfId="3016" priority="327" operator="containsText" text="Start">
      <formula>NOT(ISERROR(SEARCH("Start",F160)))</formula>
    </cfRule>
    <cfRule type="containsText" dxfId="3015" priority="326" operator="containsText" text="Stop">
      <formula>NOT(ISERROR(SEARCH("Stop",F160)))</formula>
    </cfRule>
    <cfRule type="containsText" dxfId="3014"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{E2ECEB16-65AB-4D06-A00E-EF10F27C4C33}</x14:id>
        </ext>
      </extLst>
    </cfRule>
  </conditionalFormatting>
  <conditionalFormatting sqref="F165:G165">
    <cfRule type="containsText" dxfId="3013" priority="238" operator="containsText" text="Meets">
      <formula>NOT(ISERROR(SEARCH("Meets",F165)))</formula>
    </cfRule>
    <cfRule type="containsText" dxfId="3012" priority="235" operator="containsText" text="Start">
      <formula>NOT(ISERROR(SEARCH("Start",F165)))</formula>
    </cfRule>
    <cfRule type="containsText" dxfId="3011"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{7382C047-BDC8-4845-953F-A812561AB122}</x14:id>
        </ext>
      </extLst>
    </cfRule>
    <cfRule type="containsText" dxfId="3010" priority="233" operator="containsText" text="Continue">
      <formula>NOT(ISERROR(SEARCH("Continue",F165)))</formula>
    </cfRule>
    <cfRule type="containsText" dxfId="3009" priority="236" operator="containsText" text="N/A">
      <formula>NOT(ISERROR(SEARCH("N/A",F165)))</formula>
    </cfRule>
    <cfRule type="containsText" dxfId="3008" priority="234" operator="containsText" text="Stop">
      <formula>NOT(ISERROR(SEARCH("Stop",F165)))</formula>
    </cfRule>
    <cfRule type="containsText" dxfId="3007"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{F70A2B76-23B3-404B-ABE2-29F0AF5E7334}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{5D12A7EB-237C-4C42-8050-907788381643}</x14:id>
        </ext>
      </extLst>
    </cfRule>
    <cfRule type="containsText" dxfId="3006" priority="225" operator="containsText" text="Stop">
      <formula>NOT(ISERROR(SEARCH("Stop",F170)))</formula>
    </cfRule>
    <cfRule type="containsText" dxfId="3005" priority="224" operator="containsText" text="Continue">
      <formula>NOT(ISERROR(SEARCH("Continue",F170)))</formula>
    </cfRule>
    <cfRule type="containsText" dxfId="3004" priority="226" operator="containsText" text="Start">
      <formula>NOT(ISERROR(SEARCH("Start",F170)))</formula>
    </cfRule>
    <cfRule type="containsText" dxfId="3003" priority="227" operator="containsText" text="N/A">
      <formula>NOT(ISERROR(SEARCH("N/A",F170)))</formula>
    </cfRule>
    <cfRule type="containsText" dxfId="3002" priority="228" operator="containsText" text="Exceeds">
      <formula>NOT(ISERROR(SEARCH("Exceeds",F170)))</formula>
    </cfRule>
    <cfRule type="containsText" dxfId="3001"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{DDF0F8EF-126A-4BEC-B883-C2C7FD114CE0}</x14:id>
        </ext>
      </extLst>
    </cfRule>
    <cfRule type="containsText" dxfId="3000"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{A73E302A-B0A0-4A21-A131-37F551B390F7}</x14:id>
        </ext>
      </extLst>
    </cfRule>
    <cfRule type="containsText" dxfId="2999" priority="218" operator="containsText" text="N/A">
      <formula>NOT(ISERROR(SEARCH("N/A",F178)))</formula>
    </cfRule>
    <cfRule type="containsText" dxfId="2998"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{0E307B75-4281-4213-91DF-3B07B74CFEA8}</x14:id>
        </ext>
      </extLst>
    </cfRule>
    <cfRule type="containsText" dxfId="2997" priority="215" operator="containsText" text="Continue">
      <formula>NOT(ISERROR(SEARCH("Continue",F178)))</formula>
    </cfRule>
    <cfRule type="containsText" dxfId="2996" priority="216" operator="containsText" text="Stop">
      <formula>NOT(ISERROR(SEARCH("Stop",F178)))</formula>
    </cfRule>
    <cfRule type="containsText" dxfId="2995" priority="217" operator="containsText" text="Start">
      <formula>NOT(ISERROR(SEARCH("Start",F178)))</formula>
    </cfRule>
    <cfRule type="containsText" dxfId="2994" priority="219" operator="containsText" text="Exceeds">
      <formula>NOT(ISERROR(SEARCH("Exceeds",F178)))</formula>
    </cfRule>
    <cfRule type="containsText" dxfId="2993" priority="220" operator="containsText" text="Meets">
      <formula>NOT(ISERROR(SEARCH("Meets",F178)))</formula>
    </cfRule>
  </conditionalFormatting>
  <conditionalFormatting sqref="G29">
    <cfRule type="containsText" dxfId="2992" priority="385" operator="containsText" text="Exceeds">
      <formula>NOT(ISERROR(SEARCH("Exceeds",G29)))</formula>
    </cfRule>
    <cfRule type="containsText" dxfId="2991" priority="387" operator="containsText" text="Under">
      <formula>NOT(ISERROR(SEARCH("Under",G29)))</formula>
    </cfRule>
    <cfRule type="containsText" dxfId="2990" priority="383" operator="containsText" text="Start">
      <formula>NOT(ISERROR(SEARCH("Start",G29)))</formula>
    </cfRule>
    <cfRule type="containsText" dxfId="2989" priority="382" operator="containsText" text="Stop">
      <formula>NOT(ISERROR(SEARCH("Stop",G29)))</formula>
    </cfRule>
    <cfRule type="containsText" dxfId="2988" priority="381" operator="containsText" text="Continue">
      <formula>NOT(ISERROR(SEARCH("Continue",G29)))</formula>
    </cfRule>
    <cfRule type="containsText" dxfId="2987" priority="386" operator="containsText" text="Meets">
      <formula>NOT(ISERROR(SEARCH("Meets",G29)))</formula>
    </cfRule>
    <cfRule type="containsText" dxfId="2986" priority="384" operator="containsText" text="N/A">
      <formula>NOT(ISERROR(SEARCH("N/A",G29)))</formula>
    </cfRule>
  </conditionalFormatting>
  <conditionalFormatting sqref="G31">
    <cfRule type="containsText" dxfId="2985" priority="34" operator="containsText" text="Meets">
      <formula>NOT(ISERROR(SEARCH("Meets",G31)))</formula>
    </cfRule>
    <cfRule type="containsText" dxfId="2984" priority="33" operator="containsText" text="Exceeds">
      <formula>NOT(ISERROR(SEARCH("Exceeds",G31)))</formula>
    </cfRule>
    <cfRule type="containsText" dxfId="2983" priority="31" operator="containsText" text="Start">
      <formula>NOT(ISERROR(SEARCH("Start",G31)))</formula>
    </cfRule>
    <cfRule type="containsText" dxfId="2982" priority="30" operator="containsText" text="Stop">
      <formula>NOT(ISERROR(SEARCH("Stop",G31)))</formula>
    </cfRule>
    <cfRule type="containsText" dxfId="2981" priority="29" operator="containsText" text="Continue">
      <formula>NOT(ISERROR(SEARCH("Continue",G31)))</formula>
    </cfRule>
    <cfRule type="containsText" dxfId="2980" priority="35" operator="containsText" text="Under">
      <formula>NOT(ISERROR(SEARCH("Under",G31)))</formula>
    </cfRule>
    <cfRule type="containsText" dxfId="2979" priority="32" operator="containsText" text="N/A">
      <formula>NOT(ISERROR(SEARCH("N/A",G31)))</formula>
    </cfRule>
  </conditionalFormatting>
  <conditionalFormatting sqref="G35">
    <cfRule type="containsText" dxfId="2978" priority="97" operator="containsText" text="Exceeds">
      <formula>NOT(ISERROR(SEARCH("Exceeds",G35)))</formula>
    </cfRule>
    <cfRule type="containsText" dxfId="2977" priority="98" operator="containsText" text="Meets">
      <formula>NOT(ISERROR(SEARCH("Meets",G35)))</formula>
    </cfRule>
    <cfRule type="containsText" dxfId="2976" priority="99" operator="containsText" text="Under">
      <formula>NOT(ISERROR(SEARCH("Under",G35)))</formula>
    </cfRule>
    <cfRule type="containsText" dxfId="2975" priority="94" operator="containsText" text="Stop">
      <formula>NOT(ISERROR(SEARCH("Stop",G35)))</formula>
    </cfRule>
    <cfRule type="containsText" dxfId="2974" priority="93" operator="containsText" text="Continue">
      <formula>NOT(ISERROR(SEARCH("Continue",G35)))</formula>
    </cfRule>
    <cfRule type="containsText" dxfId="2973" priority="96" operator="containsText" text="N/A">
      <formula>NOT(ISERROR(SEARCH("N/A",G35)))</formula>
    </cfRule>
    <cfRule type="containsText" dxfId="2972"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{81A4DF97-AF9D-48F5-9631-4CA642F81967}</x14:id>
        </ext>
      </extLst>
    </cfRule>
  </conditionalFormatting>
  <conditionalFormatting sqref="G37">
    <cfRule type="containsText" dxfId="2971" priority="25" operator="containsText" text="N/A">
      <formula>NOT(ISERROR(SEARCH("N/A",G37)))</formula>
    </cfRule>
    <cfRule type="containsText" dxfId="2970" priority="26" operator="containsText" text="Exceeds">
      <formula>NOT(ISERROR(SEARCH("Exceeds",G37)))</formula>
    </cfRule>
    <cfRule type="containsText" dxfId="2969" priority="27" operator="containsText" text="Meets">
      <formula>NOT(ISERROR(SEARCH("Meets",G37)))</formula>
    </cfRule>
    <cfRule type="containsText" dxfId="2968" priority="28" operator="containsText" text="Under">
      <formula>NOT(ISERROR(SEARCH("Under",G37)))</formula>
    </cfRule>
    <cfRule type="containsText" dxfId="2967" priority="22" operator="containsText" text="Continue">
      <formula>NOT(ISERROR(SEARCH("Continue",G37)))</formula>
    </cfRule>
    <cfRule type="containsText" dxfId="2966" priority="23" operator="containsText" text="Stop">
      <formula>NOT(ISERROR(SEARCH("Stop",G37)))</formula>
    </cfRule>
    <cfRule type="containsText" dxfId="2965" priority="24" operator="containsText" text="Start">
      <formula>NOT(ISERROR(SEARCH("Start",G37)))</formula>
    </cfRule>
  </conditionalFormatting>
  <conditionalFormatting sqref="G41">
    <cfRule type="containsText" dxfId="2964" priority="85" operator="containsText" text="Continue">
      <formula>NOT(ISERROR(SEARCH("Continue",G41)))</formula>
    </cfRule>
    <cfRule type="containsText" dxfId="2963" priority="86" operator="containsText" text="Stop">
      <formula>NOT(ISERROR(SEARCH("Stop",G41)))</formula>
    </cfRule>
    <cfRule type="containsText" dxfId="2962" priority="87" operator="containsText" text="Start">
      <formula>NOT(ISERROR(SEARCH("Start",G41)))</formula>
    </cfRule>
    <cfRule type="containsText" dxfId="2961" priority="88" operator="containsText" text="N/A">
      <formula>NOT(ISERROR(SEARCH("N/A",G41)))</formula>
    </cfRule>
    <cfRule type="containsText" dxfId="2960" priority="89" operator="containsText" text="Exceeds">
      <formula>NOT(ISERROR(SEARCH("Exceeds",G41)))</formula>
    </cfRule>
    <cfRule type="containsText" dxfId="2959" priority="90" operator="containsText" text="Meets">
      <formula>NOT(ISERROR(SEARCH("Meets",G41)))</formula>
    </cfRule>
    <cfRule type="containsText" dxfId="2958"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{ADEFF1B7-36FC-47DB-9089-E172C5FE44C0}</x14:id>
        </ext>
      </extLst>
    </cfRule>
  </conditionalFormatting>
  <conditionalFormatting sqref="G43">
    <cfRule type="containsText" dxfId="2957" priority="17" operator="containsText" text="Start">
      <formula>NOT(ISERROR(SEARCH("Start",G43)))</formula>
    </cfRule>
    <cfRule type="containsText" dxfId="2956" priority="16" operator="containsText" text="Stop">
      <formula>NOT(ISERROR(SEARCH("Stop",G43)))</formula>
    </cfRule>
    <cfRule type="containsText" dxfId="2955" priority="20" operator="containsText" text="Meets">
      <formula>NOT(ISERROR(SEARCH("Meets",G43)))</formula>
    </cfRule>
    <cfRule type="containsText" dxfId="2954" priority="15" operator="containsText" text="Continue">
      <formula>NOT(ISERROR(SEARCH("Continue",G43)))</formula>
    </cfRule>
    <cfRule type="containsText" dxfId="2953" priority="19" operator="containsText" text="Exceeds">
      <formula>NOT(ISERROR(SEARCH("Exceeds",G43)))</formula>
    </cfRule>
    <cfRule type="containsText" dxfId="2952" priority="21" operator="containsText" text="Under">
      <formula>NOT(ISERROR(SEARCH("Under",G43)))</formula>
    </cfRule>
    <cfRule type="containsText" dxfId="2951" priority="18" operator="containsText" text="N/A">
      <formula>NOT(ISERROR(SEARCH("N/A",G43)))</formula>
    </cfRule>
  </conditionalFormatting>
  <conditionalFormatting sqref="G47">
    <cfRule type="containsText" dxfId="2950" priority="78" operator="containsText" text="Stop">
      <formula>NOT(ISERROR(SEARCH("Stop",G47)))</formula>
    </cfRule>
    <cfRule type="containsText" dxfId="2949" priority="77" operator="containsText" text="Continue">
      <formula>NOT(ISERROR(SEARCH("Continue",G47)))</formula>
    </cfRule>
    <cfRule type="containsText" dxfId="2948" priority="79" operator="containsText" text="Start">
      <formula>NOT(ISERROR(SEARCH("Start",G47)))</formula>
    </cfRule>
    <cfRule type="containsText" dxfId="2947" priority="80" operator="containsText" text="N/A">
      <formula>NOT(ISERROR(SEARCH("N/A",G47)))</formula>
    </cfRule>
    <cfRule type="containsText" dxfId="2946" priority="81" operator="containsText" text="Exceeds">
      <formula>NOT(ISERROR(SEARCH("Exceeds",G47)))</formula>
    </cfRule>
    <cfRule type="containsText" dxfId="2945" priority="82" operator="containsText" text="Meets">
      <formula>NOT(ISERROR(SEARCH("Meets",G47)))</formula>
    </cfRule>
    <cfRule type="containsText" dxfId="2944"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{DB10F470-3FD7-429F-B839-0B24ACB5FD86}</x14:id>
        </ext>
      </extLst>
    </cfRule>
  </conditionalFormatting>
  <conditionalFormatting sqref="G49">
    <cfRule type="containsText" dxfId="2943" priority="14" operator="containsText" text="Under">
      <formula>NOT(ISERROR(SEARCH("Under",G49)))</formula>
    </cfRule>
    <cfRule type="containsText" dxfId="2942" priority="13" operator="containsText" text="Meets">
      <formula>NOT(ISERROR(SEARCH("Meets",G49)))</formula>
    </cfRule>
    <cfRule type="containsText" dxfId="2941" priority="12" operator="containsText" text="Exceeds">
      <formula>NOT(ISERROR(SEARCH("Exceeds",G49)))</formula>
    </cfRule>
    <cfRule type="containsText" dxfId="2940" priority="11" operator="containsText" text="N/A">
      <formula>NOT(ISERROR(SEARCH("N/A",G49)))</formula>
    </cfRule>
    <cfRule type="containsText" dxfId="2939" priority="10" operator="containsText" text="Start">
      <formula>NOT(ISERROR(SEARCH("Start",G49)))</formula>
    </cfRule>
    <cfRule type="containsText" dxfId="2938" priority="9" operator="containsText" text="Stop">
      <formula>NOT(ISERROR(SEARCH("Stop",G49)))</formula>
    </cfRule>
    <cfRule type="containsText" dxfId="2937" priority="8" operator="containsText" text="Continue">
      <formula>NOT(ISERROR(SEARCH("Continue",G49)))</formula>
    </cfRule>
  </conditionalFormatting>
  <conditionalFormatting sqref="G53">
    <cfRule type="containsText" dxfId="2936" priority="73" operator="containsText" text="Exceeds">
      <formula>NOT(ISERROR(SEARCH("Exceeds",G53)))</formula>
    </cfRule>
    <cfRule type="containsText" dxfId="2935" priority="69" operator="containsText" text="Continue">
      <formula>NOT(ISERROR(SEARCH("Continue",G53)))</formula>
    </cfRule>
    <cfRule type="containsText" dxfId="2934" priority="74" operator="containsText" text="Meets">
      <formula>NOT(ISERROR(SEARCH("Meets",G53)))</formula>
    </cfRule>
    <cfRule type="containsText" dxfId="2933" priority="71" operator="containsText" text="Start">
      <formula>NOT(ISERROR(SEARCH("Start",G53)))</formula>
    </cfRule>
    <cfRule type="containsText" dxfId="2932" priority="72" operator="containsText" text="N/A">
      <formula>NOT(ISERROR(SEARCH("N/A",G53)))</formula>
    </cfRule>
    <cfRule type="containsText" dxfId="2931" priority="75" operator="containsText" text="Under">
      <formula>NOT(ISERROR(SEARCH("Under",G53)))</formula>
    </cfRule>
    <cfRule type="containsText" dxfId="2930"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{DDD33793-0A0E-4B29-BB16-9D50E1462E77}</x14:id>
        </ext>
      </extLst>
    </cfRule>
  </conditionalFormatting>
  <conditionalFormatting sqref="G55">
    <cfRule type="containsText" dxfId="2929" priority="7" operator="containsText" text="Under">
      <formula>NOT(ISERROR(SEARCH("Under",G55)))</formula>
    </cfRule>
    <cfRule type="containsText" dxfId="2928" priority="1" operator="containsText" text="Continue">
      <formula>NOT(ISERROR(SEARCH("Continue",G55)))</formula>
    </cfRule>
    <cfRule type="containsText" dxfId="2927" priority="2" operator="containsText" text="Stop">
      <formula>NOT(ISERROR(SEARCH("Stop",G55)))</formula>
    </cfRule>
    <cfRule type="containsText" dxfId="2926" priority="3" operator="containsText" text="Start">
      <formula>NOT(ISERROR(SEARCH("Start",G55)))</formula>
    </cfRule>
    <cfRule type="containsText" dxfId="2925" priority="4" operator="containsText" text="N/A">
      <formula>NOT(ISERROR(SEARCH("N/A",G55)))</formula>
    </cfRule>
    <cfRule type="containsText" dxfId="2924" priority="5" operator="containsText" text="Exceeds">
      <formula>NOT(ISERROR(SEARCH("Exceeds",G55)))</formula>
    </cfRule>
    <cfRule type="containsText" dxfId="2923" priority="6" operator="containsText" text="Meets">
      <formula>NOT(ISERROR(SEARCH("Meets",G55)))</formula>
    </cfRule>
  </conditionalFormatting>
  <conditionalFormatting sqref="G59">
    <cfRule type="containsText" dxfId="2922" priority="67" operator="containsText" text="Under">
      <formula>NOT(ISERROR(SEARCH("Under",G59)))</formula>
    </cfRule>
    <cfRule type="containsText" dxfId="2921" priority="66" operator="containsText" text="Meets">
      <formula>NOT(ISERROR(SEARCH("Meets",G59)))</formula>
    </cfRule>
    <cfRule type="containsText" dxfId="2920" priority="65" operator="containsText" text="Exceeds">
      <formula>NOT(ISERROR(SEARCH("Exceeds",G59)))</formula>
    </cfRule>
    <cfRule type="containsText" dxfId="2919" priority="61" operator="containsText" text="Continue">
      <formula>NOT(ISERROR(SEARCH("Continue",G59)))</formula>
    </cfRule>
    <cfRule type="containsText" dxfId="2918" priority="62" operator="containsText" text="Stop">
      <formula>NOT(ISERROR(SEARCH("Stop",G59)))</formula>
    </cfRule>
    <cfRule type="containsText" dxfId="2917" priority="63" operator="containsText" text="Start">
      <formula>NOT(ISERROR(SEARCH("Start",G59)))</formula>
    </cfRule>
    <cfRule type="containsText" dxfId="2916"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{DB960F3D-F0D5-4EF1-B9B3-037FDF3BCFBF}</x14:id>
        </ext>
      </extLst>
    </cfRule>
  </conditionalFormatting>
  <conditionalFormatting sqref="G61">
    <cfRule type="containsText" dxfId="2915" priority="41" operator="containsText" text="Exceeds">
      <formula>NOT(ISERROR(SEARCH("Exceeds",G61)))</formula>
    </cfRule>
    <cfRule type="containsText" dxfId="2914" priority="42" operator="containsText" text="Meets">
      <formula>NOT(ISERROR(SEARCH("Meets",G61)))</formula>
    </cfRule>
    <cfRule type="containsText" dxfId="2913" priority="43" operator="containsText" text="Under">
      <formula>NOT(ISERROR(SEARCH("Under",G61)))</formula>
    </cfRule>
    <cfRule type="containsText" dxfId="2912" priority="40" operator="containsText" text="N/A">
      <formula>NOT(ISERROR(SEARCH("N/A",G61)))</formula>
    </cfRule>
    <cfRule type="containsText" dxfId="2911" priority="39" operator="containsText" text="Start">
      <formula>NOT(ISERROR(SEARCH("Start",G61)))</formula>
    </cfRule>
    <cfRule type="containsText" dxfId="2910" priority="38" operator="containsText" text="Stop">
      <formula>NOT(ISERROR(SEARCH("Stop",G61)))</formula>
    </cfRule>
    <cfRule type="containsText" dxfId="2909"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{15CEAE30-4CD6-41DA-9A5E-F042EB6830CF}</x14:id>
        </ext>
      </extLst>
    </cfRule>
  </conditionalFormatting>
  <conditionalFormatting sqref="G65">
    <cfRule type="containsText" dxfId="2908" priority="59" operator="containsText" text="Under">
      <formula>NOT(ISERROR(SEARCH("Under",G65)))</formula>
    </cfRule>
    <cfRule type="containsText" dxfId="2907" priority="57" operator="containsText" text="Exceeds">
      <formula>NOT(ISERROR(SEARCH("Exceeds",G65)))</formula>
    </cfRule>
    <cfRule type="containsText" dxfId="2906" priority="56" operator="containsText" text="N/A">
      <formula>NOT(ISERROR(SEARCH("N/A",G65)))</formula>
    </cfRule>
    <cfRule type="containsText" dxfId="2905" priority="53" operator="containsText" text="Continue">
      <formula>NOT(ISERROR(SEARCH("Continue",G65)))</formula>
    </cfRule>
    <cfRule type="containsText" dxfId="2904" priority="54" operator="containsText" text="Stop">
      <formula>NOT(ISERROR(SEARCH("Stop",G65)))</formula>
    </cfRule>
    <cfRule type="containsText" dxfId="2903" priority="58" operator="containsText" text="Meets">
      <formula>NOT(ISERROR(SEARCH("Meets",G65)))</formula>
    </cfRule>
    <cfRule type="containsText" dxfId="2902"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{973C9995-F900-4499-A852-9BF71A7D3A55}</x14:id>
        </ext>
      </extLst>
    </cfRule>
  </conditionalFormatting>
  <conditionalFormatting sqref="G67">
    <cfRule type="containsText" dxfId="2901" priority="45" operator="containsText" text="Continue">
      <formula>NOT(ISERROR(SEARCH("Continue",G67)))</formula>
    </cfRule>
    <cfRule type="containsText" dxfId="2900" priority="47" operator="containsText" text="Start">
      <formula>NOT(ISERROR(SEARCH("Start",G67)))</formula>
    </cfRule>
    <cfRule type="containsText" dxfId="2899" priority="48" operator="containsText" text="N/A">
      <formula>NOT(ISERROR(SEARCH("N/A",G67)))</formula>
    </cfRule>
    <cfRule type="containsText" dxfId="2898" priority="49" operator="containsText" text="Exceeds">
      <formula>NOT(ISERROR(SEARCH("Exceeds",G67)))</formula>
    </cfRule>
    <cfRule type="containsText" dxfId="2897" priority="50" operator="containsText" text="Meets">
      <formula>NOT(ISERROR(SEARCH("Meets",G67)))</formula>
    </cfRule>
    <cfRule type="containsText" dxfId="2896" priority="46" operator="containsText" text="Stop">
      <formula>NOT(ISERROR(SEARCH("Stop",G67)))</formula>
    </cfRule>
    <cfRule type="containsText" dxfId="2895"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{A90BC395-92AE-418B-812E-5A6E02747124}</x14:id>
        </ext>
      </extLst>
    </cfRule>
  </conditionalFormatting>
  <conditionalFormatting sqref="G159 G161">
    <cfRule type="containsText" dxfId="2894" priority="308" operator="containsText" text="Continue">
      <formula>NOT(ISERROR(SEARCH("Continue",G159)))</formula>
    </cfRule>
    <cfRule type="containsText" dxfId="2893" priority="309" operator="containsText" text="Stop">
      <formula>NOT(ISERROR(SEARCH("Stop",G159)))</formula>
    </cfRule>
    <cfRule type="containsText" dxfId="2892" priority="310" operator="containsText" text="Start">
      <formula>NOT(ISERROR(SEARCH("Start",G159)))</formula>
    </cfRule>
    <cfRule type="containsText" dxfId="2891" priority="311" operator="containsText" text="N/A">
      <formula>NOT(ISERROR(SEARCH("N/A",G159)))</formula>
    </cfRule>
    <cfRule type="containsText" dxfId="2890" priority="312" operator="containsText" text="Exceeds">
      <formula>NOT(ISERROR(SEARCH("Exceeds",G159)))</formula>
    </cfRule>
    <cfRule type="containsText" dxfId="2889" priority="314" operator="containsText" text="Under">
      <formula>NOT(ISERROR(SEARCH("Under",G159)))</formula>
    </cfRule>
    <cfRule type="containsText" dxfId="2888" priority="313" operator="containsText" text="Meets">
      <formula>NOT(ISERROR(SEARCH("Meets",G159)))</formula>
    </cfRule>
  </conditionalFormatting>
  <conditionalFormatting sqref="G164 G166">
    <cfRule type="containsText" dxfId="2887" priority="291" operator="containsText" text="Under">
      <formula>NOT(ISERROR(SEARCH("Under",G164)))</formula>
    </cfRule>
    <cfRule type="containsText" dxfId="2886" priority="285" operator="containsText" text="Continue">
      <formula>NOT(ISERROR(SEARCH("Continue",G164)))</formula>
    </cfRule>
    <cfRule type="containsText" dxfId="2885" priority="286" operator="containsText" text="Stop">
      <formula>NOT(ISERROR(SEARCH("Stop",G164)))</formula>
    </cfRule>
    <cfRule type="containsText" dxfId="2884" priority="288" operator="containsText" text="N/A">
      <formula>NOT(ISERROR(SEARCH("N/A",G164)))</formula>
    </cfRule>
    <cfRule type="containsText" dxfId="2883" priority="289" operator="containsText" text="Exceeds">
      <formula>NOT(ISERROR(SEARCH("Exceeds",G164)))</formula>
    </cfRule>
    <cfRule type="containsText" dxfId="2882" priority="290" operator="containsText" text="Meets">
      <formula>NOT(ISERROR(SEARCH("Meets",G164)))</formula>
    </cfRule>
    <cfRule type="containsText" dxfId="2881" priority="287" operator="containsText" text="Start">
      <formula>NOT(ISERROR(SEARCH("Start",G164)))</formula>
    </cfRule>
  </conditionalFormatting>
  <conditionalFormatting sqref="G169 G171">
    <cfRule type="containsText" dxfId="2880" priority="258" operator="containsText" text="N/A">
      <formula>NOT(ISERROR(SEARCH("N/A",G169)))</formula>
    </cfRule>
    <cfRule type="containsText" dxfId="2879" priority="259" operator="containsText" text="Exceeds">
      <formula>NOT(ISERROR(SEARCH("Exceeds",G169)))</formula>
    </cfRule>
    <cfRule type="containsText" dxfId="2878" priority="260" operator="containsText" text="Meets">
      <formula>NOT(ISERROR(SEARCH("Meets",G169)))</formula>
    </cfRule>
    <cfRule type="containsText" dxfId="2877" priority="261" operator="containsText" text="Under">
      <formula>NOT(ISERROR(SEARCH("Under",G169)))</formula>
    </cfRule>
    <cfRule type="containsText" dxfId="2876" priority="256" operator="containsText" text="Stop">
      <formula>NOT(ISERROR(SEARCH("Stop",G169)))</formula>
    </cfRule>
    <cfRule type="containsText" dxfId="2875" priority="257" operator="containsText" text="Start">
      <formula>NOT(ISERROR(SEARCH("Start",G169)))</formula>
    </cfRule>
    <cfRule type="containsText" dxfId="2874" priority="255" operator="containsText" text="Continue">
      <formula>NOT(ISERROR(SEARCH("Continue",G169)))</formula>
    </cfRule>
  </conditionalFormatting>
  <conditionalFormatting sqref="J29">
    <cfRule type="containsText" dxfId="2873" priority="374" operator="containsText" text="Continue">
      <formula>NOT(ISERROR(SEARCH("Continue",J29)))</formula>
    </cfRule>
    <cfRule type="containsText" dxfId="2872" priority="379" operator="containsText" text="Meets">
      <formula>NOT(ISERROR(SEARCH("Meets",J29)))</formula>
    </cfRule>
    <cfRule type="containsText" dxfId="2871" priority="380" operator="containsText" text="Under">
      <formula>NOT(ISERROR(SEARCH("Under",J29)))</formula>
    </cfRule>
    <cfRule type="containsText" dxfId="2870" priority="378" operator="containsText" text="Exceeds">
      <formula>NOT(ISERROR(SEARCH("Exceeds",J29)))</formula>
    </cfRule>
    <cfRule type="containsText" dxfId="2869" priority="377" operator="containsText" text="N/A">
      <formula>NOT(ISERROR(SEARCH("N/A",J29)))</formula>
    </cfRule>
    <cfRule type="containsText" dxfId="2868" priority="376" operator="containsText" text="Start">
      <formula>NOT(ISERROR(SEARCH("Start",J29)))</formula>
    </cfRule>
    <cfRule type="containsText" dxfId="2867" priority="375" operator="containsText" text="Stop">
      <formula>NOT(ISERROR(SEARCH("Stop",J29)))</formula>
    </cfRule>
  </conditionalFormatting>
  <conditionalFormatting sqref="J31">
    <cfRule type="containsText" dxfId="2866" priority="208" operator="containsText" text="Stop">
      <formula>NOT(ISERROR(SEARCH("Stop",J31)))</formula>
    </cfRule>
    <cfRule type="containsText" dxfId="2865" priority="212" operator="containsText" text="Meets">
      <formula>NOT(ISERROR(SEARCH("Meets",J31)))</formula>
    </cfRule>
    <cfRule type="containsText" dxfId="2864" priority="211" operator="containsText" text="Exceeds">
      <formula>NOT(ISERROR(SEARCH("Exceeds",J31)))</formula>
    </cfRule>
    <cfRule type="containsText" dxfId="2863" priority="210" operator="containsText" text="N/A">
      <formula>NOT(ISERROR(SEARCH("N/A",J31)))</formula>
    </cfRule>
    <cfRule type="containsText" dxfId="2862" priority="209" operator="containsText" text="Start">
      <formula>NOT(ISERROR(SEARCH("Start",J31)))</formula>
    </cfRule>
    <cfRule type="containsText" dxfId="2861" priority="207" operator="containsText" text="Continue">
      <formula>NOT(ISERROR(SEARCH("Continue",J31)))</formula>
    </cfRule>
    <cfRule type="containsText" dxfId="2860" priority="213" operator="containsText" text="Under">
      <formula>NOT(ISERROR(SEARCH("Under",J31)))</formula>
    </cfRule>
  </conditionalFormatting>
  <conditionalFormatting sqref="J35">
    <cfRule type="containsText" dxfId="2859" priority="205" operator="containsText" text="Under">
      <formula>NOT(ISERROR(SEARCH("Under",J35)))</formula>
    </cfRule>
    <cfRule type="containsText" dxfId="2858" priority="199" operator="containsText" text="Continue">
      <formula>NOT(ISERROR(SEARCH("Continue",J35)))</formula>
    </cfRule>
    <cfRule type="containsText" dxfId="2857" priority="200" operator="containsText" text="Stop">
      <formula>NOT(ISERROR(SEARCH("Stop",J35)))</formula>
    </cfRule>
    <cfRule type="containsText" dxfId="2856" priority="201" operator="containsText" text="Start">
      <formula>NOT(ISERROR(SEARCH("Start",J35)))</formula>
    </cfRule>
    <cfRule type="containsText" dxfId="2855" priority="204" operator="containsText" text="Meets">
      <formula>NOT(ISERROR(SEARCH("Meets",J35)))</formula>
    </cfRule>
    <cfRule type="containsText" dxfId="2854" priority="203" operator="containsText" text="Exceeds">
      <formula>NOT(ISERROR(SEARCH("Exceeds",J35)))</formula>
    </cfRule>
    <cfRule type="containsText" dxfId="2853" priority="202" operator="containsText" text="N/A">
      <formula>NOT(ISERROR(SEARCH("N/A",J35)))</formula>
    </cfRule>
  </conditionalFormatting>
  <conditionalFormatting sqref="J37">
    <cfRule type="containsText" dxfId="2852" priority="195" operator="containsText" text="N/A">
      <formula>NOT(ISERROR(SEARCH("N/A",J37)))</formula>
    </cfRule>
    <cfRule type="containsText" dxfId="2851" priority="196" operator="containsText" text="Exceeds">
      <formula>NOT(ISERROR(SEARCH("Exceeds",J37)))</formula>
    </cfRule>
    <cfRule type="containsText" dxfId="2850" priority="194" operator="containsText" text="Start">
      <formula>NOT(ISERROR(SEARCH("Start",J37)))</formula>
    </cfRule>
    <cfRule type="containsText" dxfId="2849" priority="193" operator="containsText" text="Stop">
      <formula>NOT(ISERROR(SEARCH("Stop",J37)))</formula>
    </cfRule>
    <cfRule type="containsText" dxfId="2848" priority="192" operator="containsText" text="Continue">
      <formula>NOT(ISERROR(SEARCH("Continue",J37)))</formula>
    </cfRule>
    <cfRule type="containsText" dxfId="2847" priority="197" operator="containsText" text="Meets">
      <formula>NOT(ISERROR(SEARCH("Meets",J37)))</formula>
    </cfRule>
    <cfRule type="containsText" dxfId="2846" priority="198" operator="containsText" text="Under">
      <formula>NOT(ISERROR(SEARCH("Under",J37)))</formula>
    </cfRule>
  </conditionalFormatting>
  <conditionalFormatting sqref="J41">
    <cfRule type="containsText" dxfId="2845" priority="189" operator="containsText" text="Meets">
      <formula>NOT(ISERROR(SEARCH("Meets",J41)))</formula>
    </cfRule>
    <cfRule type="containsText" dxfId="2844" priority="186" operator="containsText" text="Start">
      <formula>NOT(ISERROR(SEARCH("Start",J41)))</formula>
    </cfRule>
    <cfRule type="containsText" dxfId="2843" priority="187" operator="containsText" text="N/A">
      <formula>NOT(ISERROR(SEARCH("N/A",J41)))</formula>
    </cfRule>
    <cfRule type="containsText" dxfId="2842" priority="188" operator="containsText" text="Exceeds">
      <formula>NOT(ISERROR(SEARCH("Exceeds",J41)))</formula>
    </cfRule>
    <cfRule type="containsText" dxfId="2841" priority="190" operator="containsText" text="Under">
      <formula>NOT(ISERROR(SEARCH("Under",J41)))</formula>
    </cfRule>
    <cfRule type="containsText" dxfId="2840" priority="184" operator="containsText" text="Continue">
      <formula>NOT(ISERROR(SEARCH("Continue",J41)))</formula>
    </cfRule>
    <cfRule type="containsText" dxfId="2839" priority="185" operator="containsText" text="Stop">
      <formula>NOT(ISERROR(SEARCH("Stop",J41)))</formula>
    </cfRule>
  </conditionalFormatting>
  <conditionalFormatting sqref="J43">
    <cfRule type="containsText" dxfId="2838" priority="179" operator="containsText" text="Start">
      <formula>NOT(ISERROR(SEARCH("Start",J43)))</formula>
    </cfRule>
    <cfRule type="containsText" dxfId="2837" priority="182" operator="containsText" text="Meets">
      <formula>NOT(ISERROR(SEARCH("Meets",J43)))</formula>
    </cfRule>
    <cfRule type="containsText" dxfId="2836" priority="177" operator="containsText" text="Continue">
      <formula>NOT(ISERROR(SEARCH("Continue",J43)))</formula>
    </cfRule>
    <cfRule type="containsText" dxfId="2835" priority="180" operator="containsText" text="N/A">
      <formula>NOT(ISERROR(SEARCH("N/A",J43)))</formula>
    </cfRule>
    <cfRule type="containsText" dxfId="2834" priority="183" operator="containsText" text="Under">
      <formula>NOT(ISERROR(SEARCH("Under",J43)))</formula>
    </cfRule>
    <cfRule type="containsText" dxfId="2833" priority="181" operator="containsText" text="Exceeds">
      <formula>NOT(ISERROR(SEARCH("Exceeds",J43)))</formula>
    </cfRule>
    <cfRule type="containsText" dxfId="2832" priority="178" operator="containsText" text="Stop">
      <formula>NOT(ISERROR(SEARCH("Stop",J43)))</formula>
    </cfRule>
  </conditionalFormatting>
  <conditionalFormatting sqref="J47">
    <cfRule type="containsText" dxfId="2831" priority="173" operator="containsText" text="Exceeds">
      <formula>NOT(ISERROR(SEARCH("Exceeds",J47)))</formula>
    </cfRule>
    <cfRule type="containsText" dxfId="2830" priority="169" operator="containsText" text="Continue">
      <formula>NOT(ISERROR(SEARCH("Continue",J47)))</formula>
    </cfRule>
    <cfRule type="containsText" dxfId="2829" priority="170" operator="containsText" text="Stop">
      <formula>NOT(ISERROR(SEARCH("Stop",J47)))</formula>
    </cfRule>
    <cfRule type="containsText" dxfId="2828" priority="172" operator="containsText" text="N/A">
      <formula>NOT(ISERROR(SEARCH("N/A",J47)))</formula>
    </cfRule>
    <cfRule type="containsText" dxfId="2827" priority="174" operator="containsText" text="Meets">
      <formula>NOT(ISERROR(SEARCH("Meets",J47)))</formula>
    </cfRule>
    <cfRule type="containsText" dxfId="2826" priority="175" operator="containsText" text="Under">
      <formula>NOT(ISERROR(SEARCH("Under",J47)))</formula>
    </cfRule>
    <cfRule type="containsText" dxfId="2825" priority="171" operator="containsText" text="Start">
      <formula>NOT(ISERROR(SEARCH("Start",J47)))</formula>
    </cfRule>
  </conditionalFormatting>
  <conditionalFormatting sqref="J49">
    <cfRule type="containsText" dxfId="2824" priority="168" operator="containsText" text="Under">
      <formula>NOT(ISERROR(SEARCH("Under",J49)))</formula>
    </cfRule>
    <cfRule type="containsText" dxfId="2823" priority="163" operator="containsText" text="Stop">
      <formula>NOT(ISERROR(SEARCH("Stop",J49)))</formula>
    </cfRule>
    <cfRule type="containsText" dxfId="2822" priority="167" operator="containsText" text="Meets">
      <formula>NOT(ISERROR(SEARCH("Meets",J49)))</formula>
    </cfRule>
    <cfRule type="containsText" dxfId="2821" priority="164" operator="containsText" text="Start">
      <formula>NOT(ISERROR(SEARCH("Start",J49)))</formula>
    </cfRule>
    <cfRule type="containsText" dxfId="2820" priority="162" operator="containsText" text="Continue">
      <formula>NOT(ISERROR(SEARCH("Continue",J49)))</formula>
    </cfRule>
    <cfRule type="containsText" dxfId="2819" priority="165" operator="containsText" text="N/A">
      <formula>NOT(ISERROR(SEARCH("N/A",J49)))</formula>
    </cfRule>
    <cfRule type="containsText" dxfId="2818" priority="166" operator="containsText" text="Exceeds">
      <formula>NOT(ISERROR(SEARCH("Exceeds",J49)))</formula>
    </cfRule>
  </conditionalFormatting>
  <conditionalFormatting sqref="J53">
    <cfRule type="containsText" dxfId="2817" priority="154" operator="containsText" text="Continue">
      <formula>NOT(ISERROR(SEARCH("Continue",J53)))</formula>
    </cfRule>
    <cfRule type="containsText" dxfId="2816" priority="155" operator="containsText" text="Stop">
      <formula>NOT(ISERROR(SEARCH("Stop",J53)))</formula>
    </cfRule>
    <cfRule type="containsText" dxfId="2815" priority="156" operator="containsText" text="Start">
      <formula>NOT(ISERROR(SEARCH("Start",J53)))</formula>
    </cfRule>
    <cfRule type="containsText" dxfId="2814" priority="157" operator="containsText" text="N/A">
      <formula>NOT(ISERROR(SEARCH("N/A",J53)))</formula>
    </cfRule>
    <cfRule type="containsText" dxfId="2813" priority="158" operator="containsText" text="Exceeds">
      <formula>NOT(ISERROR(SEARCH("Exceeds",J53)))</formula>
    </cfRule>
    <cfRule type="containsText" dxfId="2812" priority="159" operator="containsText" text="Meets">
      <formula>NOT(ISERROR(SEARCH("Meets",J53)))</formula>
    </cfRule>
    <cfRule type="containsText" dxfId="2811" priority="160" operator="containsText" text="Under">
      <formula>NOT(ISERROR(SEARCH("Under",J53)))</formula>
    </cfRule>
  </conditionalFormatting>
  <conditionalFormatting sqref="J55">
    <cfRule type="containsText" dxfId="2810" priority="147" operator="containsText" text="Continue">
      <formula>NOT(ISERROR(SEARCH("Continue",J55)))</formula>
    </cfRule>
    <cfRule type="containsText" dxfId="2809" priority="151" operator="containsText" text="Exceeds">
      <formula>NOT(ISERROR(SEARCH("Exceeds",J55)))</formula>
    </cfRule>
    <cfRule type="containsText" dxfId="2808" priority="152" operator="containsText" text="Meets">
      <formula>NOT(ISERROR(SEARCH("Meets",J55)))</formula>
    </cfRule>
    <cfRule type="containsText" dxfId="2807" priority="153" operator="containsText" text="Under">
      <formula>NOT(ISERROR(SEARCH("Under",J55)))</formula>
    </cfRule>
    <cfRule type="containsText" dxfId="2806" priority="148" operator="containsText" text="Stop">
      <formula>NOT(ISERROR(SEARCH("Stop",J55)))</formula>
    </cfRule>
    <cfRule type="containsText" dxfId="2805" priority="149" operator="containsText" text="Start">
      <formula>NOT(ISERROR(SEARCH("Start",J55)))</formula>
    </cfRule>
    <cfRule type="containsText" dxfId="2804" priority="150" operator="containsText" text="N/A">
      <formula>NOT(ISERROR(SEARCH("N/A",J55)))</formula>
    </cfRule>
  </conditionalFormatting>
  <conditionalFormatting sqref="J59">
    <cfRule type="containsText" dxfId="2803" priority="139" operator="containsText" text="Continue">
      <formula>NOT(ISERROR(SEARCH("Continue",J59)))</formula>
    </cfRule>
    <cfRule type="containsText" dxfId="2802" priority="140" operator="containsText" text="Stop">
      <formula>NOT(ISERROR(SEARCH("Stop",J59)))</formula>
    </cfRule>
    <cfRule type="containsText" dxfId="2801" priority="141" operator="containsText" text="Start">
      <formula>NOT(ISERROR(SEARCH("Start",J59)))</formula>
    </cfRule>
    <cfRule type="containsText" dxfId="2800" priority="142" operator="containsText" text="N/A">
      <formula>NOT(ISERROR(SEARCH("N/A",J59)))</formula>
    </cfRule>
    <cfRule type="containsText" dxfId="2799" priority="143" operator="containsText" text="Exceeds">
      <formula>NOT(ISERROR(SEARCH("Exceeds",J59)))</formula>
    </cfRule>
    <cfRule type="containsText" dxfId="2798" priority="144" operator="containsText" text="Meets">
      <formula>NOT(ISERROR(SEARCH("Meets",J59)))</formula>
    </cfRule>
    <cfRule type="containsText" dxfId="2797" priority="145" operator="containsText" text="Under">
      <formula>NOT(ISERROR(SEARCH("Under",J59)))</formula>
    </cfRule>
  </conditionalFormatting>
  <conditionalFormatting sqref="J61">
    <cfRule type="containsText" dxfId="2796" priority="134" operator="containsText" text="Start">
      <formula>NOT(ISERROR(SEARCH("Start",J61)))</formula>
    </cfRule>
    <cfRule type="containsText" dxfId="2795" priority="133" operator="containsText" text="Stop">
      <formula>NOT(ISERROR(SEARCH("Stop",J61)))</formula>
    </cfRule>
    <cfRule type="containsText" dxfId="2794" priority="135" operator="containsText" text="N/A">
      <formula>NOT(ISERROR(SEARCH("N/A",J61)))</formula>
    </cfRule>
    <cfRule type="containsText" dxfId="2793" priority="132" operator="containsText" text="Continue">
      <formula>NOT(ISERROR(SEARCH("Continue",J61)))</formula>
    </cfRule>
    <cfRule type="containsText" dxfId="2792" priority="136" operator="containsText" text="Exceeds">
      <formula>NOT(ISERROR(SEARCH("Exceeds",J61)))</formula>
    </cfRule>
    <cfRule type="containsText" dxfId="2791" priority="137" operator="containsText" text="Meets">
      <formula>NOT(ISERROR(SEARCH("Meets",J61)))</formula>
    </cfRule>
    <cfRule type="containsText" dxfId="2790" priority="138" operator="containsText" text="Under">
      <formula>NOT(ISERROR(SEARCH("Under",J61)))</formula>
    </cfRule>
  </conditionalFormatting>
  <conditionalFormatting sqref="J65">
    <cfRule type="containsText" dxfId="2789" priority="127" operator="containsText" text="N/A">
      <formula>NOT(ISERROR(SEARCH("N/A",J65)))</formula>
    </cfRule>
    <cfRule type="containsText" dxfId="2788" priority="126" operator="containsText" text="Start">
      <formula>NOT(ISERROR(SEARCH("Start",J65)))</formula>
    </cfRule>
    <cfRule type="containsText" dxfId="2787" priority="125" operator="containsText" text="Stop">
      <formula>NOT(ISERROR(SEARCH("Stop",J65)))</formula>
    </cfRule>
    <cfRule type="containsText" dxfId="2786" priority="124" operator="containsText" text="Continue">
      <formula>NOT(ISERROR(SEARCH("Continue",J65)))</formula>
    </cfRule>
    <cfRule type="containsText" dxfId="2785" priority="130" operator="containsText" text="Under">
      <formula>NOT(ISERROR(SEARCH("Under",J65)))</formula>
    </cfRule>
    <cfRule type="containsText" dxfId="2784" priority="129" operator="containsText" text="Meets">
      <formula>NOT(ISERROR(SEARCH("Meets",J65)))</formula>
    </cfRule>
    <cfRule type="containsText" dxfId="2783" priority="128" operator="containsText" text="Exceeds">
      <formula>NOT(ISERROR(SEARCH("Exceeds",J65)))</formula>
    </cfRule>
  </conditionalFormatting>
  <conditionalFormatting sqref="J67">
    <cfRule type="containsText" dxfId="2782" priority="121" operator="containsText" text="Exceeds">
      <formula>NOT(ISERROR(SEARCH("Exceeds",J67)))</formula>
    </cfRule>
    <cfRule type="containsText" dxfId="2781" priority="120" operator="containsText" text="N/A">
      <formula>NOT(ISERROR(SEARCH("N/A",J67)))</formula>
    </cfRule>
    <cfRule type="containsText" dxfId="2780" priority="119" operator="containsText" text="Start">
      <formula>NOT(ISERROR(SEARCH("Start",J67)))</formula>
    </cfRule>
    <cfRule type="containsText" dxfId="2779" priority="118" operator="containsText" text="Stop">
      <formula>NOT(ISERROR(SEARCH("Stop",J67)))</formula>
    </cfRule>
    <cfRule type="containsText" dxfId="2778" priority="117" operator="containsText" text="Continue">
      <formula>NOT(ISERROR(SEARCH("Continue",J67)))</formula>
    </cfRule>
    <cfRule type="containsText" dxfId="2777" priority="123" operator="containsText" text="Under">
      <formula>NOT(ISERROR(SEARCH("Under",J67)))</formula>
    </cfRule>
    <cfRule type="containsText" dxfId="2776" priority="122" operator="containsText" text="Meets">
      <formula>NOT(ISERROR(SEARCH("Meets",J67)))</formula>
    </cfRule>
  </conditionalFormatting>
  <conditionalFormatting sqref="J154:J156">
    <cfRule type="containsText" dxfId="2775" priority="106" operator="containsText" text="Under">
      <formula>NOT(ISERROR(SEARCH("Under",J154)))</formula>
    </cfRule>
    <cfRule type="containsText" dxfId="2774" priority="105" operator="containsText" text="Meets">
      <formula>NOT(ISERROR(SEARCH("Meets",J154)))</formula>
    </cfRule>
    <cfRule type="containsText" dxfId="2773" priority="104" operator="containsText" text="Exceeds">
      <formula>NOT(ISERROR(SEARCH("Exceeds",J154)))</formula>
    </cfRule>
    <cfRule type="containsText" dxfId="2772" priority="103" operator="containsText" text="N/A">
      <formula>NOT(ISERROR(SEARCH("N/A",J154)))</formula>
    </cfRule>
    <cfRule type="containsText" dxfId="2771" priority="102" operator="containsText" text="Start">
      <formula>NOT(ISERROR(SEARCH("Start",J154)))</formula>
    </cfRule>
    <cfRule type="containsText" dxfId="2770" priority="101" operator="containsText" text="Stop">
      <formula>NOT(ISERROR(SEARCH("Stop",J154)))</formula>
    </cfRule>
    <cfRule type="containsText" dxfId="2769"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{3330E068-7FF3-4F9E-B108-C5B7AE1A0E01}</x14:id>
        </ext>
      </extLst>
    </cfRule>
    <cfRule type="dataBar" priority="107">
      <dataBar>
        <cfvo type="num" val="0"/>
        <cfvo type="num" val="1"/>
        <color theme="0" tint="-0.249977111117893"/>
      </dataBar>
      <extLst>
        <ext xmlns:x14="http://schemas.microsoft.com/office/spreadsheetml/2009/9/main" uri="{B025F937-C7B1-47D3-B67F-A62EFF666E3E}">
          <x14:id>{23964B83-1787-4F5A-A2B6-FDB2ED5B114F}</x14:id>
        </ext>
      </extLst>
    </cfRule>
  </conditionalFormatting>
  <conditionalFormatting sqref="J159 J164">
    <cfRule type="containsText" dxfId="2768" priority="435" operator="containsText" text="Stop">
      <formula>NOT(ISERROR(SEARCH("Stop",J159)))</formula>
    </cfRule>
    <cfRule type="containsText" dxfId="2767" priority="437" operator="containsText" text="N/A">
      <formula>NOT(ISERROR(SEARCH("N/A",J159)))</formula>
    </cfRule>
    <cfRule type="containsText" dxfId="2766" priority="436" operator="containsText" text="Start">
      <formula>NOT(ISERROR(SEARCH("Start",J159)))</formula>
    </cfRule>
    <cfRule type="containsText" dxfId="2765" priority="438" operator="containsText" text="Exceeds">
      <formula>NOT(ISERROR(SEARCH("Exceeds",J159)))</formula>
    </cfRule>
    <cfRule type="containsText" dxfId="2764" priority="439" operator="containsText" text="Meets">
      <formula>NOT(ISERROR(SEARCH("Meets",J159)))</formula>
    </cfRule>
    <cfRule type="containsText" dxfId="2763" priority="440" operator="containsText" text="Under">
      <formula>NOT(ISERROR(SEARCH("Under",J159)))</formula>
    </cfRule>
    <cfRule type="containsText" dxfId="2762" priority="434" operator="containsText" text="Continue">
      <formula>NOT(ISERROR(SEARCH("Continue",J159)))</formula>
    </cfRule>
  </conditionalFormatting>
  <conditionalFormatting sqref="J161">
    <cfRule type="containsText" dxfId="2761" priority="306" operator="containsText" text="Meets">
      <formula>NOT(ISERROR(SEARCH("Meets",J161)))</formula>
    </cfRule>
    <cfRule type="containsText" dxfId="2760" priority="305" operator="containsText" text="Exceeds">
      <formula>NOT(ISERROR(SEARCH("Exceeds",J161)))</formula>
    </cfRule>
    <cfRule type="containsText" dxfId="2759" priority="304" operator="containsText" text="N/A">
      <formula>NOT(ISERROR(SEARCH("N/A",J161)))</formula>
    </cfRule>
    <cfRule type="containsText" dxfId="2758" priority="303" operator="containsText" text="Start">
      <formula>NOT(ISERROR(SEARCH("Start",J161)))</formula>
    </cfRule>
    <cfRule type="containsText" dxfId="2757" priority="302" operator="containsText" text="Stop">
      <formula>NOT(ISERROR(SEARCH("Stop",J161)))</formula>
    </cfRule>
    <cfRule type="containsText" dxfId="2756" priority="301" operator="containsText" text="Continue">
      <formula>NOT(ISERROR(SEARCH("Continue",J161)))</formula>
    </cfRule>
    <cfRule type="containsText" dxfId="2755" priority="307" operator="containsText" text="Under">
      <formula>NOT(ISERROR(SEARCH("Under",J161)))</formula>
    </cfRule>
  </conditionalFormatting>
  <conditionalFormatting sqref="J166">
    <cfRule type="containsText" dxfId="2754" priority="282" operator="containsText" text="Exceeds">
      <formula>NOT(ISERROR(SEARCH("Exceeds",J166)))</formula>
    </cfRule>
    <cfRule type="containsText" dxfId="2753" priority="284" operator="containsText" text="Under">
      <formula>NOT(ISERROR(SEARCH("Under",J166)))</formula>
    </cfRule>
    <cfRule type="containsText" dxfId="2752" priority="281" operator="containsText" text="N/A">
      <formula>NOT(ISERROR(SEARCH("N/A",J166)))</formula>
    </cfRule>
    <cfRule type="containsText" dxfId="2751" priority="280" operator="containsText" text="Start">
      <formula>NOT(ISERROR(SEARCH("Start",J166)))</formula>
    </cfRule>
    <cfRule type="containsText" dxfId="2750" priority="279" operator="containsText" text="Stop">
      <formula>NOT(ISERROR(SEARCH("Stop",J166)))</formula>
    </cfRule>
    <cfRule type="containsText" dxfId="2749" priority="278" operator="containsText" text="Continue">
      <formula>NOT(ISERROR(SEARCH("Continue",J166)))</formula>
    </cfRule>
    <cfRule type="containsText" dxfId="2748" priority="283" operator="containsText" text="Meets">
      <formula>NOT(ISERROR(SEARCH("Meets",J166)))</formula>
    </cfRule>
  </conditionalFormatting>
  <conditionalFormatting sqref="J169">
    <cfRule type="containsText" dxfId="2747" priority="273" operator="containsText" text="Start">
      <formula>NOT(ISERROR(SEARCH("Start",J169)))</formula>
    </cfRule>
    <cfRule type="containsText" dxfId="2746" priority="272" operator="containsText" text="Stop">
      <formula>NOT(ISERROR(SEARCH("Stop",J169)))</formula>
    </cfRule>
    <cfRule type="containsText" dxfId="2745" priority="276" operator="containsText" text="Meets">
      <formula>NOT(ISERROR(SEARCH("Meets",J169)))</formula>
    </cfRule>
    <cfRule type="containsText" dxfId="2744" priority="271" operator="containsText" text="Continue">
      <formula>NOT(ISERROR(SEARCH("Continue",J169)))</formula>
    </cfRule>
    <cfRule type="containsText" dxfId="2743" priority="277" operator="containsText" text="Under">
      <formula>NOT(ISERROR(SEARCH("Under",J169)))</formula>
    </cfRule>
    <cfRule type="containsText" dxfId="2742" priority="274" operator="containsText" text="N/A">
      <formula>NOT(ISERROR(SEARCH("N/A",J169)))</formula>
    </cfRule>
    <cfRule type="containsText" dxfId="2741" priority="275" operator="containsText" text="Exceeds">
      <formula>NOT(ISERROR(SEARCH("Exceeds",J169)))</formula>
    </cfRule>
  </conditionalFormatting>
  <conditionalFormatting sqref="J171">
    <cfRule type="containsText" dxfId="2740" priority="248" operator="containsText" text="Continue">
      <formula>NOT(ISERROR(SEARCH("Continue",J171)))</formula>
    </cfRule>
    <cfRule type="containsText" dxfId="2739" priority="249" operator="containsText" text="Stop">
      <formula>NOT(ISERROR(SEARCH("Stop",J171)))</formula>
    </cfRule>
    <cfRule type="containsText" dxfId="2738" priority="251" operator="containsText" text="N/A">
      <formula>NOT(ISERROR(SEARCH("N/A",J171)))</formula>
    </cfRule>
    <cfRule type="containsText" dxfId="2737" priority="252" operator="containsText" text="Exceeds">
      <formula>NOT(ISERROR(SEARCH("Exceeds",J171)))</formula>
    </cfRule>
    <cfRule type="containsText" dxfId="2736" priority="250" operator="containsText" text="Start">
      <formula>NOT(ISERROR(SEARCH("Start",J171)))</formula>
    </cfRule>
    <cfRule type="containsText" dxfId="2735" priority="253" operator="containsText" text="Meets">
      <formula>NOT(ISERROR(SEARCH("Meets",J171)))</formula>
    </cfRule>
    <cfRule type="containsText" dxfId="2734" priority="254" operator="containsText" text="Under">
      <formula>NOT(ISERROR(SEARCH("Under",J171)))</formula>
    </cfRule>
  </conditionalFormatting>
  <conditionalFormatting sqref="M62 M68">
    <cfRule type="containsText" dxfId="2733" priority="448" operator="containsText" text="N/A">
      <formula>NOT(ISERROR(SEARCH("N/A",M62)))</formula>
    </cfRule>
    <cfRule type="containsText" dxfId="2732" priority="449" operator="containsText" text="Exceeds">
      <formula>NOT(ISERROR(SEARCH("Exceeds",M62)))</formula>
    </cfRule>
    <cfRule type="containsText" dxfId="2731" priority="450" operator="containsText" text="Meets">
      <formula>NOT(ISERROR(SEARCH("Meets",M62)))</formula>
    </cfRule>
    <cfRule type="containsText" dxfId="2730" priority="451" operator="containsText" text="Under">
      <formula>NOT(ISERROR(SEARCH("Under",M62)))</formula>
    </cfRule>
  </conditionalFormatting>
  <conditionalFormatting sqref="Q14:Q16">
    <cfRule type="containsText" dxfId="2729" priority="453" operator="containsText" text="Exceeds">
      <formula>NOT(ISERROR(SEARCH("Exceeds",Q14)))</formula>
    </cfRule>
    <cfRule type="containsText" dxfId="2728" priority="454" operator="containsText" text="Meets">
      <formula>NOT(ISERROR(SEARCH("Meets",Q14)))</formula>
    </cfRule>
    <cfRule type="containsText" dxfId="2727" priority="455" operator="containsText" text="Under">
      <formula>NOT(ISERROR(SEARCH("Under",Q14)))</formula>
    </cfRule>
    <cfRule type="containsText" dxfId="2726" priority="452" operator="containsText" text="N/A">
      <formula>NOT(ISERROR(SEARCH("N/A",Q14)))</formula>
    </cfRule>
  </conditionalFormatting>
  <dataValidations count="8">
    <dataValidation type="list" allowBlank="1" showInputMessage="1" showErrorMessage="1" sqref="J73:J80" xr:uid="{FA96A436-2D60-4ABF-B34C-A20683F93831}">
      <formula1>"Yes, No"</formula1>
    </dataValidation>
    <dataValidation type="list" allowBlank="1" showInputMessage="1" showErrorMessage="1" sqref="G73:G80" xr:uid="{174C824B-1C4F-48B4-AD64-D0EE2D0C3B59}">
      <formula1>"Online self-paced, Online, Hybrid, In person, Peer learning"</formula1>
    </dataValidation>
    <dataValidation type="list" allowBlank="1" showInputMessage="1" showErrorMessage="1" sqref="F178:F179" xr:uid="{C206C887-0AA7-44CA-8F41-F83AD20969B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2B66989C-3E2E-451A-85CD-9622C392C4BA}"/>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2C7E280-04CD-437E-B561-3C0FAC4FE91F}"/>
    <dataValidation allowBlank="1" showInputMessage="1" showErrorMessage="1" prompt="Cells I9 through BL9 contain the day number of the month for the Month represented in the cell block above each date cell and are auto calculated._x000a_Do not modify these cells._x000a_" sqref="A8:C8" xr:uid="{781EB20B-4C80-48BC-8467-84152D539DCF}"/>
    <dataValidation allowBlank="1" showInputMessage="1" showErrorMessage="1" prompt="Enter Company Name in cell B4._x000a_A legend is in cells I4 through AC4.  The Legend label is in cell G4." sqref="A2:C2" xr:uid="{F2A4275F-8742-4128-9141-1A21ECA2AD0E}"/>
    <dataValidation type="list" allowBlank="1" showInputMessage="1" showErrorMessage="1" sqref="L73:L80" xr:uid="{959EE49F-5487-442F-AED6-08E74488D658}">
      <formula1>"0, 1, 2, 3, 4, 5, 6, 7, 8, 9, 10"</formula1>
    </dataValidation>
  </dataValidations>
  <hyperlinks>
    <hyperlink ref="G85:H85" r:id="rId1" location=":~:text=use%20the%20method.-,Examples%20of%20SMART%20Goals,-We%20will%C2%A0create" display="Examples of SMART Goals" xr:uid="{F66C3872-B3D6-4C05-A98E-DECA94FD7940}"/>
    <hyperlink ref="G85" r:id="rId2" location=":~:text=Examples%20of%20S.M.A.R.T.%20Goals" display="https://www.forbes.com/advisor/business/smart-goals/#:~:text=Examples%20of%20S.M.A.R.T.%20Goals" xr:uid="{CBB08F1C-3570-4C99-B906-56391FB05E2C}"/>
    <hyperlink ref="I85" r:id="rId3" location=":~:text=use%20the%20method.-,Examples%20of%20SMART%20Goals,-We%20will%C2%A0create" display="Examples of SMART Goals" xr:uid="{AE455C98-B529-4EAB-93BC-C9731A1623E8}"/>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2" max="16383" man="1"/>
    <brk id="148"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1ECDFD6F-97FA-40DB-9459-BECBBAA39182}">
            <x14:dataBar minLength="0" maxLength="100" gradient="0">
              <x14:cfvo type="num">
                <xm:f>0</xm:f>
              </x14:cfvo>
              <x14:cfvo type="num">
                <xm:f>1</xm:f>
              </x14:cfvo>
              <x14:negativeFillColor rgb="FFFF0000"/>
              <x14:axisColor rgb="FF000000"/>
            </x14:dataBar>
          </x14:cfRule>
          <xm:sqref>F32 K73 K75:K80 J74:K74</xm:sqref>
        </x14:conditionalFormatting>
        <x14:conditionalFormatting xmlns:xm="http://schemas.microsoft.com/office/excel/2006/main">
          <x14:cfRule type="dataBar" id="{A01589CC-B696-4531-B2C4-9AC22DF5D241}">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3371696-7648-4D24-8EA0-E0118F50F885}">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C77EA7-C250-454D-BB0F-4161F868AE2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67AD4906-165F-4157-B8B9-A11DEA4B297A}">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30C7F8E-14D2-426C-8ADF-9014565E569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260574CA-4BAC-43E5-A9C4-D6372C5CB8E3}">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C439AF76-0A9E-4004-BC13-F324A13BF8D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5CA175D8-3629-417B-8F32-E87A167460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631F1A37-6DD4-411E-A4E7-CED8B3774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0B61A07A-BD40-489C-BF89-4EC94656A4D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74362F57-325A-4ED7-9D6C-AF02478B30F2}">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0CAC41A7-195E-401C-8023-8DCCCFB56A8A}">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ED6E276-A303-463B-BBEE-6E3A1E06CA4C}">
            <x14:dataBar minLength="0" maxLength="100" gradient="0">
              <x14:cfvo type="num">
                <xm:f>0</xm:f>
              </x14:cfvo>
              <x14:cfvo type="num">
                <xm:f>1</xm:f>
              </x14:cfvo>
              <x14:negativeFillColor rgb="FFFF0000"/>
              <x14:axisColor rgb="FF000000"/>
            </x14:dataBar>
          </x14:cfRule>
          <x14:cfRule type="dataBar" id="{AF26C502-5DAF-42B7-86FE-4B411E73384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206C7F5D-492B-48D9-87FC-044999225860}">
            <x14:dataBar minLength="0" maxLength="100" gradient="0">
              <x14:cfvo type="num">
                <xm:f>0</xm:f>
              </x14:cfvo>
              <x14:cfvo type="num">
                <xm:f>1</xm:f>
              </x14:cfvo>
              <x14:negativeFillColor rgb="FFFF0000"/>
              <x14:axisColor rgb="FF000000"/>
            </x14:dataBar>
          </x14:cfRule>
          <x14:cfRule type="dataBar" id="{7DA0927A-C55A-4E95-B2F5-BC55AD567414}">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00044D51-61FF-4A5B-8DFC-EE75A5DCE662}">
            <x14:dataBar minLength="0" maxLength="100" gradient="0">
              <x14:cfvo type="num">
                <xm:f>0</xm:f>
              </x14:cfvo>
              <x14:cfvo type="num">
                <xm:f>1</xm:f>
              </x14:cfvo>
              <x14:negativeFillColor rgb="FFFF0000"/>
              <x14:axisColor rgb="FF000000"/>
            </x14:dataBar>
          </x14:cfRule>
          <x14:cfRule type="dataBar" id="{2EA6CFE5-4D73-46CC-815D-023B6935BFE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CC0BEC30-E8EE-4173-BE6D-E4D5E0CED656}">
            <x14:dataBar minLength="0" maxLength="100" gradient="0">
              <x14:cfvo type="num">
                <xm:f>0</xm:f>
              </x14:cfvo>
              <x14:cfvo type="num">
                <xm:f>1</xm:f>
              </x14:cfvo>
              <x14:negativeFillColor rgb="FFFF0000"/>
              <x14:axisColor rgb="FF000000"/>
            </x14:dataBar>
          </x14:cfRule>
          <x14:cfRule type="dataBar" id="{F0BE1511-604E-4278-87F9-44881E4D2963}">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433A6AD4-C42E-44CA-8A6C-C093737D71B7}">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6ABD94F-2315-4FCF-B07E-439D0D6AD869}">
            <x14:dataBar minLength="0" maxLength="100" gradient="0">
              <x14:cfvo type="num">
                <xm:f>0</xm:f>
              </x14:cfvo>
              <x14:cfvo type="num">
                <xm:f>1</xm:f>
              </x14:cfvo>
              <x14:negativeFillColor rgb="FFFF0000"/>
              <x14:axisColor rgb="FF000000"/>
            </x14:dataBar>
          </x14:cfRule>
          <xm:sqref>F148:G148 G25 H147</xm:sqref>
        </x14:conditionalFormatting>
        <x14:conditionalFormatting xmlns:xm="http://schemas.microsoft.com/office/excel/2006/main">
          <x14:cfRule type="dataBar" id="{37E5FB85-472A-4F04-9612-B65B9D86FD5B}">
            <x14:dataBar minLength="0" maxLength="100" gradient="0">
              <x14:cfvo type="num">
                <xm:f>0</xm:f>
              </x14:cfvo>
              <x14:cfvo type="num">
                <xm:f>1</xm:f>
              </x14:cfvo>
              <x14:negativeFillColor rgb="FFFF0000"/>
              <x14:axisColor rgb="FF000000"/>
            </x14:dataBar>
          </x14:cfRule>
          <x14:cfRule type="dataBar" id="{21B871EE-41BC-4472-87F5-B62DE44F70A9}">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C814CB48-7F06-4C09-8FBA-D95618A8CDC3}">
            <x14:dataBar minLength="0" maxLength="100" gradient="0">
              <x14:cfvo type="num">
                <xm:f>0</xm:f>
              </x14:cfvo>
              <x14:cfvo type="num">
                <xm:f>1</xm:f>
              </x14:cfvo>
              <x14:negativeFillColor rgb="FFFF0000"/>
              <x14:axisColor rgb="FF000000"/>
            </x14:dataBar>
          </x14:cfRule>
          <x14:cfRule type="dataBar" id="{E2ECEB16-65AB-4D06-A00E-EF10F27C4C33}">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382C047-BDC8-4845-953F-A812561AB122}">
            <x14:dataBar minLength="0" maxLength="100" gradient="0">
              <x14:cfvo type="num">
                <xm:f>0</xm:f>
              </x14:cfvo>
              <x14:cfvo type="num">
                <xm:f>1</xm:f>
              </x14:cfvo>
              <x14:negativeFillColor rgb="FFFF0000"/>
              <x14:axisColor rgb="FF000000"/>
            </x14:dataBar>
          </x14:cfRule>
          <x14:cfRule type="dataBar" id="{F70A2B76-23B3-404B-ABE2-29F0AF5E733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D12A7EB-237C-4C42-8050-907788381643}">
            <x14:dataBar minLength="0" maxLength="100" gradient="0">
              <x14:cfvo type="num">
                <xm:f>0</xm:f>
              </x14:cfvo>
              <x14:cfvo type="num">
                <xm:f>1</xm:f>
              </x14:cfvo>
              <x14:negativeFillColor rgb="FFFF0000"/>
              <x14:axisColor rgb="FF000000"/>
            </x14:dataBar>
          </x14:cfRule>
          <x14:cfRule type="dataBar" id="{DDF0F8EF-126A-4BEC-B883-C2C7FD114CE0}">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73E302A-B0A0-4A21-A131-37F551B390F7}">
            <x14:dataBar minLength="0" maxLength="100" gradient="0">
              <x14:cfvo type="num">
                <xm:f>0</xm:f>
              </x14:cfvo>
              <x14:cfvo type="num">
                <xm:f>1</xm:f>
              </x14:cfvo>
              <x14:negativeFillColor rgb="FFFF0000"/>
              <x14:axisColor rgb="FF000000"/>
            </x14:dataBar>
          </x14:cfRule>
          <x14:cfRule type="dataBar" id="{0E307B75-4281-4213-91DF-3B07B74CFEA8}">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1A4DF97-AF9D-48F5-9631-4CA642F8196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ADEFF1B7-36FC-47DB-9089-E172C5FE44C0}">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10F470-3FD7-429F-B839-0B24ACB5FD8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DDD33793-0A0E-4B29-BB16-9D50E1462E77}">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DB960F3D-F0D5-4EF1-B9B3-037FDF3BCFBF}">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15CEAE30-4CD6-41DA-9A5E-F042EB6830CF}">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973C9995-F900-4499-A852-9BF71A7D3A55}">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A90BC395-92AE-418B-812E-5A6E0274712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330E068-7FF3-4F9E-B108-C5B7AE1A0E01}">
            <x14:dataBar minLength="0" maxLength="100" gradient="0">
              <x14:cfvo type="num">
                <xm:f>0</xm:f>
              </x14:cfvo>
              <x14:cfvo type="num">
                <xm:f>1</xm:f>
              </x14:cfvo>
              <x14:negativeFillColor rgb="FFFF0000"/>
              <x14:axisColor rgb="FF000000"/>
            </x14:dataBar>
          </x14:cfRule>
          <x14:cfRule type="dataBar" id="{23964B83-1787-4F5A-A2B6-FDB2ED5B114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43EE-21C8-4285-A191-44DA1FAFEB80}">
  <sheetPr codeName="Sheet9">
    <pageSetUpPr fitToPage="1"/>
  </sheetPr>
  <dimension ref="A1:DG234"/>
  <sheetViews>
    <sheetView topLeftCell="A209" zoomScale="60" zoomScaleNormal="60" zoomScalePageLayoutView="33" workbookViewId="0">
      <selection activeCell="K153" sqref="E153:K153"/>
    </sheetView>
  </sheetViews>
  <sheetFormatPr defaultColWidth="8.7109375" defaultRowHeight="15" customHeight="1"/>
  <cols>
    <col min="1" max="1" width="25.85546875" style="22" customWidth="1"/>
    <col min="2" max="2" width="11.28515625" style="22" customWidth="1"/>
    <col min="3" max="3" width="40" style="22" customWidth="1"/>
    <col min="4" max="4" width="34.140625" style="22" customWidth="1"/>
    <col min="5" max="5" width="36.28515625" style="22" customWidth="1"/>
    <col min="6" max="6" width="21.85546875" style="22" customWidth="1"/>
    <col min="7" max="7" width="35.42578125" style="22" customWidth="1"/>
    <col min="8" max="8" width="38.140625" style="22" customWidth="1"/>
    <col min="9" max="9" width="23.5703125" style="22" customWidth="1"/>
    <col min="10" max="10" width="37" style="22" customWidth="1"/>
    <col min="11" max="11" width="38" style="22" customWidth="1"/>
    <col min="12" max="12" width="41.140625" style="22" customWidth="1"/>
    <col min="13" max="13" width="81.7109375" style="22" customWidth="1"/>
    <col min="14" max="14" width="58.28515625" style="22" customWidth="1"/>
    <col min="15" max="21" width="24.42578125" style="22" customWidth="1"/>
    <col min="22" max="16384" width="8.7109375" style="22"/>
  </cols>
  <sheetData>
    <row r="1" spans="1:12" s="14" customFormat="1" ht="36.950000000000003" customHeight="1">
      <c r="A1" s="12"/>
      <c r="B1" s="12"/>
      <c r="C1" s="62"/>
      <c r="D1" s="63"/>
      <c r="E1" s="63"/>
      <c r="F1" s="64"/>
      <c r="G1" s="64"/>
      <c r="H1" s="64"/>
      <c r="I1" s="64"/>
      <c r="J1" s="65"/>
      <c r="K1" s="64"/>
      <c r="L1" s="64"/>
    </row>
    <row r="2" spans="1:12" s="14" customFormat="1" ht="84.75" customHeight="1">
      <c r="A2" s="12"/>
      <c r="B2" s="12"/>
      <c r="C2" s="15"/>
      <c r="D2" s="454" t="str">
        <f>'CC 2023'!E2</f>
        <v>Employee Name</v>
      </c>
      <c r="E2" s="454"/>
      <c r="F2" s="454"/>
      <c r="G2" s="454"/>
      <c r="H2" s="16"/>
      <c r="I2" s="16"/>
      <c r="J2" s="16"/>
      <c r="K2" s="17" t="e">
        <f>CONCATENATE($L$231,$K$193)</f>
        <v>#VALUE!</v>
      </c>
      <c r="L2" s="15"/>
    </row>
    <row r="3" spans="1:12" s="14" customFormat="1" ht="20.25">
      <c r="A3" s="12"/>
      <c r="B3" s="12"/>
      <c r="C3" s="15"/>
      <c r="D3" s="15"/>
      <c r="E3" s="15"/>
      <c r="F3" s="3"/>
      <c r="G3" s="3"/>
      <c r="H3" s="1"/>
      <c r="I3" s="1"/>
      <c r="J3" s="15"/>
      <c r="K3" s="15"/>
      <c r="L3" s="15"/>
    </row>
    <row r="4" spans="1:12" s="14" customFormat="1" ht="39.6" customHeight="1">
      <c r="A4" s="12"/>
      <c r="B4" s="12"/>
      <c r="C4" s="15"/>
      <c r="D4" s="455" t="s">
        <v>82</v>
      </c>
      <c r="E4" s="455"/>
      <c r="F4" s="455"/>
      <c r="G4" s="455"/>
      <c r="H4" s="455"/>
      <c r="I4" s="455"/>
      <c r="J4" s="455"/>
      <c r="K4" s="455"/>
      <c r="L4" s="15"/>
    </row>
    <row r="5" spans="1:12" s="14" customFormat="1" ht="42.6" customHeight="1">
      <c r="C5" s="15"/>
      <c r="D5" s="18" t="s">
        <v>83</v>
      </c>
      <c r="E5" s="456" t="s">
        <v>84</v>
      </c>
      <c r="F5" s="456"/>
      <c r="G5" s="456"/>
      <c r="H5" s="456"/>
      <c r="I5" s="456"/>
      <c r="J5" s="456"/>
      <c r="K5" s="456"/>
      <c r="L5" s="15"/>
    </row>
    <row r="6" spans="1:12" s="14" customFormat="1" ht="42.6" customHeight="1">
      <c r="C6" s="15"/>
      <c r="D6" s="18" t="s">
        <v>85</v>
      </c>
      <c r="E6" s="456" t="s">
        <v>86</v>
      </c>
      <c r="F6" s="456"/>
      <c r="G6" s="456"/>
      <c r="H6" s="456"/>
      <c r="I6" s="456"/>
      <c r="J6" s="456"/>
      <c r="K6" s="456"/>
      <c r="L6" s="15"/>
    </row>
    <row r="7" spans="1:12" s="14" customFormat="1" ht="39" customHeight="1">
      <c r="C7" s="15"/>
      <c r="D7" s="18" t="s">
        <v>87</v>
      </c>
      <c r="E7" s="457" t="s">
        <v>88</v>
      </c>
      <c r="F7" s="457"/>
      <c r="G7" s="457"/>
      <c r="H7" s="457"/>
      <c r="I7" s="457"/>
      <c r="J7" s="457"/>
      <c r="K7" s="457"/>
      <c r="L7" s="15"/>
    </row>
    <row r="8" spans="1:12" s="14" customFormat="1" ht="20.25">
      <c r="C8" s="15"/>
      <c r="D8" s="19"/>
      <c r="E8" s="4"/>
      <c r="F8" s="4"/>
      <c r="G8" s="4"/>
      <c r="H8" s="4"/>
      <c r="I8" s="4"/>
      <c r="J8" s="20"/>
      <c r="K8" s="20"/>
      <c r="L8" s="15"/>
    </row>
    <row r="9" spans="1:12" s="14" customFormat="1" ht="20.25">
      <c r="C9" s="21"/>
      <c r="D9" s="19"/>
      <c r="E9" s="15"/>
      <c r="F9" s="15"/>
      <c r="G9" s="15"/>
      <c r="H9" s="15"/>
      <c r="I9" s="15"/>
      <c r="J9" s="15"/>
      <c r="K9" s="15"/>
      <c r="L9" s="15"/>
    </row>
    <row r="10" spans="1:12" s="14" customFormat="1" ht="250.5" customHeight="1">
      <c r="C10" s="15"/>
      <c r="D10" s="458" t="s">
        <v>89</v>
      </c>
      <c r="E10" s="459" t="s">
        <v>90</v>
      </c>
      <c r="F10" s="459"/>
      <c r="G10" s="459"/>
      <c r="H10" s="459"/>
      <c r="I10" s="459"/>
      <c r="J10" s="459"/>
      <c r="K10" s="459"/>
      <c r="L10" s="15"/>
    </row>
    <row r="11" spans="1:12" s="14" customFormat="1" ht="119.1" customHeight="1">
      <c r="C11" s="15"/>
      <c r="D11" s="458"/>
      <c r="E11" s="459"/>
      <c r="F11" s="459"/>
      <c r="G11" s="459"/>
      <c r="H11" s="459"/>
      <c r="I11" s="459"/>
      <c r="J11" s="459"/>
      <c r="K11" s="459"/>
      <c r="L11" s="15"/>
    </row>
    <row r="12" spans="1:12" s="14" customFormat="1" ht="116.45" customHeight="1">
      <c r="C12" s="15"/>
      <c r="D12" s="15"/>
      <c r="E12" s="15"/>
      <c r="F12" s="4"/>
      <c r="G12" s="15"/>
      <c r="H12" s="15"/>
      <c r="I12" s="15"/>
      <c r="J12" s="15"/>
      <c r="K12" s="15"/>
      <c r="L12" s="15"/>
    </row>
    <row r="13" spans="1:12" s="14" customFormat="1" ht="27" customHeight="1">
      <c r="C13" s="15"/>
      <c r="D13" s="15"/>
      <c r="E13" s="445" t="s">
        <v>91</v>
      </c>
      <c r="F13" s="445"/>
      <c r="G13" s="445"/>
      <c r="H13" s="445"/>
      <c r="I13" s="445"/>
      <c r="J13" s="35">
        <v>1</v>
      </c>
      <c r="K13" s="15"/>
      <c r="L13" s="15"/>
    </row>
    <row r="14" spans="1:12" ht="27" customHeight="1">
      <c r="C14" s="7"/>
      <c r="D14" s="7"/>
      <c r="E14" s="446" t="s">
        <v>92</v>
      </c>
      <c r="F14" s="446"/>
      <c r="G14" s="446"/>
      <c r="H14" s="446"/>
      <c r="I14" s="446"/>
      <c r="J14" s="447">
        <v>0.3</v>
      </c>
      <c r="K14" s="7"/>
      <c r="L14" s="15"/>
    </row>
    <row r="15" spans="1:12" ht="27" customHeight="1">
      <c r="C15" s="7"/>
      <c r="D15" s="7"/>
      <c r="E15" s="450" t="s">
        <v>93</v>
      </c>
      <c r="F15" s="450"/>
      <c r="G15" s="450"/>
      <c r="H15" s="450"/>
      <c r="I15" s="450"/>
      <c r="J15" s="448"/>
      <c r="K15" s="7"/>
      <c r="L15" s="15"/>
    </row>
    <row r="16" spans="1:12" ht="27" customHeight="1">
      <c r="C16" s="7"/>
      <c r="D16" s="7"/>
      <c r="E16" s="450" t="s">
        <v>94</v>
      </c>
      <c r="F16" s="450"/>
      <c r="G16" s="450"/>
      <c r="H16" s="450"/>
      <c r="I16" s="450"/>
      <c r="J16" s="448"/>
      <c r="K16" s="7"/>
      <c r="L16" s="15"/>
    </row>
    <row r="17" spans="3:12" ht="27" customHeight="1">
      <c r="C17" s="7"/>
      <c r="D17" s="7"/>
      <c r="E17" s="450" t="s">
        <v>95</v>
      </c>
      <c r="F17" s="450"/>
      <c r="G17" s="450"/>
      <c r="H17" s="450"/>
      <c r="I17" s="450"/>
      <c r="J17" s="449"/>
      <c r="K17" s="7"/>
      <c r="L17" s="7"/>
    </row>
    <row r="18" spans="3:12" ht="27" customHeight="1">
      <c r="C18" s="7"/>
      <c r="D18" s="7"/>
      <c r="E18" s="446" t="s">
        <v>96</v>
      </c>
      <c r="F18" s="446"/>
      <c r="G18" s="446"/>
      <c r="H18" s="446"/>
      <c r="I18" s="446"/>
      <c r="J18" s="447">
        <v>0.2</v>
      </c>
      <c r="K18" s="7"/>
      <c r="L18" s="7"/>
    </row>
    <row r="19" spans="3:12" ht="27" customHeight="1">
      <c r="C19" s="7"/>
      <c r="D19" s="7"/>
      <c r="E19" s="460"/>
      <c r="F19" s="460"/>
      <c r="G19" s="460"/>
      <c r="H19" s="460"/>
      <c r="I19" s="460"/>
      <c r="J19" s="448"/>
      <c r="K19" s="7"/>
      <c r="L19" s="7"/>
    </row>
    <row r="20" spans="3:12" ht="27" customHeight="1">
      <c r="C20" s="7"/>
      <c r="D20" s="7"/>
      <c r="E20" s="460"/>
      <c r="F20" s="460"/>
      <c r="G20" s="460"/>
      <c r="H20" s="460"/>
      <c r="I20" s="460"/>
      <c r="J20" s="448"/>
      <c r="K20" s="7"/>
      <c r="L20" s="7"/>
    </row>
    <row r="21" spans="3:12" ht="27" customHeight="1">
      <c r="C21" s="7"/>
      <c r="D21" s="7"/>
      <c r="E21" s="460"/>
      <c r="F21" s="460"/>
      <c r="G21" s="460"/>
      <c r="H21" s="460"/>
      <c r="I21" s="460"/>
      <c r="J21" s="448"/>
      <c r="K21" s="7"/>
      <c r="L21" s="15"/>
    </row>
    <row r="22" spans="3:12" ht="27" customHeight="1">
      <c r="C22" s="7"/>
      <c r="D22" s="7"/>
      <c r="E22" s="460"/>
      <c r="F22" s="460"/>
      <c r="G22" s="460"/>
      <c r="H22" s="460"/>
      <c r="I22" s="460"/>
      <c r="J22" s="449"/>
      <c r="K22" s="7"/>
      <c r="L22" s="15"/>
    </row>
    <row r="23" spans="3:12" ht="27" customHeight="1">
      <c r="C23" s="7"/>
      <c r="D23" s="7"/>
      <c r="E23" s="446" t="s">
        <v>97</v>
      </c>
      <c r="F23" s="446"/>
      <c r="G23" s="446"/>
      <c r="H23" s="446"/>
      <c r="I23" s="446"/>
      <c r="J23" s="447">
        <v>0.3</v>
      </c>
      <c r="K23" s="7"/>
      <c r="L23" s="15"/>
    </row>
    <row r="24" spans="3:12" ht="27" customHeight="1">
      <c r="C24" s="7"/>
      <c r="D24" s="7"/>
      <c r="E24" s="460"/>
      <c r="F24" s="460"/>
      <c r="G24" s="460"/>
      <c r="H24" s="460"/>
      <c r="I24" s="460"/>
      <c r="J24" s="448"/>
      <c r="K24" s="7"/>
      <c r="L24" s="7"/>
    </row>
    <row r="25" spans="3:12" ht="27" customHeight="1">
      <c r="C25" s="7"/>
      <c r="D25" s="7"/>
      <c r="E25" s="460"/>
      <c r="F25" s="460"/>
      <c r="G25" s="460"/>
      <c r="H25" s="460"/>
      <c r="I25" s="460"/>
      <c r="J25" s="448"/>
      <c r="K25" s="7"/>
      <c r="L25" s="7"/>
    </row>
    <row r="26" spans="3:12" ht="27" customHeight="1">
      <c r="C26" s="7"/>
      <c r="D26" s="7"/>
      <c r="E26" s="460"/>
      <c r="F26" s="460"/>
      <c r="G26" s="460"/>
      <c r="H26" s="460"/>
      <c r="I26" s="460"/>
      <c r="J26" s="448"/>
      <c r="K26" s="7"/>
      <c r="L26" s="7"/>
    </row>
    <row r="27" spans="3:12" ht="27" customHeight="1">
      <c r="C27" s="7"/>
      <c r="D27" s="7"/>
      <c r="E27" s="460"/>
      <c r="F27" s="460"/>
      <c r="G27" s="460"/>
      <c r="H27" s="460"/>
      <c r="I27" s="460"/>
      <c r="J27" s="449"/>
      <c r="K27" s="7"/>
      <c r="L27" s="7"/>
    </row>
    <row r="28" spans="3:12" ht="27" customHeight="1">
      <c r="C28" s="7"/>
      <c r="D28" s="7"/>
      <c r="E28" s="446" t="s">
        <v>98</v>
      </c>
      <c r="F28" s="446"/>
      <c r="G28" s="446"/>
      <c r="H28" s="446"/>
      <c r="I28" s="446"/>
      <c r="J28" s="447">
        <v>0.2</v>
      </c>
      <c r="K28" s="7"/>
      <c r="L28" s="7"/>
    </row>
    <row r="29" spans="3:12" ht="27" customHeight="1">
      <c r="C29" s="7"/>
      <c r="D29" s="7"/>
      <c r="E29" s="450" t="s">
        <v>62</v>
      </c>
      <c r="F29" s="450"/>
      <c r="G29" s="450"/>
      <c r="H29" s="450"/>
      <c r="I29" s="450"/>
      <c r="J29" s="448"/>
      <c r="K29" s="7"/>
      <c r="L29" s="7"/>
    </row>
    <row r="30" spans="3:12" ht="27" customHeight="1">
      <c r="C30" s="7"/>
      <c r="D30" s="7"/>
      <c r="E30" s="450" t="s">
        <v>65</v>
      </c>
      <c r="F30" s="450"/>
      <c r="G30" s="450"/>
      <c r="H30" s="450"/>
      <c r="I30" s="450"/>
      <c r="J30" s="448"/>
      <c r="K30" s="7"/>
      <c r="L30" s="7"/>
    </row>
    <row r="31" spans="3:12" ht="27" customHeight="1">
      <c r="C31" s="7"/>
      <c r="D31" s="7"/>
      <c r="E31" s="450" t="s">
        <v>67</v>
      </c>
      <c r="F31" s="450"/>
      <c r="G31" s="450"/>
      <c r="H31" s="450"/>
      <c r="I31" s="450"/>
      <c r="J31" s="448"/>
      <c r="K31" s="7"/>
      <c r="L31" s="7"/>
    </row>
    <row r="32" spans="3:12" ht="27" customHeight="1">
      <c r="C32" s="7"/>
      <c r="D32" s="7"/>
      <c r="E32" s="450" t="s">
        <v>70</v>
      </c>
      <c r="F32" s="450"/>
      <c r="G32" s="450"/>
      <c r="H32" s="450"/>
      <c r="I32" s="450"/>
      <c r="J32" s="449"/>
      <c r="K32" s="7"/>
      <c r="L32" s="7"/>
    </row>
    <row r="33" spans="3:12" ht="17.45" customHeight="1">
      <c r="C33" s="7"/>
      <c r="D33" s="7"/>
      <c r="E33" s="7"/>
      <c r="F33" s="7"/>
      <c r="G33" s="7"/>
      <c r="H33" s="7"/>
      <c r="I33" s="7"/>
      <c r="J33" s="7"/>
      <c r="K33" s="7"/>
      <c r="L33" s="7"/>
    </row>
    <row r="34" spans="3:12" ht="14.45" customHeight="1">
      <c r="C34" s="7"/>
      <c r="D34" s="7"/>
      <c r="E34" s="7"/>
      <c r="F34" s="7"/>
      <c r="G34" s="7"/>
      <c r="H34" s="7"/>
      <c r="I34" s="7"/>
      <c r="J34" s="7"/>
      <c r="K34" s="7"/>
      <c r="L34" s="7"/>
    </row>
    <row r="35" spans="3:12" ht="14.45" customHeight="1">
      <c r="C35" s="7"/>
      <c r="D35" s="7"/>
      <c r="E35" s="7"/>
      <c r="F35" s="7"/>
      <c r="G35" s="7"/>
      <c r="H35" s="7"/>
      <c r="I35" s="7"/>
      <c r="J35" s="7"/>
      <c r="K35" s="7"/>
      <c r="L35" s="7"/>
    </row>
    <row r="36" spans="3:12" s="14" customFormat="1" ht="30.95" customHeight="1">
      <c r="C36" s="7"/>
      <c r="D36" s="15"/>
      <c r="E36" s="451" t="s">
        <v>99</v>
      </c>
      <c r="F36" s="451"/>
      <c r="G36" s="451"/>
      <c r="H36" s="451"/>
      <c r="I36" s="452">
        <v>45329</v>
      </c>
      <c r="J36" s="453"/>
      <c r="K36" s="7"/>
      <c r="L36" s="15"/>
    </row>
    <row r="37" spans="3:12" s="14" customFormat="1" ht="23.45" customHeight="1">
      <c r="C37" s="7"/>
      <c r="D37" s="15"/>
      <c r="E37" s="451" t="s">
        <v>100</v>
      </c>
      <c r="F37" s="451"/>
      <c r="G37" s="451"/>
      <c r="H37" s="451"/>
      <c r="I37" s="452" t="s">
        <v>101</v>
      </c>
      <c r="J37" s="453"/>
      <c r="K37" s="7"/>
      <c r="L37" s="15"/>
    </row>
    <row r="38" spans="3:12" s="14" customFormat="1" ht="20.100000000000001" customHeight="1">
      <c r="C38" s="7"/>
      <c r="D38" s="15"/>
      <c r="E38" s="451" t="s">
        <v>102</v>
      </c>
      <c r="F38" s="451"/>
      <c r="G38" s="451"/>
      <c r="H38" s="451"/>
      <c r="I38" s="452">
        <v>45369</v>
      </c>
      <c r="J38" s="453"/>
      <c r="K38" s="7"/>
      <c r="L38" s="15"/>
    </row>
    <row r="39" spans="3:12" s="14" customFormat="1" ht="23.45" customHeight="1">
      <c r="C39" s="7"/>
      <c r="D39" s="15"/>
      <c r="E39" s="451" t="s">
        <v>103</v>
      </c>
      <c r="F39" s="451"/>
      <c r="G39" s="451"/>
      <c r="H39" s="451"/>
      <c r="I39" s="452" t="s">
        <v>104</v>
      </c>
      <c r="J39" s="453"/>
      <c r="K39" s="7"/>
      <c r="L39" s="15"/>
    </row>
    <row r="40" spans="3:12" s="14" customFormat="1" ht="45.6" customHeight="1">
      <c r="C40" s="7"/>
      <c r="D40" s="4"/>
      <c r="E40" s="4"/>
      <c r="F40" s="23"/>
      <c r="G40" s="23"/>
      <c r="H40" s="23"/>
      <c r="I40" s="23"/>
      <c r="J40" s="7"/>
      <c r="K40" s="7"/>
      <c r="L40" s="15"/>
    </row>
    <row r="41" spans="3:12" s="14" customFormat="1" ht="20.100000000000001" customHeight="1">
      <c r="C41" s="7"/>
      <c r="D41" s="53" t="s">
        <v>105</v>
      </c>
      <c r="E41" s="15"/>
      <c r="F41" s="15"/>
      <c r="G41" s="15"/>
      <c r="H41" s="15"/>
      <c r="I41" s="15"/>
      <c r="J41" s="7"/>
      <c r="K41" s="7"/>
      <c r="L41" s="15"/>
    </row>
    <row r="42" spans="3:12" s="14" customFormat="1" ht="54.95" customHeight="1">
      <c r="C42" s="7"/>
      <c r="D42" s="461" t="s">
        <v>7</v>
      </c>
      <c r="E42" s="461"/>
      <c r="F42" s="462" t="s">
        <v>106</v>
      </c>
      <c r="G42" s="462"/>
      <c r="H42" s="462"/>
      <c r="I42" s="462"/>
      <c r="J42" s="462" t="s">
        <v>107</v>
      </c>
      <c r="K42" s="462"/>
      <c r="L42" s="15"/>
    </row>
    <row r="43" spans="3:12" s="14" customFormat="1" ht="97.5" customHeight="1">
      <c r="C43" s="7"/>
      <c r="D43" s="463" t="str">
        <f>CONCATENATE("Meeting 1 - ", TEXT(I37,"dd/mm/yyyy"))</f>
        <v>Meeting 1 - 15/02/2024</v>
      </c>
      <c r="E43" s="72" t="s">
        <v>9</v>
      </c>
      <c r="F43" s="466" t="s">
        <v>108</v>
      </c>
      <c r="G43" s="466"/>
      <c r="H43" s="466"/>
      <c r="I43" s="467">
        <v>8</v>
      </c>
      <c r="J43" s="469" t="s">
        <v>109</v>
      </c>
      <c r="K43" s="470"/>
      <c r="L43" s="15"/>
    </row>
    <row r="44" spans="3:12" s="14" customFormat="1" ht="79.5" customHeight="1">
      <c r="C44" s="15"/>
      <c r="D44" s="464"/>
      <c r="E44" s="39" t="s">
        <v>10</v>
      </c>
      <c r="F44" s="471" t="s">
        <v>110</v>
      </c>
      <c r="G44" s="471"/>
      <c r="H44" s="471"/>
      <c r="I44" s="468"/>
      <c r="J44" s="472"/>
      <c r="K44" s="473"/>
      <c r="L44" s="15"/>
    </row>
    <row r="45" spans="3:12" s="14" customFormat="1" ht="105" customHeight="1">
      <c r="C45" s="15"/>
      <c r="D45" s="464"/>
      <c r="E45" s="71" t="s">
        <v>11</v>
      </c>
      <c r="F45" s="474" t="s">
        <v>111</v>
      </c>
      <c r="G45" s="474"/>
      <c r="H45" s="474"/>
      <c r="I45" s="40">
        <v>9</v>
      </c>
      <c r="J45" s="468" t="s">
        <v>112</v>
      </c>
      <c r="K45" s="475"/>
      <c r="L45" s="15"/>
    </row>
    <row r="46" spans="3:12" s="14" customFormat="1" ht="27.95" customHeight="1">
      <c r="C46" s="15"/>
      <c r="D46" s="465"/>
      <c r="E46" s="74" t="s">
        <v>12</v>
      </c>
      <c r="F46" s="476">
        <f>AVERAGE(I43:I45)</f>
        <v>8.5</v>
      </c>
      <c r="G46" s="476"/>
      <c r="H46" s="476"/>
      <c r="I46" s="476"/>
      <c r="J46" s="476"/>
      <c r="K46" s="477"/>
      <c r="L46" s="15"/>
    </row>
    <row r="47" spans="3:12" s="14" customFormat="1" ht="74.25" customHeight="1">
      <c r="C47" s="15"/>
      <c r="D47" s="478" t="str">
        <f>CONCATENATE("Meeting 2 - ", TEXT(I38,"dd/mm/yyyy"))</f>
        <v>Meeting 2 - 18/03/2024</v>
      </c>
      <c r="E47" s="72" t="s">
        <v>9</v>
      </c>
      <c r="F47" s="466" t="s">
        <v>113</v>
      </c>
      <c r="G47" s="466"/>
      <c r="H47" s="466"/>
      <c r="I47" s="467">
        <v>9</v>
      </c>
      <c r="J47" s="469" t="s">
        <v>114</v>
      </c>
      <c r="K47" s="470"/>
      <c r="L47" s="15"/>
    </row>
    <row r="48" spans="3:12" s="14" customFormat="1" ht="74.25" customHeight="1">
      <c r="C48" s="15"/>
      <c r="D48" s="479"/>
      <c r="E48" s="39" t="s">
        <v>10</v>
      </c>
      <c r="F48" s="471" t="s">
        <v>115</v>
      </c>
      <c r="G48" s="471"/>
      <c r="H48" s="471"/>
      <c r="I48" s="468"/>
      <c r="J48" s="472" t="s">
        <v>116</v>
      </c>
      <c r="K48" s="473"/>
      <c r="L48" s="15"/>
    </row>
    <row r="49" spans="3:12" s="14" customFormat="1" ht="105" customHeight="1">
      <c r="C49" s="15"/>
      <c r="D49" s="479"/>
      <c r="E49" s="71" t="s">
        <v>11</v>
      </c>
      <c r="F49" s="471" t="s">
        <v>117</v>
      </c>
      <c r="G49" s="471"/>
      <c r="H49" s="471"/>
      <c r="I49" s="40">
        <v>9</v>
      </c>
      <c r="J49" s="468"/>
      <c r="K49" s="475"/>
      <c r="L49" s="15"/>
    </row>
    <row r="50" spans="3:12" s="14" customFormat="1" ht="27.95" customHeight="1">
      <c r="C50" s="15"/>
      <c r="D50" s="480"/>
      <c r="E50" s="74" t="s">
        <v>12</v>
      </c>
      <c r="F50" s="476">
        <f>AVERAGE(I47:I49)</f>
        <v>9</v>
      </c>
      <c r="G50" s="476"/>
      <c r="H50" s="476"/>
      <c r="I50" s="476"/>
      <c r="J50" s="476"/>
      <c r="K50" s="477"/>
      <c r="L50" s="15"/>
    </row>
    <row r="51" spans="3:12" s="14" customFormat="1" ht="45.75" customHeight="1">
      <c r="C51" s="21"/>
      <c r="D51" s="463" t="str">
        <f>CONCATENATE("Meeting 3 - ", TEXT(I39,"dd/mm/yyyy"))</f>
        <v>Meeting 3 - 15/04/2024</v>
      </c>
      <c r="E51" s="72" t="s">
        <v>9</v>
      </c>
      <c r="F51" s="466"/>
      <c r="G51" s="466"/>
      <c r="H51" s="466"/>
      <c r="I51" s="467">
        <v>0</v>
      </c>
      <c r="J51" s="469"/>
      <c r="K51" s="470"/>
      <c r="L51" s="15"/>
    </row>
    <row r="52" spans="3:12" s="14" customFormat="1" ht="45.75" customHeight="1">
      <c r="C52" s="15"/>
      <c r="D52" s="464"/>
      <c r="E52" s="39" t="s">
        <v>10</v>
      </c>
      <c r="F52" s="471"/>
      <c r="G52" s="471"/>
      <c r="H52" s="471"/>
      <c r="I52" s="468"/>
      <c r="J52" s="472"/>
      <c r="K52" s="473"/>
      <c r="L52" s="15"/>
    </row>
    <row r="53" spans="3:12" s="14" customFormat="1" ht="111" customHeight="1">
      <c r="C53" s="15"/>
      <c r="D53" s="464"/>
      <c r="E53" s="71" t="s">
        <v>11</v>
      </c>
      <c r="F53" s="471"/>
      <c r="G53" s="471"/>
      <c r="H53" s="471"/>
      <c r="I53" s="40"/>
      <c r="J53" s="468"/>
      <c r="K53" s="475"/>
      <c r="L53" s="15"/>
    </row>
    <row r="54" spans="3:12" s="14" customFormat="1" ht="27.95" customHeight="1">
      <c r="C54" s="15"/>
      <c r="D54" s="492"/>
      <c r="E54" s="73" t="s">
        <v>12</v>
      </c>
      <c r="F54" s="489">
        <f>AVERAGE(I51:I53)</f>
        <v>0</v>
      </c>
      <c r="G54" s="489"/>
      <c r="H54" s="489"/>
      <c r="I54" s="489"/>
      <c r="J54" s="489"/>
      <c r="K54" s="490"/>
      <c r="L54" s="15"/>
    </row>
    <row r="55" spans="3:12" s="14" customFormat="1" ht="20.100000000000001" customHeight="1">
      <c r="C55" s="15"/>
      <c r="D55" s="15"/>
      <c r="E55" s="15"/>
      <c r="F55" s="15"/>
      <c r="G55" s="15"/>
      <c r="H55" s="15"/>
      <c r="I55" s="15"/>
      <c r="J55" s="15"/>
      <c r="K55" s="15"/>
      <c r="L55" s="7"/>
    </row>
    <row r="56" spans="3:12" s="14" customFormat="1" ht="20.100000000000001" customHeight="1">
      <c r="C56" s="15"/>
      <c r="D56" s="15"/>
      <c r="E56" s="15"/>
      <c r="F56" s="15"/>
      <c r="G56" s="15"/>
      <c r="H56" s="15"/>
      <c r="I56" s="15"/>
      <c r="J56" s="15"/>
      <c r="K56" s="15"/>
      <c r="L56" s="7"/>
    </row>
    <row r="57" spans="3:12" s="14" customFormat="1" ht="20.100000000000001" customHeight="1">
      <c r="C57" s="15"/>
      <c r="D57" s="15"/>
      <c r="E57" s="15"/>
      <c r="F57" s="15"/>
      <c r="G57" s="15"/>
      <c r="H57" s="15"/>
      <c r="I57" s="15"/>
      <c r="J57" s="15"/>
      <c r="K57" s="15"/>
      <c r="L57" s="7"/>
    </row>
    <row r="58" spans="3:12" s="14" customFormat="1" ht="33" customHeight="1">
      <c r="C58" s="21"/>
      <c r="D58" s="491" t="s">
        <v>118</v>
      </c>
      <c r="E58" s="491"/>
      <c r="F58" s="491"/>
      <c r="G58" s="491"/>
      <c r="H58" s="491"/>
      <c r="I58" s="491"/>
      <c r="J58" s="491"/>
      <c r="K58" s="491"/>
      <c r="L58" s="7"/>
    </row>
    <row r="59" spans="3:12" s="14" customFormat="1" ht="50.1" customHeight="1">
      <c r="C59" s="21"/>
      <c r="D59" s="461" t="s">
        <v>119</v>
      </c>
      <c r="E59" s="461"/>
      <c r="F59" s="461"/>
      <c r="G59" s="461"/>
      <c r="H59" s="461"/>
      <c r="I59" s="461"/>
      <c r="J59" s="461"/>
      <c r="K59" s="461"/>
      <c r="L59" s="7"/>
    </row>
    <row r="60" spans="3:12" s="14" customFormat="1" ht="16.5" customHeight="1">
      <c r="C60" s="7"/>
      <c r="D60" s="24"/>
      <c r="E60" s="24"/>
      <c r="F60" s="24"/>
      <c r="G60" s="1"/>
      <c r="H60" s="1"/>
      <c r="I60" s="1"/>
      <c r="J60" s="1"/>
      <c r="K60" s="25"/>
      <c r="L60" s="7"/>
    </row>
    <row r="61" spans="3:12" s="14" customFormat="1" ht="48" customHeight="1">
      <c r="C61" s="7"/>
      <c r="D61" s="493" t="s">
        <v>120</v>
      </c>
      <c r="E61" s="494"/>
      <c r="F61" s="495" t="s">
        <v>121</v>
      </c>
      <c r="G61" s="496"/>
      <c r="H61" s="496"/>
      <c r="I61" s="496"/>
      <c r="J61" s="496"/>
      <c r="K61" s="497"/>
      <c r="L61" s="7"/>
    </row>
    <row r="62" spans="3:12" s="14" customFormat="1" ht="18.95" customHeight="1">
      <c r="C62" s="7"/>
      <c r="D62" s="481" t="str">
        <f>CONCATENATE("Meeting 1 - ", TEXT($I$37,"dd/mm/yyyy"))</f>
        <v>Meeting 1 - 15/02/2024</v>
      </c>
      <c r="E62" s="482"/>
      <c r="F62" s="32"/>
      <c r="G62" s="485" t="s">
        <v>106</v>
      </c>
      <c r="H62" s="486"/>
      <c r="I62" s="485" t="s">
        <v>122</v>
      </c>
      <c r="J62" s="487"/>
      <c r="K62" s="486"/>
      <c r="L62" s="7"/>
    </row>
    <row r="63" spans="3:12" s="14" customFormat="1" ht="163.5" customHeight="1">
      <c r="C63" s="7"/>
      <c r="D63" s="483"/>
      <c r="E63" s="484"/>
      <c r="F63" s="37">
        <v>0.7</v>
      </c>
      <c r="G63" s="488" t="s">
        <v>123</v>
      </c>
      <c r="H63" s="488"/>
      <c r="I63" s="488" t="s">
        <v>124</v>
      </c>
      <c r="J63" s="488"/>
      <c r="K63" s="488"/>
      <c r="L63" s="7"/>
    </row>
    <row r="64" spans="3:12" s="14" customFormat="1" ht="18" customHeight="1">
      <c r="C64" s="7"/>
      <c r="D64" s="481" t="str">
        <f>CONCATENATE("Meeting 2 - ", TEXT($I$38,"dd/mm/yyyy"))</f>
        <v>Meeting 2 - 18/03/2024</v>
      </c>
      <c r="E64" s="482"/>
      <c r="F64" s="32"/>
      <c r="G64" s="485" t="s">
        <v>106</v>
      </c>
      <c r="H64" s="486"/>
      <c r="I64" s="485" t="s">
        <v>125</v>
      </c>
      <c r="J64" s="487"/>
      <c r="K64" s="486"/>
      <c r="L64" s="7"/>
    </row>
    <row r="65" spans="3:12" s="14" customFormat="1" ht="87" customHeight="1">
      <c r="C65" s="7"/>
      <c r="D65" s="483"/>
      <c r="E65" s="484"/>
      <c r="F65" s="37">
        <v>0.8</v>
      </c>
      <c r="G65" s="488" t="s">
        <v>126</v>
      </c>
      <c r="H65" s="488"/>
      <c r="I65" s="488" t="s">
        <v>127</v>
      </c>
      <c r="J65" s="488"/>
      <c r="K65" s="488"/>
      <c r="L65" s="7"/>
    </row>
    <row r="66" spans="3:12" s="14" customFormat="1" ht="18" customHeight="1">
      <c r="C66" s="7"/>
      <c r="D66" s="481" t="str">
        <f>CONCATENATE("Meeting 3 - ", TEXT($I$39,"dd/mm/yyyy"))</f>
        <v>Meeting 3 - 15/04/2024</v>
      </c>
      <c r="E66" s="482"/>
      <c r="F66" s="32"/>
      <c r="G66" s="485" t="s">
        <v>106</v>
      </c>
      <c r="H66" s="486"/>
      <c r="I66" s="485" t="s">
        <v>107</v>
      </c>
      <c r="J66" s="487"/>
      <c r="K66" s="486"/>
      <c r="L66" s="7"/>
    </row>
    <row r="67" spans="3:12" s="14" customFormat="1" ht="48" customHeight="1">
      <c r="C67" s="7"/>
      <c r="D67" s="483"/>
      <c r="E67" s="484"/>
      <c r="F67" s="37">
        <v>0</v>
      </c>
      <c r="G67" s="488"/>
      <c r="H67" s="488"/>
      <c r="I67" s="488"/>
      <c r="J67" s="488"/>
      <c r="K67" s="488"/>
      <c r="L67" s="7"/>
    </row>
    <row r="68" spans="3:12" s="14" customFormat="1" ht="16.5" customHeight="1">
      <c r="C68" s="7"/>
      <c r="D68" s="24"/>
      <c r="E68" s="24"/>
      <c r="F68" s="24"/>
      <c r="G68" s="1"/>
      <c r="H68" s="1"/>
      <c r="I68" s="1"/>
      <c r="J68" s="1"/>
      <c r="K68" s="25"/>
      <c r="L68" s="7"/>
    </row>
    <row r="69" spans="3:12" s="14" customFormat="1" ht="60.6" customHeight="1">
      <c r="C69" s="7"/>
      <c r="D69" s="493" t="s">
        <v>128</v>
      </c>
      <c r="E69" s="494"/>
      <c r="F69" s="495" t="s">
        <v>129</v>
      </c>
      <c r="G69" s="496"/>
      <c r="H69" s="496"/>
      <c r="I69" s="496"/>
      <c r="J69" s="496"/>
      <c r="K69" s="497"/>
      <c r="L69" s="7"/>
    </row>
    <row r="70" spans="3:12" s="14" customFormat="1" ht="20.25">
      <c r="C70" s="7"/>
      <c r="D70" s="481" t="str">
        <f>CONCATENATE("Meeting 1 - ", TEXT($I$37,"dd/mm/yyyy"))</f>
        <v>Meeting 1 - 15/02/2024</v>
      </c>
      <c r="E70" s="482"/>
      <c r="F70" s="32"/>
      <c r="G70" s="485" t="s">
        <v>106</v>
      </c>
      <c r="H70" s="486"/>
      <c r="I70" s="485" t="s">
        <v>107</v>
      </c>
      <c r="J70" s="487"/>
      <c r="K70" s="486"/>
      <c r="L70" s="7"/>
    </row>
    <row r="71" spans="3:12" s="14" customFormat="1" ht="72.599999999999994" customHeight="1">
      <c r="C71" s="7"/>
      <c r="D71" s="483"/>
      <c r="E71" s="484"/>
      <c r="F71" s="37">
        <v>0.9</v>
      </c>
      <c r="G71" s="488" t="s">
        <v>130</v>
      </c>
      <c r="H71" s="488"/>
      <c r="I71" s="488" t="s">
        <v>131</v>
      </c>
      <c r="J71" s="488"/>
      <c r="K71" s="488"/>
      <c r="L71" s="7"/>
    </row>
    <row r="72" spans="3:12" s="14" customFormat="1" ht="21" customHeight="1">
      <c r="C72" s="7"/>
      <c r="D72" s="481" t="str">
        <f>CONCATENATE("Meeting 2 - ", TEXT($I$38,"dd/mm/yyyy"))</f>
        <v>Meeting 2 - 18/03/2024</v>
      </c>
      <c r="E72" s="482"/>
      <c r="F72" s="32"/>
      <c r="G72" s="485" t="s">
        <v>106</v>
      </c>
      <c r="H72" s="486"/>
      <c r="I72" s="485" t="s">
        <v>107</v>
      </c>
      <c r="J72" s="487"/>
      <c r="K72" s="486"/>
      <c r="L72" s="7"/>
    </row>
    <row r="73" spans="3:12" s="14" customFormat="1" ht="48" customHeight="1">
      <c r="C73" s="7"/>
      <c r="D73" s="483"/>
      <c r="E73" s="484"/>
      <c r="F73" s="37">
        <v>0.95</v>
      </c>
      <c r="G73" s="488" t="s">
        <v>132</v>
      </c>
      <c r="H73" s="488"/>
      <c r="I73" s="488" t="s">
        <v>133</v>
      </c>
      <c r="J73" s="488"/>
      <c r="K73" s="488"/>
      <c r="L73" s="7"/>
    </row>
    <row r="74" spans="3:12" s="14" customFormat="1" ht="21" customHeight="1">
      <c r="C74" s="7"/>
      <c r="D74" s="481" t="str">
        <f>CONCATENATE("Meeting 3 - ", TEXT($I$39,"dd/mm/yyyy"))</f>
        <v>Meeting 3 - 15/04/2024</v>
      </c>
      <c r="E74" s="482"/>
      <c r="F74" s="32"/>
      <c r="G74" s="485" t="s">
        <v>106</v>
      </c>
      <c r="H74" s="486"/>
      <c r="I74" s="485" t="s">
        <v>107</v>
      </c>
      <c r="J74" s="487"/>
      <c r="K74" s="486"/>
      <c r="L74" s="7"/>
    </row>
    <row r="75" spans="3:12" s="14" customFormat="1" ht="48" customHeight="1">
      <c r="C75" s="7"/>
      <c r="D75" s="483"/>
      <c r="E75" s="484"/>
      <c r="F75" s="37">
        <v>0</v>
      </c>
      <c r="G75" s="498"/>
      <c r="H75" s="499"/>
      <c r="I75" s="488"/>
      <c r="J75" s="488"/>
      <c r="K75" s="488"/>
      <c r="L75" s="7"/>
    </row>
    <row r="76" spans="3:12" s="14" customFormat="1" ht="14.1" customHeight="1">
      <c r="C76" s="21"/>
      <c r="D76" s="8"/>
      <c r="E76" s="8"/>
      <c r="F76" s="26"/>
      <c r="G76" s="26"/>
      <c r="H76" s="26"/>
      <c r="I76" s="26"/>
      <c r="J76" s="26"/>
      <c r="K76" s="27"/>
      <c r="L76" s="7"/>
    </row>
    <row r="77" spans="3:12" s="14" customFormat="1" ht="66.95" customHeight="1">
      <c r="C77" s="21"/>
      <c r="D77" s="493" t="s">
        <v>134</v>
      </c>
      <c r="E77" s="494"/>
      <c r="F77" s="495" t="s">
        <v>135</v>
      </c>
      <c r="G77" s="496"/>
      <c r="H77" s="496"/>
      <c r="I77" s="496"/>
      <c r="J77" s="496"/>
      <c r="K77" s="497"/>
      <c r="L77" s="7"/>
    </row>
    <row r="78" spans="3:12" s="14" customFormat="1" ht="17.45" customHeight="1">
      <c r="C78" s="21"/>
      <c r="D78" s="481" t="str">
        <f>CONCATENATE("Meeting 1 - ", TEXT($I$37,"dd/mm/yyyy"))</f>
        <v>Meeting 1 - 15/02/2024</v>
      </c>
      <c r="E78" s="482"/>
      <c r="F78" s="32"/>
      <c r="G78" s="485" t="s">
        <v>106</v>
      </c>
      <c r="H78" s="486"/>
      <c r="I78" s="485" t="s">
        <v>107</v>
      </c>
      <c r="J78" s="487"/>
      <c r="K78" s="486"/>
      <c r="L78" s="7"/>
    </row>
    <row r="79" spans="3:12" s="14" customFormat="1" ht="48.6" customHeight="1">
      <c r="C79" s="21"/>
      <c r="D79" s="483"/>
      <c r="E79" s="484"/>
      <c r="F79" s="37">
        <v>0.2</v>
      </c>
      <c r="G79" s="488" t="s">
        <v>136</v>
      </c>
      <c r="H79" s="488"/>
      <c r="I79" s="488"/>
      <c r="J79" s="488"/>
      <c r="K79" s="488"/>
      <c r="L79" s="7"/>
    </row>
    <row r="80" spans="3:12" s="14" customFormat="1" ht="17.45" customHeight="1">
      <c r="C80" s="7"/>
      <c r="D80" s="481" t="str">
        <f>CONCATENATE("Meeting 2 - ", TEXT($I$38,"dd/mm/yyyy"))</f>
        <v>Meeting 2 - 18/03/2024</v>
      </c>
      <c r="E80" s="482"/>
      <c r="F80" s="32"/>
      <c r="G80" s="485" t="s">
        <v>106</v>
      </c>
      <c r="H80" s="486"/>
      <c r="I80" s="485" t="s">
        <v>107</v>
      </c>
      <c r="J80" s="487"/>
      <c r="K80" s="486"/>
      <c r="L80" s="15"/>
    </row>
    <row r="81" spans="3:12" s="14" customFormat="1" ht="48" customHeight="1">
      <c r="C81" s="7"/>
      <c r="D81" s="483"/>
      <c r="E81" s="484"/>
      <c r="F81" s="37">
        <v>0.6</v>
      </c>
      <c r="G81" s="488" t="s">
        <v>137</v>
      </c>
      <c r="H81" s="488"/>
      <c r="I81" s="488" t="s">
        <v>138</v>
      </c>
      <c r="J81" s="488"/>
      <c r="K81" s="488"/>
      <c r="L81" s="15"/>
    </row>
    <row r="82" spans="3:12" s="14" customFormat="1" ht="24" customHeight="1">
      <c r="C82" s="7"/>
      <c r="D82" s="481" t="str">
        <f>CONCATENATE("Meeting 3 - ", TEXT($I$39,"dd/mm/yyyy"))</f>
        <v>Meeting 3 - 15/04/2024</v>
      </c>
      <c r="E82" s="482"/>
      <c r="F82" s="32"/>
      <c r="G82" s="485" t="s">
        <v>106</v>
      </c>
      <c r="H82" s="486"/>
      <c r="I82" s="485" t="s">
        <v>107</v>
      </c>
      <c r="J82" s="487"/>
      <c r="K82" s="486"/>
      <c r="L82" s="15"/>
    </row>
    <row r="83" spans="3:12" s="14" customFormat="1" ht="48" customHeight="1">
      <c r="C83" s="7"/>
      <c r="D83" s="483"/>
      <c r="E83" s="484"/>
      <c r="F83" s="37">
        <v>0</v>
      </c>
      <c r="G83" s="498"/>
      <c r="H83" s="499"/>
      <c r="I83" s="488"/>
      <c r="J83" s="488"/>
      <c r="K83" s="488"/>
      <c r="L83" s="15"/>
    </row>
    <row r="84" spans="3:12" s="14" customFormat="1" ht="12.6" customHeight="1">
      <c r="C84" s="7"/>
      <c r="D84" s="24"/>
      <c r="E84" s="24"/>
      <c r="F84" s="24"/>
      <c r="G84" s="1"/>
      <c r="H84" s="1"/>
      <c r="I84" s="1"/>
      <c r="J84" s="1"/>
      <c r="K84" s="25"/>
      <c r="L84" s="15"/>
    </row>
    <row r="85" spans="3:12" s="14" customFormat="1" ht="63.6" customHeight="1">
      <c r="C85" s="7"/>
      <c r="D85" s="493" t="s">
        <v>139</v>
      </c>
      <c r="E85" s="494"/>
      <c r="F85" s="495"/>
      <c r="G85" s="496"/>
      <c r="H85" s="496"/>
      <c r="I85" s="496"/>
      <c r="J85" s="496"/>
      <c r="K85" s="497"/>
      <c r="L85" s="15"/>
    </row>
    <row r="86" spans="3:12" s="14" customFormat="1" ht="24.75" customHeight="1">
      <c r="C86" s="7"/>
      <c r="D86" s="481" t="str">
        <f>CONCATENATE("Meeting 1 - ", TEXT($I$37,"dd/mm/yyyy"))</f>
        <v>Meeting 1 - 15/02/2024</v>
      </c>
      <c r="E86" s="482"/>
      <c r="F86" s="32"/>
      <c r="G86" s="500" t="s">
        <v>106</v>
      </c>
      <c r="H86" s="500"/>
      <c r="I86" s="485" t="s">
        <v>107</v>
      </c>
      <c r="J86" s="487"/>
      <c r="K86" s="486"/>
      <c r="L86" s="15"/>
    </row>
    <row r="87" spans="3:12" s="14" customFormat="1" ht="75" customHeight="1">
      <c r="C87" s="7"/>
      <c r="D87" s="483"/>
      <c r="E87" s="484"/>
      <c r="F87" s="37">
        <v>0</v>
      </c>
      <c r="G87" s="501"/>
      <c r="H87" s="501"/>
      <c r="I87" s="488"/>
      <c r="J87" s="488"/>
      <c r="K87" s="488"/>
      <c r="L87" s="15"/>
    </row>
    <row r="88" spans="3:12" s="14" customFormat="1" ht="20.25">
      <c r="C88" s="7"/>
      <c r="D88" s="481" t="str">
        <f>CONCATENATE("Meeting 2 - ", TEXT($I$38,"dd/mm/yyyy"))</f>
        <v>Meeting 2 - 18/03/2024</v>
      </c>
      <c r="E88" s="482"/>
      <c r="F88" s="36"/>
      <c r="G88" s="500" t="s">
        <v>106</v>
      </c>
      <c r="H88" s="500"/>
      <c r="I88" s="485" t="s">
        <v>107</v>
      </c>
      <c r="J88" s="487"/>
      <c r="K88" s="486"/>
      <c r="L88" s="15"/>
    </row>
    <row r="89" spans="3:12" s="14" customFormat="1" ht="48" customHeight="1">
      <c r="C89" s="7"/>
      <c r="D89" s="483"/>
      <c r="E89" s="484"/>
      <c r="F89" s="37">
        <v>0</v>
      </c>
      <c r="G89" s="501"/>
      <c r="H89" s="501"/>
      <c r="I89" s="501"/>
      <c r="J89" s="501"/>
      <c r="K89" s="501"/>
      <c r="L89" s="15"/>
    </row>
    <row r="90" spans="3:12" s="14" customFormat="1" ht="20.25">
      <c r="C90" s="7"/>
      <c r="D90" s="481" t="str">
        <f>CONCATENATE("Meeting 3 - ", TEXT($I$39,"dd/mm/yyyy"))</f>
        <v>Meeting 3 - 15/04/2024</v>
      </c>
      <c r="E90" s="482"/>
      <c r="F90" s="36"/>
      <c r="G90" s="500" t="s">
        <v>106</v>
      </c>
      <c r="H90" s="500"/>
      <c r="I90" s="485" t="s">
        <v>107</v>
      </c>
      <c r="J90" s="487"/>
      <c r="K90" s="486"/>
      <c r="L90" s="15"/>
    </row>
    <row r="91" spans="3:12" s="14" customFormat="1" ht="48" customHeight="1">
      <c r="C91" s="7"/>
      <c r="D91" s="483"/>
      <c r="E91" s="484"/>
      <c r="F91" s="37">
        <v>0</v>
      </c>
      <c r="G91" s="501"/>
      <c r="H91" s="501"/>
      <c r="I91" s="501"/>
      <c r="J91" s="501"/>
      <c r="K91" s="501"/>
      <c r="L91" s="15"/>
    </row>
    <row r="92" spans="3:12" s="14" customFormat="1" ht="14.1" customHeight="1">
      <c r="C92" s="7"/>
      <c r="D92" s="24"/>
      <c r="E92" s="24"/>
      <c r="F92" s="24"/>
      <c r="G92" s="1"/>
      <c r="H92" s="1"/>
      <c r="I92" s="1"/>
      <c r="J92" s="1"/>
      <c r="K92" s="2"/>
      <c r="L92" s="15"/>
    </row>
    <row r="93" spans="3:12" s="14" customFormat="1" ht="58.5" customHeight="1">
      <c r="C93" s="7"/>
      <c r="D93" s="493" t="s">
        <v>140</v>
      </c>
      <c r="E93" s="494"/>
      <c r="F93" s="495"/>
      <c r="G93" s="496"/>
      <c r="H93" s="496"/>
      <c r="I93" s="496"/>
      <c r="J93" s="496"/>
      <c r="K93" s="497"/>
      <c r="L93" s="15"/>
    </row>
    <row r="94" spans="3:12" s="14" customFormat="1" ht="20.25">
      <c r="C94" s="7"/>
      <c r="D94" s="481" t="str">
        <f>CONCATENATE("Meeting 1 - ", TEXT($I$37,"dd/mm/yyyy"))</f>
        <v>Meeting 1 - 15/02/2024</v>
      </c>
      <c r="E94" s="482"/>
      <c r="F94" s="32"/>
      <c r="G94" s="485" t="s">
        <v>106</v>
      </c>
      <c r="H94" s="486"/>
      <c r="I94" s="485" t="s">
        <v>107</v>
      </c>
      <c r="J94" s="487"/>
      <c r="K94" s="486"/>
      <c r="L94" s="15"/>
    </row>
    <row r="95" spans="3:12" s="14" customFormat="1" ht="105" customHeight="1">
      <c r="C95" s="7"/>
      <c r="D95" s="483"/>
      <c r="E95" s="484"/>
      <c r="F95" s="37">
        <v>0</v>
      </c>
      <c r="G95" s="501"/>
      <c r="H95" s="501"/>
      <c r="I95" s="488"/>
      <c r="J95" s="488"/>
      <c r="K95" s="488"/>
      <c r="L95" s="15"/>
    </row>
    <row r="96" spans="3:12" s="14" customFormat="1" ht="20.25">
      <c r="C96" s="7"/>
      <c r="D96" s="481" t="str">
        <f>CONCATENATE("Meeting 2 - ", TEXT($I$38,"dd/mm/yyyy"))</f>
        <v>Meeting 2 - 18/03/2024</v>
      </c>
      <c r="E96" s="482"/>
      <c r="F96" s="32"/>
      <c r="G96" s="485" t="s">
        <v>106</v>
      </c>
      <c r="H96" s="486"/>
      <c r="I96" s="485" t="s">
        <v>107</v>
      </c>
      <c r="J96" s="487"/>
      <c r="K96" s="486"/>
      <c r="L96" s="15"/>
    </row>
    <row r="97" spans="3:12" s="14" customFormat="1" ht="48" customHeight="1">
      <c r="C97" s="7"/>
      <c r="D97" s="483"/>
      <c r="E97" s="484"/>
      <c r="F97" s="37">
        <v>0</v>
      </c>
      <c r="G97" s="501"/>
      <c r="H97" s="501"/>
      <c r="I97" s="488"/>
      <c r="J97" s="488"/>
      <c r="K97" s="488"/>
      <c r="L97" s="15"/>
    </row>
    <row r="98" spans="3:12" s="14" customFormat="1" ht="20.25">
      <c r="C98" s="7"/>
      <c r="D98" s="481" t="str">
        <f>CONCATENATE("Meeting 3 - ", TEXT($I$39,"dd/mm/yyyy"))</f>
        <v>Meeting 3 - 15/04/2024</v>
      </c>
      <c r="E98" s="482"/>
      <c r="F98" s="32"/>
      <c r="G98" s="485" t="s">
        <v>106</v>
      </c>
      <c r="H98" s="486"/>
      <c r="I98" s="485" t="s">
        <v>107</v>
      </c>
      <c r="J98" s="487"/>
      <c r="K98" s="486"/>
      <c r="L98" s="15"/>
    </row>
    <row r="99" spans="3:12" s="14" customFormat="1" ht="48" customHeight="1">
      <c r="C99" s="7"/>
      <c r="D99" s="483"/>
      <c r="E99" s="484"/>
      <c r="F99" s="37">
        <v>0</v>
      </c>
      <c r="G99" s="502"/>
      <c r="H99" s="503"/>
      <c r="I99" s="488"/>
      <c r="J99" s="488"/>
      <c r="K99" s="488"/>
      <c r="L99" s="15"/>
    </row>
    <row r="100" spans="3:12" s="14" customFormat="1" ht="14.1" customHeight="1">
      <c r="C100" s="7"/>
      <c r="D100" s="24"/>
      <c r="E100" s="24"/>
      <c r="F100" s="24"/>
      <c r="G100" s="1"/>
      <c r="H100" s="1"/>
      <c r="I100" s="1"/>
      <c r="J100" s="1"/>
      <c r="K100" s="2"/>
      <c r="L100" s="15"/>
    </row>
    <row r="101" spans="3:12" s="14" customFormat="1" ht="48" customHeight="1">
      <c r="C101" s="7"/>
      <c r="D101" s="493" t="s">
        <v>141</v>
      </c>
      <c r="E101" s="494"/>
      <c r="F101" s="495"/>
      <c r="G101" s="496"/>
      <c r="H101" s="496"/>
      <c r="I101" s="496"/>
      <c r="J101" s="496"/>
      <c r="K101" s="497"/>
      <c r="L101" s="15"/>
    </row>
    <row r="102" spans="3:12" s="14" customFormat="1" ht="20.25">
      <c r="C102" s="7"/>
      <c r="D102" s="481" t="str">
        <f>CONCATENATE("Meeting 1 - ", TEXT($I$37,"dd/mm/yyyy"))</f>
        <v>Meeting 1 - 15/02/2024</v>
      </c>
      <c r="E102" s="482"/>
      <c r="F102" s="32"/>
      <c r="G102" s="485" t="s">
        <v>106</v>
      </c>
      <c r="H102" s="486"/>
      <c r="I102" s="485" t="s">
        <v>107</v>
      </c>
      <c r="J102" s="487"/>
      <c r="K102" s="486"/>
      <c r="L102" s="15"/>
    </row>
    <row r="103" spans="3:12" s="14" customFormat="1" ht="48" customHeight="1">
      <c r="C103" s="7"/>
      <c r="D103" s="483"/>
      <c r="E103" s="484"/>
      <c r="F103" s="37">
        <v>0</v>
      </c>
      <c r="G103" s="501"/>
      <c r="H103" s="501"/>
      <c r="I103" s="488"/>
      <c r="J103" s="488"/>
      <c r="K103" s="488"/>
      <c r="L103" s="15"/>
    </row>
    <row r="104" spans="3:12" s="14" customFormat="1" ht="20.25">
      <c r="C104" s="7"/>
      <c r="D104" s="481" t="str">
        <f>CONCATENATE("Meeting 2 - ", TEXT($I$38,"dd/mm/yyyy"))</f>
        <v>Meeting 2 - 18/03/2024</v>
      </c>
      <c r="E104" s="482"/>
      <c r="F104" s="32"/>
      <c r="G104" s="485" t="s">
        <v>106</v>
      </c>
      <c r="H104" s="486"/>
      <c r="I104" s="485" t="s">
        <v>107</v>
      </c>
      <c r="J104" s="487"/>
      <c r="K104" s="486"/>
      <c r="L104" s="15"/>
    </row>
    <row r="105" spans="3:12" s="14" customFormat="1" ht="48" customHeight="1">
      <c r="C105" s="7"/>
      <c r="D105" s="483"/>
      <c r="E105" s="484"/>
      <c r="F105" s="37">
        <v>0</v>
      </c>
      <c r="G105" s="501"/>
      <c r="H105" s="501"/>
      <c r="I105" s="488"/>
      <c r="J105" s="488"/>
      <c r="K105" s="488"/>
      <c r="L105" s="15"/>
    </row>
    <row r="106" spans="3:12" s="14" customFormat="1" ht="20.25">
      <c r="C106" s="7"/>
      <c r="D106" s="481" t="str">
        <f>CONCATENATE("Meeting 3 - ", TEXT($I$39,"dd/mm/yyyy"))</f>
        <v>Meeting 3 - 15/04/2024</v>
      </c>
      <c r="E106" s="482"/>
      <c r="F106" s="32"/>
      <c r="G106" s="485" t="s">
        <v>106</v>
      </c>
      <c r="H106" s="486"/>
      <c r="I106" s="485" t="s">
        <v>107</v>
      </c>
      <c r="J106" s="487"/>
      <c r="K106" s="486"/>
      <c r="L106" s="15"/>
    </row>
    <row r="107" spans="3:12" s="14" customFormat="1" ht="48" customHeight="1">
      <c r="C107" s="7"/>
      <c r="D107" s="483"/>
      <c r="E107" s="484"/>
      <c r="F107" s="37">
        <v>0</v>
      </c>
      <c r="G107" s="502"/>
      <c r="H107" s="503"/>
      <c r="I107" s="488"/>
      <c r="J107" s="488"/>
      <c r="K107" s="488"/>
      <c r="L107" s="15"/>
    </row>
    <row r="108" spans="3:12" s="14" customFormat="1" ht="14.1" customHeight="1">
      <c r="C108" s="7"/>
      <c r="D108" s="24"/>
      <c r="E108" s="24"/>
      <c r="F108" s="24"/>
      <c r="G108" s="1"/>
      <c r="H108" s="1"/>
      <c r="I108" s="1"/>
      <c r="J108" s="1"/>
      <c r="K108" s="2"/>
      <c r="L108" s="15"/>
    </row>
    <row r="109" spans="3:12" s="14" customFormat="1" ht="48" customHeight="1">
      <c r="C109" s="7"/>
      <c r="D109" s="493" t="s">
        <v>142</v>
      </c>
      <c r="E109" s="494"/>
      <c r="F109" s="495"/>
      <c r="G109" s="496"/>
      <c r="H109" s="496"/>
      <c r="I109" s="496"/>
      <c r="J109" s="496"/>
      <c r="K109" s="497"/>
      <c r="L109" s="15"/>
    </row>
    <row r="110" spans="3:12" s="14" customFormat="1" ht="20.25">
      <c r="C110" s="7"/>
      <c r="D110" s="481" t="str">
        <f>CONCATENATE("Meeting 1 - ", TEXT($I$37,"dd/mm/yyyy"))</f>
        <v>Meeting 1 - 15/02/2024</v>
      </c>
      <c r="E110" s="482"/>
      <c r="F110" s="32"/>
      <c r="G110" s="485" t="s">
        <v>106</v>
      </c>
      <c r="H110" s="486"/>
      <c r="I110" s="485" t="s">
        <v>107</v>
      </c>
      <c r="J110" s="487"/>
      <c r="K110" s="486"/>
      <c r="L110" s="15"/>
    </row>
    <row r="111" spans="3:12" s="14" customFormat="1" ht="48" customHeight="1">
      <c r="C111" s="7"/>
      <c r="D111" s="483"/>
      <c r="E111" s="484"/>
      <c r="F111" s="37"/>
      <c r="G111" s="501"/>
      <c r="H111" s="501"/>
      <c r="I111" s="488"/>
      <c r="J111" s="488"/>
      <c r="K111" s="488"/>
      <c r="L111" s="15"/>
    </row>
    <row r="112" spans="3:12" s="14" customFormat="1" ht="20.25">
      <c r="C112" s="7"/>
      <c r="D112" s="481" t="str">
        <f>CONCATENATE("Meeting 2 - ", TEXT($I$38,"dd/mm/yyyy"))</f>
        <v>Meeting 2 - 18/03/2024</v>
      </c>
      <c r="E112" s="482"/>
      <c r="F112" s="32"/>
      <c r="G112" s="485" t="s">
        <v>106</v>
      </c>
      <c r="H112" s="486"/>
      <c r="I112" s="485" t="s">
        <v>107</v>
      </c>
      <c r="J112" s="487"/>
      <c r="K112" s="486"/>
      <c r="L112" s="15"/>
    </row>
    <row r="113" spans="1:111" s="14" customFormat="1" ht="48" customHeight="1">
      <c r="C113" s="7"/>
      <c r="D113" s="483"/>
      <c r="E113" s="484"/>
      <c r="F113" s="37">
        <v>0</v>
      </c>
      <c r="G113" s="501"/>
      <c r="H113" s="501"/>
      <c r="I113" s="488"/>
      <c r="J113" s="488"/>
      <c r="K113" s="488"/>
      <c r="L113" s="15"/>
    </row>
    <row r="114" spans="1:111" s="14" customFormat="1" ht="20.25">
      <c r="C114" s="7"/>
      <c r="D114" s="481" t="str">
        <f>CONCATENATE("Meeting 3 - ", TEXT($I$39,"dd/mm/yyyy"))</f>
        <v>Meeting 3 - 15/04/2024</v>
      </c>
      <c r="E114" s="482"/>
      <c r="F114" s="32"/>
      <c r="G114" s="485" t="s">
        <v>106</v>
      </c>
      <c r="H114" s="486"/>
      <c r="I114" s="485" t="s">
        <v>107</v>
      </c>
      <c r="J114" s="487"/>
      <c r="K114" s="486"/>
      <c r="L114" s="15"/>
    </row>
    <row r="115" spans="1:111" s="14" customFormat="1" ht="48" customHeight="1">
      <c r="C115" s="7"/>
      <c r="D115" s="483"/>
      <c r="E115" s="484"/>
      <c r="F115" s="37">
        <v>0</v>
      </c>
      <c r="G115" s="502"/>
      <c r="H115" s="503"/>
      <c r="I115" s="488"/>
      <c r="J115" s="488"/>
      <c r="K115" s="488"/>
      <c r="L115" s="15"/>
    </row>
    <row r="116" spans="1:111" s="14" customFormat="1" ht="20.25">
      <c r="C116" s="7"/>
      <c r="D116" s="24"/>
      <c r="E116" s="24"/>
      <c r="F116" s="24"/>
      <c r="G116" s="1"/>
      <c r="H116" s="1"/>
      <c r="I116" s="1"/>
      <c r="J116" s="1"/>
      <c r="K116" s="2"/>
      <c r="L116" s="15"/>
    </row>
    <row r="117" spans="1:111" ht="29.45" customHeight="1">
      <c r="C117" s="7"/>
      <c r="D117" s="7"/>
      <c r="E117" s="7"/>
      <c r="F117" s="7"/>
      <c r="G117" s="7"/>
      <c r="H117" s="7"/>
      <c r="I117" s="7"/>
      <c r="J117" s="7"/>
      <c r="K117" s="7"/>
      <c r="L117" s="7"/>
    </row>
    <row r="118" spans="1:111" ht="29.45" customHeight="1">
      <c r="C118" s="7"/>
      <c r="D118" s="7"/>
      <c r="E118" s="7"/>
      <c r="F118" s="7"/>
      <c r="G118" s="7"/>
      <c r="H118" s="7"/>
      <c r="I118" s="7"/>
      <c r="J118" s="7"/>
      <c r="K118" s="7"/>
      <c r="L118" s="7"/>
    </row>
    <row r="119" spans="1:111" ht="21.95" customHeight="1">
      <c r="C119" s="7"/>
      <c r="D119" s="28" t="s">
        <v>143</v>
      </c>
      <c r="E119" s="13"/>
      <c r="F119" s="7"/>
      <c r="G119" s="7"/>
      <c r="H119" s="7"/>
      <c r="I119" s="7"/>
      <c r="J119" s="7"/>
      <c r="K119" s="7"/>
      <c r="L119" s="7"/>
    </row>
    <row r="120" spans="1:111" ht="38.450000000000003" customHeight="1">
      <c r="C120" s="7"/>
      <c r="D120" s="461" t="s">
        <v>144</v>
      </c>
      <c r="E120" s="461"/>
      <c r="F120" s="461"/>
      <c r="G120" s="461"/>
      <c r="H120" s="461"/>
      <c r="I120" s="461"/>
      <c r="J120" s="461"/>
      <c r="K120" s="461"/>
      <c r="L120" s="7"/>
    </row>
    <row r="121" spans="1:111" s="58" customFormat="1" ht="38.450000000000003" customHeight="1">
      <c r="A121" s="22"/>
      <c r="B121" s="22"/>
      <c r="C121" s="7"/>
      <c r="D121" s="461" t="s">
        <v>35</v>
      </c>
      <c r="E121" s="461"/>
      <c r="F121" s="504" t="s">
        <v>36</v>
      </c>
      <c r="G121" s="504"/>
      <c r="H121" s="4"/>
      <c r="I121" s="4"/>
      <c r="J121" s="4"/>
      <c r="K121" s="4"/>
      <c r="L121" s="9"/>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row>
    <row r="122" spans="1:111" s="59" customFormat="1" ht="74.25" customHeight="1">
      <c r="A122" s="60"/>
      <c r="B122" s="60"/>
      <c r="C122" s="42"/>
      <c r="D122" s="57"/>
      <c r="E122" s="434" t="s">
        <v>37</v>
      </c>
      <c r="F122" s="434"/>
      <c r="G122" s="434"/>
      <c r="H122" s="434"/>
      <c r="I122" s="434"/>
      <c r="J122" s="434"/>
      <c r="K122" s="435"/>
      <c r="L122" s="44"/>
    </row>
    <row r="123" spans="1:111" s="59" customFormat="1" ht="91.5" customHeight="1">
      <c r="A123" s="60"/>
      <c r="B123" s="60"/>
      <c r="C123" s="42"/>
      <c r="D123" s="56" t="s">
        <v>38</v>
      </c>
      <c r="E123" s="433" t="s">
        <v>145</v>
      </c>
      <c r="F123" s="433"/>
      <c r="G123" s="433"/>
      <c r="H123" s="433"/>
      <c r="I123" s="433"/>
      <c r="J123" s="433"/>
      <c r="K123" s="433"/>
      <c r="L123" s="44"/>
    </row>
    <row r="124" spans="1:111" s="60" customFormat="1" ht="53.45" customHeight="1">
      <c r="C124" s="42"/>
      <c r="D124" s="319" t="s">
        <v>40</v>
      </c>
      <c r="E124" s="432" t="s">
        <v>41</v>
      </c>
      <c r="F124" s="432"/>
      <c r="G124" s="70" t="s">
        <v>42</v>
      </c>
      <c r="H124" s="70" t="s">
        <v>43</v>
      </c>
      <c r="I124" s="432" t="s">
        <v>44</v>
      </c>
      <c r="J124" s="432"/>
      <c r="K124" s="70" t="s">
        <v>45</v>
      </c>
      <c r="L124" s="43"/>
      <c r="N124" s="61"/>
    </row>
    <row r="125" spans="1:111" s="60" customFormat="1" ht="131.1" customHeight="1">
      <c r="C125" s="42"/>
      <c r="D125" s="319"/>
      <c r="E125" s="444" t="s">
        <v>146</v>
      </c>
      <c r="F125" s="444"/>
      <c r="G125" s="230" t="s">
        <v>147</v>
      </c>
      <c r="H125" s="231" t="s">
        <v>148</v>
      </c>
      <c r="I125" s="444" t="s">
        <v>149</v>
      </c>
      <c r="J125" s="444"/>
      <c r="K125" s="231" t="s">
        <v>150</v>
      </c>
      <c r="L125" s="43"/>
      <c r="N125" s="436" t="b">
        <f>IF(K125="Fails to meet objective", 4, IF(K125="Partially meets objective", 3, IF(K125="Meets expectations", 2, IF(K125="Exceeds expectations", 1,IF(K125="To be done", "")))))</f>
        <v>0</v>
      </c>
    </row>
    <row r="126" spans="1:111" s="60" customFormat="1" ht="53.45" customHeight="1">
      <c r="C126" s="42"/>
      <c r="D126" s="319"/>
      <c r="E126" s="430" t="s">
        <v>106</v>
      </c>
      <c r="F126" s="430"/>
      <c r="G126" s="430"/>
      <c r="H126" s="430"/>
      <c r="I126" s="430"/>
      <c r="J126" s="430"/>
      <c r="K126" s="430"/>
      <c r="L126" s="43"/>
      <c r="N126" s="436"/>
    </row>
    <row r="127" spans="1:111" s="60" customFormat="1" ht="33.6" customHeight="1">
      <c r="C127" s="42"/>
      <c r="D127" s="319"/>
      <c r="E127" s="55" t="s">
        <v>51</v>
      </c>
      <c r="F127" s="431" t="s">
        <v>52</v>
      </c>
      <c r="G127" s="431"/>
      <c r="H127" s="431"/>
      <c r="I127" s="431"/>
      <c r="J127" s="431"/>
      <c r="K127" s="431"/>
      <c r="L127" s="43"/>
      <c r="N127" s="436"/>
    </row>
    <row r="128" spans="1:111" s="60" customFormat="1" ht="135.94999999999999" customHeight="1">
      <c r="C128" s="42"/>
      <c r="D128" s="56" t="str">
        <f>CONCATENATE("Meeting 1 - ", TEXT($I$37,"dd/mm/yyyy"))</f>
        <v>Meeting 1 - 15/02/2024</v>
      </c>
      <c r="E128" s="215"/>
      <c r="F128" s="429"/>
      <c r="G128" s="429"/>
      <c r="H128" s="429"/>
      <c r="I128" s="429"/>
      <c r="J128" s="429"/>
      <c r="K128" s="429"/>
      <c r="L128" s="43"/>
      <c r="N128" s="436"/>
    </row>
    <row r="129" spans="1:14" s="60" customFormat="1" ht="135.94999999999999" customHeight="1">
      <c r="C129" s="42"/>
      <c r="D129" s="56" t="str">
        <f>CONCATENATE("Meeting 2 - ", TEXT($I$38,"dd/mm/yyyy"))</f>
        <v>Meeting 2 - 18/03/2024</v>
      </c>
      <c r="E129" s="215">
        <v>0.8</v>
      </c>
      <c r="F129" s="429" t="s">
        <v>151</v>
      </c>
      <c r="G129" s="429"/>
      <c r="H129" s="429"/>
      <c r="I129" s="429"/>
      <c r="J129" s="429"/>
      <c r="K129" s="429"/>
      <c r="L129" s="43"/>
      <c r="N129" s="436"/>
    </row>
    <row r="130" spans="1:14" s="60" customFormat="1" ht="135.94999999999999" customHeight="1">
      <c r="C130" s="42"/>
      <c r="D130" s="56" t="str">
        <f>CONCATENATE("Meeting 3 - ", TEXT($I$39,"dd/mm/yyyy"))</f>
        <v>Meeting 3 - 15/04/2024</v>
      </c>
      <c r="E130" s="215"/>
      <c r="F130" s="429"/>
      <c r="G130" s="429"/>
      <c r="H130" s="429"/>
      <c r="I130" s="429"/>
      <c r="J130" s="429"/>
      <c r="K130" s="429"/>
      <c r="L130" s="43"/>
      <c r="N130" s="436"/>
    </row>
    <row r="131" spans="1:14" s="60" customFormat="1" ht="53.45" customHeight="1">
      <c r="C131" s="42"/>
      <c r="D131" s="319"/>
      <c r="E131" s="430" t="s">
        <v>107</v>
      </c>
      <c r="F131" s="430"/>
      <c r="G131" s="430"/>
      <c r="H131" s="430"/>
      <c r="I131" s="430"/>
      <c r="J131" s="430"/>
      <c r="K131" s="430"/>
      <c r="L131" s="43"/>
      <c r="N131" s="436"/>
    </row>
    <row r="132" spans="1:14" s="60" customFormat="1" ht="35.1" customHeight="1">
      <c r="C132" s="42"/>
      <c r="D132" s="319"/>
      <c r="E132" s="55" t="s">
        <v>51</v>
      </c>
      <c r="F132" s="431" t="s">
        <v>52</v>
      </c>
      <c r="G132" s="431"/>
      <c r="H132" s="431"/>
      <c r="I132" s="431"/>
      <c r="J132" s="431"/>
      <c r="K132" s="431"/>
      <c r="L132" s="43"/>
      <c r="N132" s="436"/>
    </row>
    <row r="133" spans="1:14" s="60" customFormat="1" ht="135.94999999999999" customHeight="1">
      <c r="C133" s="42"/>
      <c r="D133" s="56" t="str">
        <f>CONCATENATE("Meeting 1 - ", TEXT($I$37,"dd/mm/yyyy"))</f>
        <v>Meeting 1 - 15/02/2024</v>
      </c>
      <c r="E133" s="215"/>
      <c r="F133" s="429" t="s">
        <v>152</v>
      </c>
      <c r="G133" s="429"/>
      <c r="H133" s="429"/>
      <c r="I133" s="429"/>
      <c r="J133" s="429"/>
      <c r="K133" s="429"/>
      <c r="L133" s="43"/>
      <c r="N133" s="436"/>
    </row>
    <row r="134" spans="1:14" s="60" customFormat="1" ht="135.94999999999999" customHeight="1">
      <c r="C134" s="42"/>
      <c r="D134" s="56" t="str">
        <f>CONCATENATE("Meeting 2 - ", TEXT($I$38,"dd/mm/yyyy"))</f>
        <v>Meeting 2 - 18/03/2024</v>
      </c>
      <c r="E134" s="215">
        <v>0.8</v>
      </c>
      <c r="F134" s="429" t="s">
        <v>153</v>
      </c>
      <c r="G134" s="429"/>
      <c r="H134" s="429"/>
      <c r="I134" s="429"/>
      <c r="J134" s="429"/>
      <c r="K134" s="429"/>
      <c r="L134" s="43"/>
      <c r="N134" s="436"/>
    </row>
    <row r="135" spans="1:14" s="60" customFormat="1" ht="135.94999999999999" customHeight="1">
      <c r="C135" s="42"/>
      <c r="D135" s="56" t="str">
        <f>CONCATENATE("Meeting 3 - ", TEXT($I$39,"dd/mm/yyyy"))</f>
        <v>Meeting 3 - 15/04/2024</v>
      </c>
      <c r="E135" s="215"/>
      <c r="F135" s="429"/>
      <c r="G135" s="429"/>
      <c r="H135" s="429"/>
      <c r="I135" s="429"/>
      <c r="J135" s="429"/>
      <c r="K135" s="429"/>
      <c r="L135" s="43"/>
      <c r="N135" s="61"/>
    </row>
    <row r="136" spans="1:14" s="59" customFormat="1" ht="74.25" customHeight="1">
      <c r="A136" s="60"/>
      <c r="B136" s="60"/>
      <c r="C136" s="42"/>
      <c r="D136" s="57"/>
      <c r="E136" s="434" t="s">
        <v>53</v>
      </c>
      <c r="F136" s="434"/>
      <c r="G136" s="434"/>
      <c r="H136" s="434"/>
      <c r="I136" s="434"/>
      <c r="J136" s="434"/>
      <c r="K136" s="435"/>
      <c r="L136" s="44"/>
    </row>
    <row r="137" spans="1:14" s="59" customFormat="1" ht="91.5" customHeight="1">
      <c r="A137" s="60"/>
      <c r="B137" s="60"/>
      <c r="C137" s="42"/>
      <c r="D137" s="56" t="s">
        <v>38</v>
      </c>
      <c r="E137" s="433" t="s">
        <v>154</v>
      </c>
      <c r="F137" s="433"/>
      <c r="G137" s="433"/>
      <c r="H137" s="433"/>
      <c r="I137" s="433"/>
      <c r="J137" s="433"/>
      <c r="K137" s="433"/>
      <c r="L137" s="44"/>
    </row>
    <row r="138" spans="1:14" s="60" customFormat="1" ht="53.45" customHeight="1">
      <c r="C138" s="42"/>
      <c r="D138" s="319" t="s">
        <v>40</v>
      </c>
      <c r="E138" s="432" t="s">
        <v>41</v>
      </c>
      <c r="F138" s="432"/>
      <c r="G138" s="70" t="s">
        <v>42</v>
      </c>
      <c r="H138" s="70" t="s">
        <v>43</v>
      </c>
      <c r="I138" s="432" t="s">
        <v>44</v>
      </c>
      <c r="J138" s="432"/>
      <c r="K138" s="70" t="s">
        <v>45</v>
      </c>
      <c r="L138" s="43"/>
      <c r="N138" s="61"/>
    </row>
    <row r="139" spans="1:14" s="60" customFormat="1" ht="131.1" customHeight="1">
      <c r="C139" s="42"/>
      <c r="D139" s="319"/>
      <c r="E139" s="439" t="s">
        <v>155</v>
      </c>
      <c r="F139" s="440"/>
      <c r="G139" s="143" t="s">
        <v>156</v>
      </c>
      <c r="H139" s="228" t="s">
        <v>157</v>
      </c>
      <c r="I139" s="429" t="s">
        <v>158</v>
      </c>
      <c r="J139" s="429"/>
      <c r="K139" s="228" t="s">
        <v>104</v>
      </c>
      <c r="L139" s="43"/>
      <c r="N139" s="436" t="b">
        <f>IF(K139="Fails to meet objective", 4, IF(K139="Partially meets objective", 3, IF(K139="Meets expectations", 2, IF(K139="Exceeds expectations", 1,IF(K139="To be done", "")))))</f>
        <v>0</v>
      </c>
    </row>
    <row r="140" spans="1:14" s="60" customFormat="1" ht="53.45" customHeight="1">
      <c r="C140" s="42"/>
      <c r="D140" s="319"/>
      <c r="E140" s="430" t="s">
        <v>106</v>
      </c>
      <c r="F140" s="430"/>
      <c r="G140" s="430"/>
      <c r="H140" s="430"/>
      <c r="I140" s="430"/>
      <c r="J140" s="430"/>
      <c r="K140" s="430"/>
      <c r="L140" s="43"/>
      <c r="N140" s="436"/>
    </row>
    <row r="141" spans="1:14" s="60" customFormat="1" ht="33.6" customHeight="1">
      <c r="C141" s="42"/>
      <c r="D141" s="319"/>
      <c r="E141" s="55" t="s">
        <v>51</v>
      </c>
      <c r="F141" s="431" t="s">
        <v>52</v>
      </c>
      <c r="G141" s="431"/>
      <c r="H141" s="431"/>
      <c r="I141" s="431"/>
      <c r="J141" s="431"/>
      <c r="K141" s="431"/>
      <c r="L141" s="43"/>
      <c r="N141" s="436"/>
    </row>
    <row r="142" spans="1:14" s="60" customFormat="1" ht="135.94999999999999" customHeight="1">
      <c r="C142" s="42"/>
      <c r="D142" s="56" t="str">
        <f>CONCATENATE("Meeting 1 - ", TEXT($I$37,"dd/mm/yyyy"))</f>
        <v>Meeting 1 - 15/02/2024</v>
      </c>
      <c r="E142" s="215"/>
      <c r="F142" s="437"/>
      <c r="G142" s="437"/>
      <c r="H142" s="437"/>
      <c r="I142" s="437"/>
      <c r="J142" s="437"/>
      <c r="K142" s="437"/>
      <c r="L142" s="43"/>
      <c r="N142" s="436"/>
    </row>
    <row r="143" spans="1:14" s="60" customFormat="1" ht="135.94999999999999" customHeight="1">
      <c r="C143" s="42"/>
      <c r="D143" s="56" t="str">
        <f>CONCATENATE("Meeting 2 - ", TEXT($I$38,"dd/mm/yyyy"))</f>
        <v>Meeting 2 - 18/03/2024</v>
      </c>
      <c r="E143" s="215">
        <v>1</v>
      </c>
      <c r="F143" s="437" t="s">
        <v>159</v>
      </c>
      <c r="G143" s="437"/>
      <c r="H143" s="437"/>
      <c r="I143" s="437"/>
      <c r="J143" s="437"/>
      <c r="K143" s="437"/>
      <c r="L143" s="43"/>
      <c r="N143" s="436"/>
    </row>
    <row r="144" spans="1:14" s="60" customFormat="1" ht="135.94999999999999" customHeight="1">
      <c r="C144" s="42"/>
      <c r="D144" s="56" t="str">
        <f>CONCATENATE("Meeting 3 - ", TEXT($I$39,"dd/mm/yyyy"))</f>
        <v>Meeting 3 - 15/04/2024</v>
      </c>
      <c r="E144" s="215"/>
      <c r="F144" s="441"/>
      <c r="G144" s="442"/>
      <c r="H144" s="442"/>
      <c r="I144" s="442"/>
      <c r="J144" s="442"/>
      <c r="K144" s="443"/>
      <c r="L144" s="43"/>
      <c r="N144" s="436"/>
    </row>
    <row r="145" spans="1:14" s="60" customFormat="1" ht="53.45" customHeight="1">
      <c r="C145" s="42"/>
      <c r="D145" s="319"/>
      <c r="E145" s="430" t="s">
        <v>107</v>
      </c>
      <c r="F145" s="430"/>
      <c r="G145" s="430"/>
      <c r="H145" s="430"/>
      <c r="I145" s="430"/>
      <c r="J145" s="430"/>
      <c r="K145" s="430"/>
      <c r="L145" s="43"/>
      <c r="N145" s="436"/>
    </row>
    <row r="146" spans="1:14" s="60" customFormat="1" ht="35.1" customHeight="1">
      <c r="C146" s="42"/>
      <c r="D146" s="319"/>
      <c r="E146" s="55" t="s">
        <v>51</v>
      </c>
      <c r="F146" s="431" t="s">
        <v>52</v>
      </c>
      <c r="G146" s="431"/>
      <c r="H146" s="431"/>
      <c r="I146" s="431"/>
      <c r="J146" s="431"/>
      <c r="K146" s="431"/>
      <c r="L146" s="43"/>
      <c r="N146" s="436"/>
    </row>
    <row r="147" spans="1:14" s="60" customFormat="1" ht="135.94999999999999" customHeight="1">
      <c r="C147" s="42"/>
      <c r="D147" s="56" t="str">
        <f>CONCATENATE("Meeting 1 - ", TEXT($I$37,"dd/mm/yyyy"))</f>
        <v>Meeting 1 - 15/02/2024</v>
      </c>
      <c r="E147" s="215"/>
      <c r="F147" s="437"/>
      <c r="G147" s="437"/>
      <c r="H147" s="437"/>
      <c r="I147" s="437"/>
      <c r="J147" s="437"/>
      <c r="K147" s="437"/>
      <c r="L147" s="43"/>
      <c r="N147" s="436"/>
    </row>
    <row r="148" spans="1:14" s="60" customFormat="1" ht="135.94999999999999" customHeight="1">
      <c r="C148" s="42"/>
      <c r="D148" s="56" t="str">
        <f>CONCATENATE("Meeting 2 - ", TEXT($I$38,"dd/mm/yyyy"))</f>
        <v>Meeting 2 - 18/03/2024</v>
      </c>
      <c r="E148" s="215">
        <v>1</v>
      </c>
      <c r="F148" s="437" t="s">
        <v>160</v>
      </c>
      <c r="G148" s="437"/>
      <c r="H148" s="437"/>
      <c r="I148" s="437"/>
      <c r="J148" s="437"/>
      <c r="K148" s="437"/>
      <c r="L148" s="43"/>
      <c r="N148" s="436"/>
    </row>
    <row r="149" spans="1:14" s="60" customFormat="1" ht="135.94999999999999" customHeight="1">
      <c r="C149" s="42"/>
      <c r="D149" s="56" t="str">
        <f>CONCATENATE("Meeting 3 - ", TEXT($I$39,"dd/mm/yyyy"))</f>
        <v>Meeting 3 - 15/04/2024</v>
      </c>
      <c r="E149" s="215"/>
      <c r="F149" s="441"/>
      <c r="G149" s="442"/>
      <c r="H149" s="442"/>
      <c r="I149" s="442"/>
      <c r="J149" s="442"/>
      <c r="K149" s="443"/>
      <c r="L149" s="43"/>
      <c r="N149" s="61"/>
    </row>
    <row r="150" spans="1:14" s="59" customFormat="1" ht="74.25" customHeight="1">
      <c r="A150" s="60"/>
      <c r="B150" s="60"/>
      <c r="C150" s="42"/>
      <c r="D150" s="57"/>
      <c r="E150" s="434" t="s">
        <v>54</v>
      </c>
      <c r="F150" s="434"/>
      <c r="G150" s="434"/>
      <c r="H150" s="434"/>
      <c r="I150" s="434"/>
      <c r="J150" s="434"/>
      <c r="K150" s="435"/>
      <c r="L150" s="44"/>
    </row>
    <row r="151" spans="1:14" s="59" customFormat="1" ht="91.5" customHeight="1">
      <c r="A151" s="60"/>
      <c r="B151" s="60"/>
      <c r="C151" s="42"/>
      <c r="D151" s="56" t="s">
        <v>38</v>
      </c>
      <c r="E151" s="433" t="s">
        <v>161</v>
      </c>
      <c r="F151" s="433"/>
      <c r="G151" s="433"/>
      <c r="H151" s="433"/>
      <c r="I151" s="433"/>
      <c r="J151" s="433"/>
      <c r="K151" s="433"/>
      <c r="L151" s="44"/>
    </row>
    <row r="152" spans="1:14" s="60" customFormat="1" ht="53.45" customHeight="1">
      <c r="C152" s="42"/>
      <c r="D152" s="319" t="s">
        <v>40</v>
      </c>
      <c r="E152" s="432" t="s">
        <v>41</v>
      </c>
      <c r="F152" s="432"/>
      <c r="G152" s="70" t="s">
        <v>42</v>
      </c>
      <c r="H152" s="70" t="s">
        <v>43</v>
      </c>
      <c r="I152" s="432" t="s">
        <v>44</v>
      </c>
      <c r="J152" s="432"/>
      <c r="K152" s="70" t="s">
        <v>45</v>
      </c>
      <c r="L152" s="43"/>
      <c r="N152" s="61"/>
    </row>
    <row r="153" spans="1:14" s="60" customFormat="1" ht="131.1" customHeight="1">
      <c r="C153" s="42"/>
      <c r="D153" s="319"/>
      <c r="E153" s="429" t="s">
        <v>162</v>
      </c>
      <c r="F153" s="438"/>
      <c r="G153" s="143" t="s">
        <v>163</v>
      </c>
      <c r="H153" s="228" t="s">
        <v>164</v>
      </c>
      <c r="I153" s="438" t="s">
        <v>165</v>
      </c>
      <c r="J153" s="438"/>
      <c r="K153" s="229" t="s">
        <v>104</v>
      </c>
      <c r="L153" s="43"/>
      <c r="N153" s="436" t="b">
        <f>IF(K153="Fails to meet objective", 4, IF(K153="Partially meets objective", 3, IF(K153="Meets expectations", 2, IF(K153="Exceeds expectations", 1,IF(K153="To be done", "")))))</f>
        <v>0</v>
      </c>
    </row>
    <row r="154" spans="1:14" s="60" customFormat="1" ht="53.45" customHeight="1">
      <c r="C154" s="42"/>
      <c r="D154" s="319"/>
      <c r="E154" s="430" t="s">
        <v>106</v>
      </c>
      <c r="F154" s="430"/>
      <c r="G154" s="430"/>
      <c r="H154" s="430"/>
      <c r="I154" s="430"/>
      <c r="J154" s="430"/>
      <c r="K154" s="430"/>
      <c r="L154" s="43"/>
      <c r="N154" s="436"/>
    </row>
    <row r="155" spans="1:14" s="60" customFormat="1" ht="33.6" customHeight="1">
      <c r="C155" s="42"/>
      <c r="D155" s="319"/>
      <c r="E155" s="55" t="s">
        <v>51</v>
      </c>
      <c r="F155" s="431" t="s">
        <v>52</v>
      </c>
      <c r="G155" s="431"/>
      <c r="H155" s="431"/>
      <c r="I155" s="431"/>
      <c r="J155" s="431"/>
      <c r="K155" s="431"/>
      <c r="L155" s="43"/>
      <c r="N155" s="436"/>
    </row>
    <row r="156" spans="1:14" s="60" customFormat="1" ht="135.94999999999999" customHeight="1">
      <c r="C156" s="42"/>
      <c r="D156" s="56" t="str">
        <f>CONCATENATE("Meeting 1 - ", TEXT($I$37,"dd/mm/yyyy"))</f>
        <v>Meeting 1 - 15/02/2024</v>
      </c>
      <c r="E156" s="215"/>
      <c r="F156" s="437"/>
      <c r="G156" s="437"/>
      <c r="H156" s="437"/>
      <c r="I156" s="437"/>
      <c r="J156" s="437"/>
      <c r="K156" s="437"/>
      <c r="L156" s="43"/>
      <c r="N156" s="436"/>
    </row>
    <row r="157" spans="1:14" s="60" customFormat="1" ht="135.94999999999999" customHeight="1">
      <c r="C157" s="42"/>
      <c r="D157" s="56" t="str">
        <f>CONCATENATE("Meeting 2 - ", TEXT($I$38,"dd/mm/yyyy"))</f>
        <v>Meeting 2 - 18/03/2024</v>
      </c>
      <c r="E157" s="215">
        <v>1</v>
      </c>
      <c r="F157" s="437" t="s">
        <v>166</v>
      </c>
      <c r="G157" s="437"/>
      <c r="H157" s="437"/>
      <c r="I157" s="437"/>
      <c r="J157" s="437"/>
      <c r="K157" s="437"/>
      <c r="L157" s="43"/>
      <c r="N157" s="436"/>
    </row>
    <row r="158" spans="1:14" s="60" customFormat="1" ht="135.94999999999999" customHeight="1">
      <c r="C158" s="42"/>
      <c r="D158" s="56" t="str">
        <f>CONCATENATE("Meeting 3 - ", TEXT($I$39,"dd/mm/yyyy"))</f>
        <v>Meeting 3 - 15/04/2024</v>
      </c>
      <c r="E158" s="215"/>
      <c r="F158" s="441"/>
      <c r="G158" s="442"/>
      <c r="H158" s="442"/>
      <c r="I158" s="442"/>
      <c r="J158" s="442"/>
      <c r="K158" s="443"/>
      <c r="L158" s="43"/>
      <c r="N158" s="436"/>
    </row>
    <row r="159" spans="1:14" s="60" customFormat="1" ht="53.45" customHeight="1">
      <c r="C159" s="42"/>
      <c r="D159" s="319"/>
      <c r="E159" s="430" t="s">
        <v>107</v>
      </c>
      <c r="F159" s="430"/>
      <c r="G159" s="430"/>
      <c r="H159" s="430"/>
      <c r="I159" s="430"/>
      <c r="J159" s="430"/>
      <c r="K159" s="430"/>
      <c r="L159" s="43"/>
      <c r="N159" s="436"/>
    </row>
    <row r="160" spans="1:14" s="60" customFormat="1" ht="35.1" customHeight="1">
      <c r="C160" s="42"/>
      <c r="D160" s="319"/>
      <c r="E160" s="55" t="s">
        <v>51</v>
      </c>
      <c r="F160" s="431" t="s">
        <v>52</v>
      </c>
      <c r="G160" s="431"/>
      <c r="H160" s="431"/>
      <c r="I160" s="431"/>
      <c r="J160" s="431"/>
      <c r="K160" s="431"/>
      <c r="L160" s="43"/>
      <c r="N160" s="436"/>
    </row>
    <row r="161" spans="1:14" s="60" customFormat="1" ht="135.94999999999999" customHeight="1">
      <c r="C161" s="42"/>
      <c r="D161" s="56" t="str">
        <f>CONCATENATE("Meeting 1 - ", TEXT($I$37,"dd/mm/yyyy"))</f>
        <v>Meeting 1 - 15/02/2024</v>
      </c>
      <c r="E161" s="215"/>
      <c r="F161" s="437" t="s">
        <v>167</v>
      </c>
      <c r="G161" s="437"/>
      <c r="H161" s="437"/>
      <c r="I161" s="437"/>
      <c r="J161" s="437"/>
      <c r="K161" s="437"/>
      <c r="L161" s="43"/>
      <c r="N161" s="436"/>
    </row>
    <row r="162" spans="1:14" s="60" customFormat="1" ht="135.94999999999999" customHeight="1">
      <c r="C162" s="42"/>
      <c r="D162" s="56" t="str">
        <f>CONCATENATE("Meeting 2 - ", TEXT($I$38,"dd/mm/yyyy"))</f>
        <v>Meeting 2 - 18/03/2024</v>
      </c>
      <c r="E162" s="215">
        <v>1</v>
      </c>
      <c r="F162" s="437" t="s">
        <v>168</v>
      </c>
      <c r="G162" s="437"/>
      <c r="H162" s="437"/>
      <c r="I162" s="437"/>
      <c r="J162" s="437"/>
      <c r="K162" s="437"/>
      <c r="L162" s="43"/>
      <c r="N162" s="436"/>
    </row>
    <row r="163" spans="1:14" s="60" customFormat="1" ht="135.94999999999999" customHeight="1">
      <c r="C163" s="42"/>
      <c r="D163" s="56" t="str">
        <f>CONCATENATE("Meeting 3 - ", TEXT($I$39,"dd/mm/yyyy"))</f>
        <v>Meeting 3 - 15/04/2024</v>
      </c>
      <c r="E163" s="215"/>
      <c r="F163" s="441"/>
      <c r="G163" s="442"/>
      <c r="H163" s="442"/>
      <c r="I163" s="442"/>
      <c r="J163" s="442"/>
      <c r="K163" s="443"/>
      <c r="L163" s="43"/>
      <c r="N163" s="61"/>
    </row>
    <row r="164" spans="1:14" s="59" customFormat="1" ht="74.25" customHeight="1">
      <c r="A164" s="60"/>
      <c r="B164" s="60"/>
      <c r="C164" s="42"/>
      <c r="D164" s="57"/>
      <c r="E164" s="434" t="s">
        <v>55</v>
      </c>
      <c r="F164" s="434"/>
      <c r="G164" s="434"/>
      <c r="H164" s="434"/>
      <c r="I164" s="434"/>
      <c r="J164" s="434"/>
      <c r="K164" s="435"/>
      <c r="L164" s="44"/>
    </row>
    <row r="165" spans="1:14" s="59" customFormat="1" ht="91.5" customHeight="1">
      <c r="A165" s="60"/>
      <c r="B165" s="60"/>
      <c r="C165" s="42"/>
      <c r="D165" s="56" t="s">
        <v>38</v>
      </c>
      <c r="E165" s="433" t="s">
        <v>169</v>
      </c>
      <c r="F165" s="433"/>
      <c r="G165" s="433"/>
      <c r="H165" s="433"/>
      <c r="I165" s="433"/>
      <c r="J165" s="433"/>
      <c r="K165" s="433"/>
      <c r="L165" s="44"/>
    </row>
    <row r="166" spans="1:14" s="60" customFormat="1" ht="53.45" customHeight="1">
      <c r="C166" s="42"/>
      <c r="D166" s="319" t="s">
        <v>40</v>
      </c>
      <c r="E166" s="432" t="s">
        <v>41</v>
      </c>
      <c r="F166" s="432"/>
      <c r="G166" s="70" t="s">
        <v>42</v>
      </c>
      <c r="H166" s="70" t="s">
        <v>43</v>
      </c>
      <c r="I166" s="432" t="s">
        <v>44</v>
      </c>
      <c r="J166" s="432"/>
      <c r="K166" s="70" t="s">
        <v>45</v>
      </c>
      <c r="L166" s="43"/>
      <c r="N166" s="61"/>
    </row>
    <row r="167" spans="1:14" s="60" customFormat="1" ht="131.1" customHeight="1">
      <c r="C167" s="42"/>
      <c r="D167" s="319"/>
      <c r="E167" s="429" t="s">
        <v>170</v>
      </c>
      <c r="F167" s="429"/>
      <c r="G167" s="143" t="s">
        <v>171</v>
      </c>
      <c r="H167" s="228" t="s">
        <v>172</v>
      </c>
      <c r="I167" s="429" t="s">
        <v>173</v>
      </c>
      <c r="J167" s="429"/>
      <c r="K167" s="232">
        <v>45397</v>
      </c>
      <c r="L167" s="43"/>
      <c r="N167" s="436" t="b">
        <f>IF(K167="Fails to meet objective", 4, IF(K167="Partially meets objective", 3, IF(K167="Meets expectations", 2, IF(K167="Exceeds expectations", 1,IF(K167="To be done", "")))))</f>
        <v>0</v>
      </c>
    </row>
    <row r="168" spans="1:14" s="60" customFormat="1" ht="53.45" customHeight="1">
      <c r="C168" s="42"/>
      <c r="D168" s="319"/>
      <c r="E168" s="430" t="s">
        <v>106</v>
      </c>
      <c r="F168" s="430"/>
      <c r="G168" s="430"/>
      <c r="H168" s="430"/>
      <c r="I168" s="430"/>
      <c r="J168" s="430"/>
      <c r="K168" s="430"/>
      <c r="L168" s="43"/>
      <c r="N168" s="436"/>
    </row>
    <row r="169" spans="1:14" s="60" customFormat="1" ht="33.6" customHeight="1">
      <c r="C169" s="42"/>
      <c r="D169" s="319"/>
      <c r="E169" s="55" t="s">
        <v>51</v>
      </c>
      <c r="F169" s="431" t="s">
        <v>52</v>
      </c>
      <c r="G169" s="431"/>
      <c r="H169" s="431"/>
      <c r="I169" s="431"/>
      <c r="J169" s="431"/>
      <c r="K169" s="431"/>
      <c r="L169" s="43"/>
      <c r="N169" s="436"/>
    </row>
    <row r="170" spans="1:14" s="60" customFormat="1" ht="135.94999999999999" customHeight="1">
      <c r="C170" s="42"/>
      <c r="D170" s="56" t="str">
        <f>CONCATENATE("Meeting 1 - ", TEXT($I$37,"dd/mm/yyyy"))</f>
        <v>Meeting 1 - 15/02/2024</v>
      </c>
      <c r="E170" s="215"/>
      <c r="F170" s="438"/>
      <c r="G170" s="438"/>
      <c r="H170" s="438"/>
      <c r="I170" s="438"/>
      <c r="J170" s="438"/>
      <c r="K170" s="438"/>
      <c r="L170" s="43"/>
      <c r="N170" s="436"/>
    </row>
    <row r="171" spans="1:14" s="60" customFormat="1" ht="135.94999999999999" customHeight="1">
      <c r="C171" s="42"/>
      <c r="D171" s="56" t="str">
        <f>CONCATENATE("Meeting 2 - ", TEXT($I$38,"dd/mm/yyyy"))</f>
        <v>Meeting 2 - 18/03/2024</v>
      </c>
      <c r="E171" s="215">
        <v>0.6</v>
      </c>
      <c r="F171" s="438" t="s">
        <v>174</v>
      </c>
      <c r="G171" s="438"/>
      <c r="H171" s="438"/>
      <c r="I171" s="438"/>
      <c r="J171" s="438"/>
      <c r="K171" s="438"/>
      <c r="L171" s="43"/>
      <c r="N171" s="436"/>
    </row>
    <row r="172" spans="1:14" s="60" customFormat="1" ht="135.94999999999999" customHeight="1">
      <c r="C172" s="42"/>
      <c r="D172" s="56" t="str">
        <f>CONCATENATE("Meeting 3 - ", TEXT($I$39,"dd/mm/yyyy"))</f>
        <v>Meeting 3 - 15/04/2024</v>
      </c>
      <c r="E172" s="215"/>
      <c r="F172" s="519"/>
      <c r="G172" s="520"/>
      <c r="H172" s="520"/>
      <c r="I172" s="520"/>
      <c r="J172" s="520"/>
      <c r="K172" s="521"/>
      <c r="L172" s="43"/>
      <c r="N172" s="436"/>
    </row>
    <row r="173" spans="1:14" s="60" customFormat="1" ht="53.45" customHeight="1">
      <c r="C173" s="42"/>
      <c r="D173" s="319"/>
      <c r="E173" s="430" t="s">
        <v>107</v>
      </c>
      <c r="F173" s="430"/>
      <c r="G173" s="430"/>
      <c r="H173" s="430"/>
      <c r="I173" s="430"/>
      <c r="J173" s="430"/>
      <c r="K173" s="430"/>
      <c r="L173" s="43"/>
      <c r="N173" s="436"/>
    </row>
    <row r="174" spans="1:14" s="60" customFormat="1" ht="35.1" customHeight="1">
      <c r="C174" s="42"/>
      <c r="D174" s="319"/>
      <c r="E174" s="55" t="s">
        <v>51</v>
      </c>
      <c r="F174" s="431" t="s">
        <v>52</v>
      </c>
      <c r="G174" s="431"/>
      <c r="H174" s="431"/>
      <c r="I174" s="431"/>
      <c r="J174" s="431"/>
      <c r="K174" s="431"/>
      <c r="L174" s="43"/>
      <c r="N174" s="436"/>
    </row>
    <row r="175" spans="1:14" s="60" customFormat="1" ht="135.94999999999999" customHeight="1">
      <c r="C175" s="42"/>
      <c r="D175" s="56" t="str">
        <f>CONCATENATE("Meeting 1 - ", TEXT($I$37,"dd/mm/yyyy"))</f>
        <v>Meeting 1 - 15/02/2024</v>
      </c>
      <c r="E175" s="215"/>
      <c r="F175" s="438"/>
      <c r="G175" s="438"/>
      <c r="H175" s="438"/>
      <c r="I175" s="438"/>
      <c r="J175" s="438"/>
      <c r="K175" s="438"/>
      <c r="L175" s="43"/>
      <c r="N175" s="436"/>
    </row>
    <row r="176" spans="1:14" s="60" customFormat="1" ht="135.94999999999999" customHeight="1">
      <c r="C176" s="42"/>
      <c r="D176" s="56" t="str">
        <f>CONCATENATE("Meeting 2 - ", TEXT($I$38,"dd/mm/yyyy"))</f>
        <v>Meeting 2 - 18/03/2024</v>
      </c>
      <c r="E176" s="215">
        <v>0.4</v>
      </c>
      <c r="F176" s="429" t="s">
        <v>175</v>
      </c>
      <c r="G176" s="429"/>
      <c r="H176" s="429"/>
      <c r="I176" s="429"/>
      <c r="J176" s="429"/>
      <c r="K176" s="429"/>
      <c r="L176" s="43"/>
      <c r="N176" s="436"/>
    </row>
    <row r="177" spans="1:14" s="60" customFormat="1" ht="135.94999999999999" customHeight="1">
      <c r="C177" s="42"/>
      <c r="D177" s="56" t="str">
        <f>CONCATENATE("Meeting 3 - ", TEXT($I$39,"dd/mm/yyyy"))</f>
        <v>Meeting 3 - 15/04/2024</v>
      </c>
      <c r="E177" s="215"/>
      <c r="F177" s="429"/>
      <c r="G177" s="429"/>
      <c r="H177" s="429"/>
      <c r="I177" s="429"/>
      <c r="J177" s="429"/>
      <c r="K177" s="429"/>
      <c r="L177" s="43"/>
      <c r="N177" s="61"/>
    </row>
    <row r="178" spans="1:14" s="59" customFormat="1" ht="74.25" customHeight="1">
      <c r="A178" s="60"/>
      <c r="B178" s="60"/>
      <c r="C178" s="42"/>
      <c r="D178" s="57"/>
      <c r="E178" s="434" t="s">
        <v>56</v>
      </c>
      <c r="F178" s="434"/>
      <c r="G178" s="434"/>
      <c r="H178" s="434"/>
      <c r="I178" s="434"/>
      <c r="J178" s="434"/>
      <c r="K178" s="435"/>
      <c r="L178" s="44"/>
    </row>
    <row r="179" spans="1:14" s="59" customFormat="1" ht="91.5" customHeight="1">
      <c r="A179" s="60"/>
      <c r="B179" s="60"/>
      <c r="C179" s="42"/>
      <c r="D179" s="56" t="s">
        <v>38</v>
      </c>
      <c r="E179" s="433"/>
      <c r="F179" s="433"/>
      <c r="G179" s="433"/>
      <c r="H179" s="433"/>
      <c r="I179" s="433"/>
      <c r="J179" s="433"/>
      <c r="K179" s="433"/>
      <c r="L179" s="44"/>
    </row>
    <row r="180" spans="1:14" s="60" customFormat="1" ht="53.45" customHeight="1">
      <c r="C180" s="42"/>
      <c r="D180" s="319" t="s">
        <v>40</v>
      </c>
      <c r="E180" s="432" t="s">
        <v>41</v>
      </c>
      <c r="F180" s="432"/>
      <c r="G180" s="70" t="s">
        <v>42</v>
      </c>
      <c r="H180" s="70" t="s">
        <v>43</v>
      </c>
      <c r="I180" s="432" t="s">
        <v>44</v>
      </c>
      <c r="J180" s="432"/>
      <c r="K180" s="70" t="s">
        <v>45</v>
      </c>
      <c r="L180" s="43"/>
      <c r="N180" s="61"/>
    </row>
    <row r="181" spans="1:14" s="60" customFormat="1" ht="131.1" customHeight="1">
      <c r="C181" s="42"/>
      <c r="D181" s="319"/>
      <c r="E181" s="433"/>
      <c r="F181" s="433"/>
      <c r="G181" s="214"/>
      <c r="H181" s="54"/>
      <c r="I181" s="437"/>
      <c r="J181" s="437"/>
      <c r="K181" s="54"/>
      <c r="L181" s="43"/>
      <c r="N181" s="436" t="b">
        <f>IF(K181="Fails to meet objective", 4, IF(K181="Partially meets objective", 3, IF(K181="Meets expectations", 2, IF(K181="Exceeds expectations", 1,IF(K181="To be done", "")))))</f>
        <v>0</v>
      </c>
    </row>
    <row r="182" spans="1:14" s="60" customFormat="1" ht="53.45" customHeight="1">
      <c r="C182" s="42"/>
      <c r="D182" s="319"/>
      <c r="E182" s="430" t="s">
        <v>106</v>
      </c>
      <c r="F182" s="430"/>
      <c r="G182" s="430"/>
      <c r="H182" s="430"/>
      <c r="I182" s="430"/>
      <c r="J182" s="430"/>
      <c r="K182" s="430"/>
      <c r="L182" s="43"/>
      <c r="N182" s="436"/>
    </row>
    <row r="183" spans="1:14" s="60" customFormat="1" ht="33.6" customHeight="1">
      <c r="C183" s="42"/>
      <c r="D183" s="319"/>
      <c r="E183" s="55" t="s">
        <v>51</v>
      </c>
      <c r="F183" s="431" t="s">
        <v>52</v>
      </c>
      <c r="G183" s="431"/>
      <c r="H183" s="431"/>
      <c r="I183" s="431"/>
      <c r="J183" s="431"/>
      <c r="K183" s="431"/>
      <c r="L183" s="43"/>
      <c r="N183" s="436"/>
    </row>
    <row r="184" spans="1:14" s="60" customFormat="1" ht="135.94999999999999" customHeight="1">
      <c r="C184" s="42"/>
      <c r="D184" s="56" t="str">
        <f>CONCATENATE("Meeting 1 - ", TEXT($I$37,"dd/mm/yyyy"))</f>
        <v>Meeting 1 - 15/02/2024</v>
      </c>
      <c r="E184" s="215"/>
      <c r="F184" s="437"/>
      <c r="G184" s="437"/>
      <c r="H184" s="437"/>
      <c r="I184" s="437"/>
      <c r="J184" s="437"/>
      <c r="K184" s="437"/>
      <c r="L184" s="43"/>
      <c r="N184" s="436"/>
    </row>
    <row r="185" spans="1:14" s="60" customFormat="1" ht="135.94999999999999" customHeight="1">
      <c r="C185" s="42"/>
      <c r="D185" s="56" t="str">
        <f>CONCATENATE("Meeting 2 - ", TEXT($I$38,"dd/mm/yyyy"))</f>
        <v>Meeting 2 - 18/03/2024</v>
      </c>
      <c r="E185" s="215"/>
      <c r="F185" s="437"/>
      <c r="G185" s="437"/>
      <c r="H185" s="437"/>
      <c r="I185" s="437"/>
      <c r="J185" s="437"/>
      <c r="K185" s="437"/>
      <c r="L185" s="43"/>
      <c r="N185" s="436"/>
    </row>
    <row r="186" spans="1:14" s="60" customFormat="1" ht="135.94999999999999" customHeight="1">
      <c r="C186" s="42"/>
      <c r="D186" s="56" t="str">
        <f>CONCATENATE("Meeting 3 - ", TEXT($I$39,"dd/mm/yyyy"))</f>
        <v>Meeting 3 - 15/04/2024</v>
      </c>
      <c r="E186" s="215"/>
      <c r="F186" s="441"/>
      <c r="G186" s="442"/>
      <c r="H186" s="442"/>
      <c r="I186" s="442"/>
      <c r="J186" s="442"/>
      <c r="K186" s="443"/>
      <c r="L186" s="43"/>
      <c r="N186" s="436"/>
    </row>
    <row r="187" spans="1:14" s="60" customFormat="1" ht="53.45" customHeight="1">
      <c r="C187" s="42"/>
      <c r="D187" s="319"/>
      <c r="E187" s="430" t="s">
        <v>107</v>
      </c>
      <c r="F187" s="430"/>
      <c r="G187" s="430"/>
      <c r="H187" s="430"/>
      <c r="I187" s="430"/>
      <c r="J187" s="430"/>
      <c r="K187" s="430"/>
      <c r="L187" s="43"/>
      <c r="N187" s="436"/>
    </row>
    <row r="188" spans="1:14" s="60" customFormat="1" ht="35.1" customHeight="1">
      <c r="C188" s="42"/>
      <c r="D188" s="319"/>
      <c r="E188" s="55" t="s">
        <v>51</v>
      </c>
      <c r="F188" s="431" t="s">
        <v>52</v>
      </c>
      <c r="G188" s="431"/>
      <c r="H188" s="431"/>
      <c r="I188" s="431"/>
      <c r="J188" s="431"/>
      <c r="K188" s="431"/>
      <c r="L188" s="43"/>
      <c r="N188" s="436"/>
    </row>
    <row r="189" spans="1:14" s="60" customFormat="1" ht="135.94999999999999" customHeight="1">
      <c r="C189" s="42"/>
      <c r="D189" s="56" t="str">
        <f>CONCATENATE("Meeting 1 - ", TEXT($I$37,"dd/mm/yyyy"))</f>
        <v>Meeting 1 - 15/02/2024</v>
      </c>
      <c r="E189" s="215"/>
      <c r="F189" s="437"/>
      <c r="G189" s="437"/>
      <c r="H189" s="437"/>
      <c r="I189" s="437"/>
      <c r="J189" s="437"/>
      <c r="K189" s="437"/>
      <c r="L189" s="43"/>
      <c r="N189" s="436"/>
    </row>
    <row r="190" spans="1:14" s="60" customFormat="1" ht="135.94999999999999" customHeight="1">
      <c r="C190" s="42"/>
      <c r="D190" s="56" t="str">
        <f>CONCATENATE("Meeting 2 - ", TEXT($I$38,"dd/mm/yyyy"))</f>
        <v>Meeting 2 - 18/03/2024</v>
      </c>
      <c r="E190" s="215"/>
      <c r="F190" s="437"/>
      <c r="G190" s="437"/>
      <c r="H190" s="437"/>
      <c r="I190" s="437"/>
      <c r="J190" s="437"/>
      <c r="K190" s="437"/>
      <c r="L190" s="43"/>
      <c r="N190" s="436"/>
    </row>
    <row r="191" spans="1:14" s="60" customFormat="1" ht="135.94999999999999" customHeight="1">
      <c r="C191" s="42"/>
      <c r="D191" s="56" t="str">
        <f>CONCATENATE("Meeting 3 - ", TEXT($I$39,"dd/mm/yyyy"))</f>
        <v>Meeting 3 - 15/04/2024</v>
      </c>
      <c r="E191" s="215"/>
      <c r="F191" s="441"/>
      <c r="G191" s="442"/>
      <c r="H191" s="442"/>
      <c r="I191" s="442"/>
      <c r="J191" s="442"/>
      <c r="K191" s="443"/>
      <c r="L191" s="43"/>
      <c r="N191" s="61"/>
    </row>
    <row r="192" spans="1:14" s="60" customFormat="1" ht="60.6" customHeight="1">
      <c r="C192" s="42"/>
      <c r="D192" s="67" t="s">
        <v>57</v>
      </c>
      <c r="E192" s="66" t="e">
        <f>AVERAGEIF((F141,F129,F117,F105,F93),"&lt;&gt;0")</f>
        <v>#VALUE!</v>
      </c>
      <c r="F192" s="48"/>
      <c r="G192" s="48"/>
      <c r="H192" s="48"/>
      <c r="I192" s="48"/>
      <c r="J192" s="48"/>
      <c r="K192" s="68"/>
      <c r="L192" s="47"/>
      <c r="N192" s="61"/>
    </row>
    <row r="193" spans="3:14" s="60" customFormat="1" ht="23.25" customHeight="1">
      <c r="C193" s="42"/>
      <c r="D193" s="42"/>
      <c r="E193" s="48"/>
      <c r="F193" s="48"/>
      <c r="G193" s="49"/>
      <c r="H193" s="50"/>
      <c r="I193" s="50"/>
      <c r="J193" s="50"/>
      <c r="K193" s="51" t="e">
        <f>IF(E192&gt;1, "1", IF(E192=1, "1", IF(E192&gt;=0.75, "2", IF(E192&gt;=0.5, "3", IF(E192&gt;0, "4", IF(E192=0, "0"))))))</f>
        <v>#VALUE!</v>
      </c>
      <c r="L193" s="46"/>
      <c r="N193" s="61"/>
    </row>
    <row r="194" spans="3:14" ht="15" customHeight="1">
      <c r="C194" s="42"/>
      <c r="D194" s="24"/>
      <c r="E194" s="24"/>
      <c r="F194" s="24"/>
      <c r="G194" s="1"/>
      <c r="H194" s="1"/>
      <c r="I194" s="1"/>
      <c r="J194" s="33"/>
      <c r="K194" s="69"/>
      <c r="L194" s="15"/>
    </row>
    <row r="195" spans="3:14" ht="15" customHeight="1">
      <c r="C195" s="7"/>
      <c r="D195" s="24"/>
      <c r="E195" s="24"/>
      <c r="F195" s="24"/>
      <c r="G195" s="1"/>
      <c r="H195" s="1"/>
      <c r="I195" s="1"/>
      <c r="J195" s="33"/>
      <c r="K195" s="33"/>
      <c r="L195" s="15"/>
    </row>
    <row r="196" spans="3:14" ht="15" customHeight="1">
      <c r="C196" s="7"/>
      <c r="D196" s="24"/>
      <c r="E196" s="24"/>
      <c r="F196" s="24"/>
      <c r="G196" s="1"/>
      <c r="H196" s="1"/>
      <c r="I196" s="1"/>
      <c r="J196" s="33"/>
      <c r="K196" s="34"/>
      <c r="L196" s="15"/>
    </row>
    <row r="197" spans="3:14" ht="15" customHeight="1">
      <c r="C197" s="7"/>
      <c r="D197" s="24"/>
      <c r="E197" s="24"/>
      <c r="F197" s="24"/>
      <c r="G197" s="1"/>
      <c r="H197" s="1"/>
      <c r="I197" s="1"/>
      <c r="J197" s="33"/>
      <c r="K197" s="33"/>
      <c r="L197" s="15"/>
    </row>
    <row r="198" spans="3:14" ht="26.45" customHeight="1">
      <c r="C198" s="7"/>
      <c r="D198" s="491" t="s">
        <v>176</v>
      </c>
      <c r="E198" s="491"/>
      <c r="F198" s="15"/>
      <c r="G198" s="15"/>
      <c r="H198" s="7"/>
      <c r="I198" s="7"/>
      <c r="J198" s="7"/>
      <c r="K198" s="7"/>
      <c r="L198" s="7"/>
    </row>
    <row r="199" spans="3:14" ht="42.6" customHeight="1">
      <c r="C199" s="7"/>
      <c r="D199" s="505" t="s">
        <v>59</v>
      </c>
      <c r="E199" s="505"/>
      <c r="F199" s="505"/>
      <c r="G199" s="505"/>
      <c r="H199" s="505"/>
      <c r="I199" s="505"/>
      <c r="J199" s="505"/>
      <c r="K199" s="505"/>
      <c r="L199" s="7"/>
    </row>
    <row r="200" spans="3:14" ht="45.6" customHeight="1">
      <c r="C200" s="7"/>
      <c r="D200" s="458" t="s">
        <v>61</v>
      </c>
      <c r="E200" s="458"/>
      <c r="F200" s="458"/>
      <c r="G200" s="458"/>
      <c r="H200" s="458"/>
      <c r="I200" s="458"/>
      <c r="J200" s="5" t="s">
        <v>177</v>
      </c>
      <c r="K200" s="6" t="s">
        <v>178</v>
      </c>
      <c r="L200" s="7"/>
    </row>
    <row r="201" spans="3:14" ht="135" customHeight="1">
      <c r="C201" s="7"/>
      <c r="D201" s="29" t="s">
        <v>62</v>
      </c>
      <c r="E201" s="506" t="s">
        <v>63</v>
      </c>
      <c r="F201" s="506"/>
      <c r="G201" s="506"/>
      <c r="H201" s="506"/>
      <c r="I201" s="506"/>
      <c r="J201" s="506"/>
      <c r="K201" s="506"/>
      <c r="L201" s="7"/>
    </row>
    <row r="202" spans="3:14" ht="29.45" customHeight="1">
      <c r="C202" s="7"/>
      <c r="D202" s="507" t="str">
        <f>CONCATENATE("Meeting 1 - ", TEXT(I37,"dd/mm/yyyy"))</f>
        <v>Meeting 1 - 15/02/2024</v>
      </c>
      <c r="E202" s="32"/>
      <c r="F202" s="508" t="s">
        <v>106</v>
      </c>
      <c r="G202" s="509"/>
      <c r="H202" s="510"/>
      <c r="I202" s="508" t="s">
        <v>107</v>
      </c>
      <c r="J202" s="509"/>
      <c r="K202" s="510"/>
      <c r="L202" s="7"/>
    </row>
    <row r="203" spans="3:14" ht="60.6" customHeight="1">
      <c r="C203" s="7"/>
      <c r="D203" s="507"/>
      <c r="E203" s="38">
        <v>0</v>
      </c>
      <c r="F203" s="514"/>
      <c r="G203" s="515"/>
      <c r="H203" s="516"/>
      <c r="I203" s="511"/>
      <c r="J203" s="512"/>
      <c r="K203" s="513"/>
      <c r="L203" s="7"/>
    </row>
    <row r="204" spans="3:14" ht="29.45" customHeight="1">
      <c r="C204" s="7"/>
      <c r="D204" s="507" t="str">
        <f>CONCATENATE("Meeting 2 - ", TEXT(I38,"dd/mm/yyyy"))</f>
        <v>Meeting 2 - 18/03/2024</v>
      </c>
      <c r="E204" s="32"/>
      <c r="F204" s="508" t="s">
        <v>106</v>
      </c>
      <c r="G204" s="509"/>
      <c r="H204" s="510"/>
      <c r="I204" s="508" t="s">
        <v>107</v>
      </c>
      <c r="J204" s="509"/>
      <c r="K204" s="510"/>
      <c r="L204" s="7"/>
    </row>
    <row r="205" spans="3:14" ht="41.45" customHeight="1">
      <c r="C205" s="7"/>
      <c r="D205" s="507"/>
      <c r="E205" s="38">
        <v>0.95</v>
      </c>
      <c r="F205" s="514" t="s">
        <v>179</v>
      </c>
      <c r="G205" s="515"/>
      <c r="H205" s="516"/>
      <c r="I205" s="511" t="s">
        <v>180</v>
      </c>
      <c r="J205" s="512"/>
      <c r="K205" s="513"/>
      <c r="L205" s="7"/>
    </row>
    <row r="206" spans="3:14" ht="29.45" customHeight="1">
      <c r="C206" s="7"/>
      <c r="D206" s="507" t="str">
        <f>CONCATENATE("Meeting 3 - ", TEXT(I39,"dd/mm/yyyy"))</f>
        <v>Meeting 3 - 15/04/2024</v>
      </c>
      <c r="E206" s="32"/>
      <c r="F206" s="508" t="s">
        <v>106</v>
      </c>
      <c r="G206" s="509"/>
      <c r="H206" s="510"/>
      <c r="I206" s="508" t="s">
        <v>107</v>
      </c>
      <c r="J206" s="509"/>
      <c r="K206" s="510"/>
      <c r="L206" s="7"/>
    </row>
    <row r="207" spans="3:14" ht="41.45" customHeight="1">
      <c r="C207" s="7"/>
      <c r="D207" s="507"/>
      <c r="E207" s="38"/>
      <c r="F207" s="514"/>
      <c r="G207" s="515"/>
      <c r="H207" s="516"/>
      <c r="I207" s="511"/>
      <c r="J207" s="512"/>
      <c r="K207" s="513"/>
      <c r="L207" s="7"/>
    </row>
    <row r="208" spans="3:14" ht="129" customHeight="1">
      <c r="C208" s="7"/>
      <c r="D208" s="29" t="s">
        <v>65</v>
      </c>
      <c r="E208" s="506" t="s">
        <v>66</v>
      </c>
      <c r="F208" s="506"/>
      <c r="G208" s="506"/>
      <c r="H208" s="506"/>
      <c r="I208" s="506"/>
      <c r="J208" s="506"/>
      <c r="K208" s="506"/>
      <c r="L208" s="7"/>
    </row>
    <row r="209" spans="3:12" ht="29.45" customHeight="1">
      <c r="C209" s="7"/>
      <c r="D209" s="507" t="str">
        <f>CONCATENATE("Meeting 1 - ", TEXT(I37,"dd/mm/yyyy"))</f>
        <v>Meeting 1 - 15/02/2024</v>
      </c>
      <c r="E209" s="32"/>
      <c r="F209" s="508" t="s">
        <v>106</v>
      </c>
      <c r="G209" s="509"/>
      <c r="H209" s="510"/>
      <c r="I209" s="508" t="s">
        <v>107</v>
      </c>
      <c r="J209" s="509"/>
      <c r="K209" s="510"/>
      <c r="L209" s="7"/>
    </row>
    <row r="210" spans="3:12" ht="75" customHeight="1">
      <c r="C210" s="7"/>
      <c r="D210" s="507"/>
      <c r="E210" s="38">
        <v>0</v>
      </c>
      <c r="F210" s="514"/>
      <c r="G210" s="515"/>
      <c r="H210" s="516"/>
      <c r="I210" s="511"/>
      <c r="J210" s="512"/>
      <c r="K210" s="513"/>
      <c r="L210" s="7"/>
    </row>
    <row r="211" spans="3:12" ht="29.45" customHeight="1">
      <c r="C211" s="7"/>
      <c r="D211" s="517" t="str">
        <f>CONCATENATE("Meeting 2 - ", TEXT(I38,"dd/mm/yyyy"))</f>
        <v>Meeting 2 - 18/03/2024</v>
      </c>
      <c r="E211" s="32"/>
      <c r="F211" s="508" t="s">
        <v>106</v>
      </c>
      <c r="G211" s="509"/>
      <c r="H211" s="510"/>
      <c r="I211" s="508" t="s">
        <v>107</v>
      </c>
      <c r="J211" s="509"/>
      <c r="K211" s="510"/>
      <c r="L211" s="7"/>
    </row>
    <row r="212" spans="3:12" ht="74.099999999999994" customHeight="1">
      <c r="C212" s="7"/>
      <c r="D212" s="518"/>
      <c r="E212" s="38">
        <v>0.8</v>
      </c>
      <c r="F212" s="514" t="s">
        <v>181</v>
      </c>
      <c r="G212" s="515"/>
      <c r="H212" s="516"/>
      <c r="I212" s="511" t="s">
        <v>182</v>
      </c>
      <c r="J212" s="512"/>
      <c r="K212" s="513"/>
      <c r="L212" s="7"/>
    </row>
    <row r="213" spans="3:12" ht="29.45" customHeight="1">
      <c r="C213" s="7"/>
      <c r="D213" s="507" t="str">
        <f>CONCATENATE("Meeting 3 - ", TEXT(I39,"dd/mm/yyyy"))</f>
        <v>Meeting 3 - 15/04/2024</v>
      </c>
      <c r="E213" s="32"/>
      <c r="F213" s="508" t="s">
        <v>106</v>
      </c>
      <c r="G213" s="509"/>
      <c r="H213" s="510"/>
      <c r="I213" s="508" t="s">
        <v>107</v>
      </c>
      <c r="J213" s="509"/>
      <c r="K213" s="510"/>
      <c r="L213" s="7"/>
    </row>
    <row r="214" spans="3:12" ht="41.45" customHeight="1">
      <c r="C214" s="7"/>
      <c r="D214" s="507"/>
      <c r="E214" s="38"/>
      <c r="F214" s="514"/>
      <c r="G214" s="515"/>
      <c r="H214" s="516"/>
      <c r="I214" s="511"/>
      <c r="J214" s="512"/>
      <c r="K214" s="513"/>
      <c r="L214" s="7"/>
    </row>
    <row r="215" spans="3:12" ht="159.6" customHeight="1">
      <c r="C215" s="7"/>
      <c r="D215" s="29" t="s">
        <v>67</v>
      </c>
      <c r="E215" s="506" t="s">
        <v>68</v>
      </c>
      <c r="F215" s="506"/>
      <c r="G215" s="506"/>
      <c r="H215" s="506"/>
      <c r="I215" s="506"/>
      <c r="J215" s="506"/>
      <c r="K215" s="506"/>
      <c r="L215" s="7"/>
    </row>
    <row r="216" spans="3:12" ht="29.45" customHeight="1">
      <c r="C216" s="7"/>
      <c r="D216" s="507" t="str">
        <f>CONCATENATE("Meeting 1 - ", TEXT(I37,"dd/mm/yyyy"))</f>
        <v>Meeting 1 - 15/02/2024</v>
      </c>
      <c r="E216" s="32"/>
      <c r="F216" s="508" t="s">
        <v>106</v>
      </c>
      <c r="G216" s="509"/>
      <c r="H216" s="510"/>
      <c r="I216" s="508" t="s">
        <v>107</v>
      </c>
      <c r="J216" s="509"/>
      <c r="K216" s="510"/>
      <c r="L216" s="7"/>
    </row>
    <row r="217" spans="3:12" ht="103.5" customHeight="1">
      <c r="C217" s="7"/>
      <c r="D217" s="507"/>
      <c r="E217" s="38">
        <v>0</v>
      </c>
      <c r="F217" s="514"/>
      <c r="G217" s="515"/>
      <c r="H217" s="516"/>
      <c r="I217" s="511"/>
      <c r="J217" s="512"/>
      <c r="K217" s="513"/>
      <c r="L217" s="7"/>
    </row>
    <row r="218" spans="3:12" ht="29.45" customHeight="1">
      <c r="C218" s="7"/>
      <c r="D218" s="507" t="str">
        <f>CONCATENATE("Meeting 2 - ", TEXT(I38,"dd/mm/yyyy"))</f>
        <v>Meeting 2 - 18/03/2024</v>
      </c>
      <c r="E218" s="32"/>
      <c r="F218" s="508" t="s">
        <v>106</v>
      </c>
      <c r="G218" s="509"/>
      <c r="H218" s="510"/>
      <c r="I218" s="508" t="s">
        <v>107</v>
      </c>
      <c r="J218" s="509"/>
      <c r="K218" s="510"/>
      <c r="L218" s="7"/>
    </row>
    <row r="219" spans="3:12" ht="69.95" customHeight="1">
      <c r="C219" s="7"/>
      <c r="D219" s="507"/>
      <c r="E219" s="38">
        <v>0.9</v>
      </c>
      <c r="F219" s="514" t="s">
        <v>183</v>
      </c>
      <c r="G219" s="515"/>
      <c r="H219" s="516"/>
      <c r="I219" s="511" t="s">
        <v>184</v>
      </c>
      <c r="J219" s="512"/>
      <c r="K219" s="513"/>
      <c r="L219" s="7"/>
    </row>
    <row r="220" spans="3:12" ht="29.45" customHeight="1">
      <c r="C220" s="7"/>
      <c r="D220" s="507" t="str">
        <f>CONCATENATE("Meeting 3 - ", TEXT(I39,"dd/mm/yyyy"))</f>
        <v>Meeting 3 - 15/04/2024</v>
      </c>
      <c r="E220" s="32"/>
      <c r="F220" s="508" t="s">
        <v>106</v>
      </c>
      <c r="G220" s="509"/>
      <c r="H220" s="510"/>
      <c r="I220" s="508" t="s">
        <v>107</v>
      </c>
      <c r="J220" s="509"/>
      <c r="K220" s="510"/>
      <c r="L220" s="7"/>
    </row>
    <row r="221" spans="3:12" ht="41.45" customHeight="1">
      <c r="C221" s="7"/>
      <c r="D221" s="507"/>
      <c r="E221" s="38"/>
      <c r="F221" s="514"/>
      <c r="G221" s="515"/>
      <c r="H221" s="516"/>
      <c r="I221" s="511"/>
      <c r="J221" s="512"/>
      <c r="K221" s="513"/>
      <c r="L221" s="7"/>
    </row>
    <row r="222" spans="3:12" ht="133.5" customHeight="1">
      <c r="C222" s="7"/>
      <c r="D222" s="29" t="s">
        <v>70</v>
      </c>
      <c r="E222" s="506" t="s">
        <v>185</v>
      </c>
      <c r="F222" s="506"/>
      <c r="G222" s="506"/>
      <c r="H222" s="506"/>
      <c r="I222" s="506"/>
      <c r="J222" s="506"/>
      <c r="K222" s="506"/>
      <c r="L222" s="7"/>
    </row>
    <row r="223" spans="3:12" ht="29.45" customHeight="1">
      <c r="C223" s="7"/>
      <c r="D223" s="507" t="str">
        <f>CONCATENATE("Meeting 1 - ", TEXT(I37,"dd/mm/yyyy"))</f>
        <v>Meeting 1 - 15/02/2024</v>
      </c>
      <c r="E223" s="32"/>
      <c r="F223" s="508" t="s">
        <v>106</v>
      </c>
      <c r="G223" s="509"/>
      <c r="H223" s="510"/>
      <c r="I223" s="508" t="s">
        <v>107</v>
      </c>
      <c r="J223" s="509"/>
      <c r="K223" s="510"/>
      <c r="L223" s="7"/>
    </row>
    <row r="224" spans="3:12" ht="56.45" customHeight="1">
      <c r="C224" s="7"/>
      <c r="D224" s="507"/>
      <c r="E224" s="38">
        <v>0</v>
      </c>
      <c r="F224" s="514"/>
      <c r="G224" s="515"/>
      <c r="H224" s="516"/>
      <c r="I224" s="511"/>
      <c r="J224" s="512"/>
      <c r="K224" s="513"/>
      <c r="L224" s="7"/>
    </row>
    <row r="225" spans="3:12" ht="29.45" customHeight="1">
      <c r="C225" s="7"/>
      <c r="D225" s="507" t="str">
        <f>CONCATENATE("Meeting 2 - ", TEXT(I38,"dd/mm/yyyy"))</f>
        <v>Meeting 2 - 18/03/2024</v>
      </c>
      <c r="E225" s="32"/>
      <c r="F225" s="508" t="s">
        <v>106</v>
      </c>
      <c r="G225" s="509"/>
      <c r="H225" s="510"/>
      <c r="I225" s="508" t="s">
        <v>107</v>
      </c>
      <c r="J225" s="509"/>
      <c r="K225" s="510"/>
      <c r="L225" s="7"/>
    </row>
    <row r="226" spans="3:12" ht="84.6" customHeight="1">
      <c r="C226" s="7"/>
      <c r="D226" s="507"/>
      <c r="E226" s="38">
        <v>0.85</v>
      </c>
      <c r="F226" s="514" t="s">
        <v>186</v>
      </c>
      <c r="G226" s="515"/>
      <c r="H226" s="516"/>
      <c r="I226" s="511" t="s">
        <v>187</v>
      </c>
      <c r="J226" s="512"/>
      <c r="K226" s="513"/>
      <c r="L226" s="7"/>
    </row>
    <row r="227" spans="3:12" ht="29.45" customHeight="1">
      <c r="C227" s="7"/>
      <c r="D227" s="507" t="str">
        <f>CONCATENATE("Meeting 3 - ", TEXT(I39,"dd/mm/yyyy"))</f>
        <v>Meeting 3 - 15/04/2024</v>
      </c>
      <c r="E227" s="32"/>
      <c r="F227" s="508" t="s">
        <v>106</v>
      </c>
      <c r="G227" s="509"/>
      <c r="H227" s="510"/>
      <c r="I227" s="508" t="s">
        <v>107</v>
      </c>
      <c r="J227" s="509"/>
      <c r="K227" s="510"/>
      <c r="L227" s="7"/>
    </row>
    <row r="228" spans="3:12" ht="41.45" customHeight="1">
      <c r="C228" s="7"/>
      <c r="D228" s="507"/>
      <c r="E228" s="38"/>
      <c r="F228" s="511"/>
      <c r="G228" s="512"/>
      <c r="H228" s="513"/>
      <c r="I228" s="511"/>
      <c r="J228" s="512"/>
      <c r="K228" s="513"/>
      <c r="L228" s="7"/>
    </row>
    <row r="229" spans="3:12" ht="15" customHeight="1">
      <c r="C229" s="7"/>
      <c r="D229" s="7"/>
      <c r="E229" s="7"/>
      <c r="F229" s="7"/>
      <c r="G229" s="7"/>
      <c r="H229" s="7"/>
      <c r="I229" s="7"/>
      <c r="J229" s="7"/>
      <c r="K229" s="7"/>
      <c r="L229" s="15"/>
    </row>
    <row r="230" spans="3:12" ht="15" customHeight="1">
      <c r="C230" s="7"/>
      <c r="D230" s="15"/>
      <c r="E230" s="15"/>
      <c r="F230" s="15"/>
      <c r="G230" s="15"/>
      <c r="H230" s="15"/>
      <c r="I230" s="15"/>
      <c r="J230" s="15"/>
      <c r="K230" s="15"/>
      <c r="L230" s="15"/>
    </row>
    <row r="231" spans="3:12" ht="15" customHeight="1">
      <c r="C231" s="7"/>
      <c r="D231" s="7"/>
      <c r="E231" s="7"/>
      <c r="F231" s="7"/>
      <c r="G231" s="7"/>
      <c r="H231" s="7"/>
      <c r="I231" s="7"/>
      <c r="J231" s="7"/>
      <c r="K231" s="30">
        <f>AVERAGE(E203,E205,E207,E210,E212,E214,E217,E219,E221,E224,E226,E228)</f>
        <v>0.4375</v>
      </c>
      <c r="L231" s="31" t="str">
        <f>IF(K231&lt;0, "Rate between 0 and 100%", IF(K231&lt;25%,"D",IF(K231&lt;50%,"C",IF(K231&lt;75%,"B",IF(K231&lt;101%,"A","Rate between 0 and 100%")))))</f>
        <v>C</v>
      </c>
    </row>
    <row r="232" spans="3:12" ht="15" customHeight="1">
      <c r="C232" s="7"/>
      <c r="D232" s="7"/>
      <c r="E232" s="7"/>
      <c r="F232" s="7"/>
      <c r="G232" s="7"/>
      <c r="H232" s="7"/>
      <c r="I232" s="7"/>
      <c r="J232" s="7"/>
      <c r="K232" s="30" t="e">
        <f t="shared" ref="K232:K234" si="0">AVERAGE(E204,E206,E208,E211,E213,E215,E218,E220,E222,E225,E227,E229)</f>
        <v>#DIV/0!</v>
      </c>
      <c r="L232" s="31" t="e">
        <f t="shared" ref="L232:L234" si="1">IF(K232&lt;0, "Rate between 0 and 100%", IF(K232&lt;25%,"D",IF(K232&lt;50%,"C",IF(K232&lt;75%,"B",IF(K232&lt;101%,"A","Rate between 0 and 100%")))))</f>
        <v>#DIV/0!</v>
      </c>
    </row>
    <row r="233" spans="3:12" ht="15" customHeight="1">
      <c r="C233" s="7"/>
      <c r="D233" s="7"/>
      <c r="E233" s="7"/>
      <c r="F233" s="7"/>
      <c r="G233" s="7"/>
      <c r="H233" s="7"/>
      <c r="I233" s="7"/>
      <c r="J233" s="7"/>
      <c r="K233" s="30">
        <f t="shared" si="0"/>
        <v>0.875</v>
      </c>
      <c r="L233" s="31" t="str">
        <f t="shared" si="1"/>
        <v>A</v>
      </c>
    </row>
    <row r="234" spans="3:12" ht="15" customHeight="1">
      <c r="C234" s="7"/>
      <c r="D234" s="7"/>
      <c r="E234" s="7"/>
      <c r="F234" s="7"/>
      <c r="G234" s="7"/>
      <c r="H234" s="7"/>
      <c r="I234" s="7"/>
      <c r="J234" s="7"/>
      <c r="K234" s="30">
        <f t="shared" si="0"/>
        <v>0</v>
      </c>
      <c r="L234" s="31" t="str">
        <f t="shared" si="1"/>
        <v>D</v>
      </c>
    </row>
  </sheetData>
  <sheetProtection algorithmName="SHA-512" hashValue="tvckZauOtAL37SnN4dUiwnATyAnuP3aGdRfJ6iPzkLfkcIco98YVMHD94m6NzZzyoRZHQ3gVPucu8bNp8iHhtA==" saltValue="Puatc5OH2rGVvELcNoJHwA==" spinCount="100000" sheet="1" formatCells="0" formatColumns="0" formatRows="0" insertColumns="0" insertRows="0"/>
  <mergeCells count="360">
    <mergeCell ref="F149:K149"/>
    <mergeCell ref="F158:K158"/>
    <mergeCell ref="F163:K163"/>
    <mergeCell ref="F172:K172"/>
    <mergeCell ref="F177:K177"/>
    <mergeCell ref="F186:K186"/>
    <mergeCell ref="F191:K191"/>
    <mergeCell ref="E152:F152"/>
    <mergeCell ref="I152:J152"/>
    <mergeCell ref="E151:K151"/>
    <mergeCell ref="E150:K150"/>
    <mergeCell ref="E153:F153"/>
    <mergeCell ref="I153:J153"/>
    <mergeCell ref="F162:K162"/>
    <mergeCell ref="F184:K184"/>
    <mergeCell ref="F185:K185"/>
    <mergeCell ref="E187:K187"/>
    <mergeCell ref="F188:K188"/>
    <mergeCell ref="F189:K189"/>
    <mergeCell ref="F190:K190"/>
    <mergeCell ref="E178:K178"/>
    <mergeCell ref="D227:D228"/>
    <mergeCell ref="E222:K222"/>
    <mergeCell ref="D223:D224"/>
    <mergeCell ref="D225:D226"/>
    <mergeCell ref="F223:H223"/>
    <mergeCell ref="I223:K223"/>
    <mergeCell ref="F224:H224"/>
    <mergeCell ref="I224:K224"/>
    <mergeCell ref="F225:H225"/>
    <mergeCell ref="I225:K225"/>
    <mergeCell ref="F226:H226"/>
    <mergeCell ref="I226:K226"/>
    <mergeCell ref="F227:H227"/>
    <mergeCell ref="I227:K227"/>
    <mergeCell ref="F228:H228"/>
    <mergeCell ref="I228:K228"/>
    <mergeCell ref="D220:D221"/>
    <mergeCell ref="E215:K215"/>
    <mergeCell ref="D216:D217"/>
    <mergeCell ref="D218:D219"/>
    <mergeCell ref="F219:H219"/>
    <mergeCell ref="I219:K219"/>
    <mergeCell ref="F220:H220"/>
    <mergeCell ref="I220:K220"/>
    <mergeCell ref="F221:H221"/>
    <mergeCell ref="I221:K221"/>
    <mergeCell ref="F216:H216"/>
    <mergeCell ref="I216:K216"/>
    <mergeCell ref="F217:H217"/>
    <mergeCell ref="I217:K217"/>
    <mergeCell ref="F218:H218"/>
    <mergeCell ref="I218:K218"/>
    <mergeCell ref="D213:D214"/>
    <mergeCell ref="E208:K208"/>
    <mergeCell ref="D209:D210"/>
    <mergeCell ref="D211:D212"/>
    <mergeCell ref="F210:H210"/>
    <mergeCell ref="I210:K210"/>
    <mergeCell ref="F211:H211"/>
    <mergeCell ref="I211:K211"/>
    <mergeCell ref="F212:H212"/>
    <mergeCell ref="I212:K212"/>
    <mergeCell ref="F213:H213"/>
    <mergeCell ref="F209:H209"/>
    <mergeCell ref="I209:K209"/>
    <mergeCell ref="I213:K213"/>
    <mergeCell ref="F214:H214"/>
    <mergeCell ref="I214:K214"/>
    <mergeCell ref="D198:E198"/>
    <mergeCell ref="D199:K199"/>
    <mergeCell ref="D200:I200"/>
    <mergeCell ref="E201:K201"/>
    <mergeCell ref="D202:D203"/>
    <mergeCell ref="D204:D205"/>
    <mergeCell ref="D206:D207"/>
    <mergeCell ref="F202:H202"/>
    <mergeCell ref="I202:K202"/>
    <mergeCell ref="I203:K203"/>
    <mergeCell ref="F203:H203"/>
    <mergeCell ref="F204:H204"/>
    <mergeCell ref="I204:K204"/>
    <mergeCell ref="F205:H205"/>
    <mergeCell ref="I205:K205"/>
    <mergeCell ref="F206:H206"/>
    <mergeCell ref="I206:K206"/>
    <mergeCell ref="F207:H207"/>
    <mergeCell ref="I207:K207"/>
    <mergeCell ref="D166:D167"/>
    <mergeCell ref="E165:K165"/>
    <mergeCell ref="E166:F166"/>
    <mergeCell ref="I166:J166"/>
    <mergeCell ref="E164:K164"/>
    <mergeCell ref="D120:K120"/>
    <mergeCell ref="D121:E121"/>
    <mergeCell ref="F121:G121"/>
    <mergeCell ref="D112:E113"/>
    <mergeCell ref="G112:H112"/>
    <mergeCell ref="I112:K112"/>
    <mergeCell ref="G113:H113"/>
    <mergeCell ref="I113:K113"/>
    <mergeCell ref="D114:E115"/>
    <mergeCell ref="G114:H114"/>
    <mergeCell ref="I114:K114"/>
    <mergeCell ref="G115:H115"/>
    <mergeCell ref="I115:K115"/>
    <mergeCell ref="D124:D125"/>
    <mergeCell ref="E124:F124"/>
    <mergeCell ref="E125:F125"/>
    <mergeCell ref="E123:K123"/>
    <mergeCell ref="E126:K126"/>
    <mergeCell ref="F127:K127"/>
    <mergeCell ref="D109:E109"/>
    <mergeCell ref="F109:K109"/>
    <mergeCell ref="D110:E111"/>
    <mergeCell ref="G110:H110"/>
    <mergeCell ref="I110:K110"/>
    <mergeCell ref="G111:H111"/>
    <mergeCell ref="I111:K111"/>
    <mergeCell ref="D104:E105"/>
    <mergeCell ref="G104:H104"/>
    <mergeCell ref="I104:K104"/>
    <mergeCell ref="G105:H105"/>
    <mergeCell ref="I105:K105"/>
    <mergeCell ref="D106:E107"/>
    <mergeCell ref="G106:H106"/>
    <mergeCell ref="I106:K106"/>
    <mergeCell ref="G107:H107"/>
    <mergeCell ref="I107:K107"/>
    <mergeCell ref="D101:E101"/>
    <mergeCell ref="F101:K101"/>
    <mergeCell ref="D102:E103"/>
    <mergeCell ref="G102:H102"/>
    <mergeCell ref="I102:K102"/>
    <mergeCell ref="G103:H103"/>
    <mergeCell ref="I103:K103"/>
    <mergeCell ref="D96:E97"/>
    <mergeCell ref="G96:H96"/>
    <mergeCell ref="I96:K96"/>
    <mergeCell ref="G97:H97"/>
    <mergeCell ref="I97:K97"/>
    <mergeCell ref="D98:E99"/>
    <mergeCell ref="G98:H98"/>
    <mergeCell ref="I98:K98"/>
    <mergeCell ref="G99:H99"/>
    <mergeCell ref="I99:K99"/>
    <mergeCell ref="D93:E93"/>
    <mergeCell ref="F93:K93"/>
    <mergeCell ref="D94:E95"/>
    <mergeCell ref="G94:H94"/>
    <mergeCell ref="I94:K94"/>
    <mergeCell ref="G95:H95"/>
    <mergeCell ref="I95:K95"/>
    <mergeCell ref="D88:E89"/>
    <mergeCell ref="G88:H88"/>
    <mergeCell ref="I88:K88"/>
    <mergeCell ref="G89:H89"/>
    <mergeCell ref="I89:K89"/>
    <mergeCell ref="D90:E91"/>
    <mergeCell ref="G90:H90"/>
    <mergeCell ref="I90:K90"/>
    <mergeCell ref="G91:H91"/>
    <mergeCell ref="I91:K91"/>
    <mergeCell ref="D85:E85"/>
    <mergeCell ref="F85:K85"/>
    <mergeCell ref="D86:E87"/>
    <mergeCell ref="G86:H86"/>
    <mergeCell ref="I86:K86"/>
    <mergeCell ref="G87:H87"/>
    <mergeCell ref="I87:K87"/>
    <mergeCell ref="D80:E81"/>
    <mergeCell ref="G80:H80"/>
    <mergeCell ref="I80:K80"/>
    <mergeCell ref="G81:H81"/>
    <mergeCell ref="I81:K81"/>
    <mergeCell ref="D82:E83"/>
    <mergeCell ref="G82:H82"/>
    <mergeCell ref="I82:K82"/>
    <mergeCell ref="G83:H83"/>
    <mergeCell ref="I83:K83"/>
    <mergeCell ref="D77:E77"/>
    <mergeCell ref="F77:K77"/>
    <mergeCell ref="D78:E79"/>
    <mergeCell ref="G78:H78"/>
    <mergeCell ref="I78:K78"/>
    <mergeCell ref="G79:H79"/>
    <mergeCell ref="I79:K79"/>
    <mergeCell ref="D72:E73"/>
    <mergeCell ref="G72:H72"/>
    <mergeCell ref="I72:K72"/>
    <mergeCell ref="G73:H73"/>
    <mergeCell ref="I73:K73"/>
    <mergeCell ref="D74:E75"/>
    <mergeCell ref="G74:H74"/>
    <mergeCell ref="I74:K74"/>
    <mergeCell ref="G75:H75"/>
    <mergeCell ref="I75:K75"/>
    <mergeCell ref="D69:E69"/>
    <mergeCell ref="F69:K69"/>
    <mergeCell ref="D70:E71"/>
    <mergeCell ref="G70:H70"/>
    <mergeCell ref="I70:K70"/>
    <mergeCell ref="G71:H71"/>
    <mergeCell ref="I71:K71"/>
    <mergeCell ref="D64:E65"/>
    <mergeCell ref="G64:H64"/>
    <mergeCell ref="I64:K64"/>
    <mergeCell ref="G65:H65"/>
    <mergeCell ref="I65:K65"/>
    <mergeCell ref="D66:E67"/>
    <mergeCell ref="G66:H66"/>
    <mergeCell ref="I66:K66"/>
    <mergeCell ref="G67:H67"/>
    <mergeCell ref="I67:K67"/>
    <mergeCell ref="D62:E63"/>
    <mergeCell ref="G62:H62"/>
    <mergeCell ref="I62:K62"/>
    <mergeCell ref="G63:H63"/>
    <mergeCell ref="I63:K63"/>
    <mergeCell ref="J52:K52"/>
    <mergeCell ref="F53:H53"/>
    <mergeCell ref="J53:K53"/>
    <mergeCell ref="F54:K54"/>
    <mergeCell ref="D58:K58"/>
    <mergeCell ref="D51:D54"/>
    <mergeCell ref="F51:H51"/>
    <mergeCell ref="I51:I52"/>
    <mergeCell ref="J51:K51"/>
    <mergeCell ref="F52:H52"/>
    <mergeCell ref="D59:K59"/>
    <mergeCell ref="D61:E61"/>
    <mergeCell ref="F61:K61"/>
    <mergeCell ref="D47:D50"/>
    <mergeCell ref="F47:H47"/>
    <mergeCell ref="I47:I48"/>
    <mergeCell ref="J47:K47"/>
    <mergeCell ref="F48:H48"/>
    <mergeCell ref="J48:K48"/>
    <mergeCell ref="F49:H49"/>
    <mergeCell ref="J49:K49"/>
    <mergeCell ref="F50:K50"/>
    <mergeCell ref="E32:I32"/>
    <mergeCell ref="E39:H39"/>
    <mergeCell ref="I39:J39"/>
    <mergeCell ref="D42:E42"/>
    <mergeCell ref="F42:I42"/>
    <mergeCell ref="J42:K42"/>
    <mergeCell ref="D43:D46"/>
    <mergeCell ref="F43:H43"/>
    <mergeCell ref="I43:I44"/>
    <mergeCell ref="J43:K43"/>
    <mergeCell ref="F44:H44"/>
    <mergeCell ref="J44:K44"/>
    <mergeCell ref="F45:H45"/>
    <mergeCell ref="J45:K45"/>
    <mergeCell ref="F46:K46"/>
    <mergeCell ref="D2:G2"/>
    <mergeCell ref="D4:K4"/>
    <mergeCell ref="E5:K5"/>
    <mergeCell ref="E6:K6"/>
    <mergeCell ref="E7:K7"/>
    <mergeCell ref="D10:D11"/>
    <mergeCell ref="E10:K11"/>
    <mergeCell ref="E23:I23"/>
    <mergeCell ref="J23:J27"/>
    <mergeCell ref="E24:I24"/>
    <mergeCell ref="E25:I25"/>
    <mergeCell ref="E26:I26"/>
    <mergeCell ref="E27:I27"/>
    <mergeCell ref="E18:I18"/>
    <mergeCell ref="J18:J22"/>
    <mergeCell ref="E19:I19"/>
    <mergeCell ref="E20:I20"/>
    <mergeCell ref="E21:I21"/>
    <mergeCell ref="E22:I22"/>
    <mergeCell ref="N125:N134"/>
    <mergeCell ref="D126:D127"/>
    <mergeCell ref="D131:D132"/>
    <mergeCell ref="F130:K130"/>
    <mergeCell ref="I124:J124"/>
    <mergeCell ref="I125:J125"/>
    <mergeCell ref="E13:I13"/>
    <mergeCell ref="E14:I14"/>
    <mergeCell ref="J14:J17"/>
    <mergeCell ref="E15:I15"/>
    <mergeCell ref="E16:I16"/>
    <mergeCell ref="E17:I17"/>
    <mergeCell ref="E36:H36"/>
    <mergeCell ref="I36:J36"/>
    <mergeCell ref="E37:H37"/>
    <mergeCell ref="I37:J37"/>
    <mergeCell ref="E38:H38"/>
    <mergeCell ref="I38:J38"/>
    <mergeCell ref="E28:I28"/>
    <mergeCell ref="J28:J32"/>
    <mergeCell ref="E29:I29"/>
    <mergeCell ref="E30:I30"/>
    <mergeCell ref="E31:I31"/>
    <mergeCell ref="E122:K122"/>
    <mergeCell ref="N139:N148"/>
    <mergeCell ref="D140:D141"/>
    <mergeCell ref="D145:D146"/>
    <mergeCell ref="E140:K140"/>
    <mergeCell ref="F141:K141"/>
    <mergeCell ref="F142:K142"/>
    <mergeCell ref="F143:K143"/>
    <mergeCell ref="E145:K145"/>
    <mergeCell ref="F146:K146"/>
    <mergeCell ref="F147:K147"/>
    <mergeCell ref="E139:F139"/>
    <mergeCell ref="I139:J139"/>
    <mergeCell ref="D138:D139"/>
    <mergeCell ref="E138:F138"/>
    <mergeCell ref="F148:K148"/>
    <mergeCell ref="F144:K144"/>
    <mergeCell ref="N153:N162"/>
    <mergeCell ref="D154:D155"/>
    <mergeCell ref="D159:D160"/>
    <mergeCell ref="E154:K154"/>
    <mergeCell ref="F155:K155"/>
    <mergeCell ref="F156:K156"/>
    <mergeCell ref="F157:K157"/>
    <mergeCell ref="E159:K159"/>
    <mergeCell ref="F160:K160"/>
    <mergeCell ref="F161:K161"/>
    <mergeCell ref="D152:D153"/>
    <mergeCell ref="D180:D181"/>
    <mergeCell ref="N181:N190"/>
    <mergeCell ref="D182:D183"/>
    <mergeCell ref="D187:D188"/>
    <mergeCell ref="E180:F180"/>
    <mergeCell ref="I180:J180"/>
    <mergeCell ref="E181:F181"/>
    <mergeCell ref="I181:J181"/>
    <mergeCell ref="N167:N176"/>
    <mergeCell ref="D168:D169"/>
    <mergeCell ref="D173:D174"/>
    <mergeCell ref="E167:F167"/>
    <mergeCell ref="I167:J167"/>
    <mergeCell ref="E168:K168"/>
    <mergeCell ref="F169:K169"/>
    <mergeCell ref="F170:K170"/>
    <mergeCell ref="F171:K171"/>
    <mergeCell ref="E173:K173"/>
    <mergeCell ref="F174:K174"/>
    <mergeCell ref="F175:K175"/>
    <mergeCell ref="F176:K176"/>
    <mergeCell ref="E179:K179"/>
    <mergeCell ref="E182:K182"/>
    <mergeCell ref="F183:K183"/>
    <mergeCell ref="F128:K128"/>
    <mergeCell ref="F129:K129"/>
    <mergeCell ref="E131:K131"/>
    <mergeCell ref="F132:K132"/>
    <mergeCell ref="I138:J138"/>
    <mergeCell ref="F133:K133"/>
    <mergeCell ref="F134:K134"/>
    <mergeCell ref="E137:K137"/>
    <mergeCell ref="E136:K136"/>
    <mergeCell ref="F135:K135"/>
  </mergeCells>
  <conditionalFormatting sqref="D41">
    <cfRule type="containsText" dxfId="2725" priority="168" operator="containsText" text="Start">
      <formula>NOT(ISERROR(SEARCH("Start",D41)))</formula>
    </cfRule>
    <cfRule type="containsText" dxfId="2724" priority="167" operator="containsText" text="Stop">
      <formula>NOT(ISERROR(SEARCH("Stop",D41)))</formula>
    </cfRule>
    <cfRule type="containsText" dxfId="2723" priority="166" operator="containsText" text="Continue">
      <formula>NOT(ISERROR(SEARCH("Continue",D41)))</formula>
    </cfRule>
  </conditionalFormatting>
  <conditionalFormatting sqref="D61:D62 D64 D66 D202 D204 D206">
    <cfRule type="containsText" dxfId="2722" priority="799" operator="containsText" text="Stop">
      <formula>NOT(ISERROR(SEARCH("Stop",D61)))</formula>
    </cfRule>
    <cfRule type="containsText" dxfId="2721" priority="800" operator="containsText" text="Start">
      <formula>NOT(ISERROR(SEARCH("Start",D61)))</formula>
    </cfRule>
    <cfRule type="containsText" dxfId="2720" priority="801" operator="containsText" text="N/A">
      <formula>NOT(ISERROR(SEARCH("N/A",D61)))</formula>
    </cfRule>
    <cfRule type="containsText" dxfId="2719" priority="802" operator="containsText" text="Exceeds">
      <formula>NOT(ISERROR(SEARCH("Exceeds",D61)))</formula>
    </cfRule>
    <cfRule type="containsText" dxfId="2718" priority="803" operator="containsText" text="Meets">
      <formula>NOT(ISERROR(SEARCH("Meets",D61)))</formula>
    </cfRule>
    <cfRule type="containsText" dxfId="2717" priority="804" operator="containsText" text="Under">
      <formula>NOT(ISERROR(SEARCH("Under",D61)))</formula>
    </cfRule>
    <cfRule type="containsText" dxfId="2716" priority="798" operator="containsText" text="Continue">
      <formula>NOT(ISERROR(SEARCH("Continue",D61)))</formula>
    </cfRule>
  </conditionalFormatting>
  <conditionalFormatting sqref="D69:D70 D72 D74">
    <cfRule type="containsText" dxfId="2715" priority="677" operator="containsText" text="Continue">
      <formula>NOT(ISERROR(SEARCH("Continue",D69)))</formula>
    </cfRule>
    <cfRule type="containsText" dxfId="2714" priority="678" operator="containsText" text="Stop">
      <formula>NOT(ISERROR(SEARCH("Stop",D69)))</formula>
    </cfRule>
    <cfRule type="containsText" dxfId="2713" priority="679" operator="containsText" text="Start">
      <formula>NOT(ISERROR(SEARCH("Start",D69)))</formula>
    </cfRule>
    <cfRule type="containsText" dxfId="2712" priority="680" operator="containsText" text="N/A">
      <formula>NOT(ISERROR(SEARCH("N/A",D69)))</formula>
    </cfRule>
    <cfRule type="containsText" dxfId="2711" priority="681" operator="containsText" text="Exceeds">
      <formula>NOT(ISERROR(SEARCH("Exceeds",D69)))</formula>
    </cfRule>
    <cfRule type="containsText" dxfId="2710" priority="682" operator="containsText" text="Meets">
      <formula>NOT(ISERROR(SEARCH("Meets",D69)))</formula>
    </cfRule>
    <cfRule type="containsText" dxfId="2709" priority="683" operator="containsText" text="Under">
      <formula>NOT(ISERROR(SEARCH("Under",D69)))</formula>
    </cfRule>
  </conditionalFormatting>
  <conditionalFormatting sqref="D77:D78 D80 D82">
    <cfRule type="containsText" dxfId="2708" priority="675" operator="containsText" text="Meets">
      <formula>NOT(ISERROR(SEARCH("Meets",D77)))</formula>
    </cfRule>
    <cfRule type="containsText" dxfId="2707" priority="674" operator="containsText" text="Exceeds">
      <formula>NOT(ISERROR(SEARCH("Exceeds",D77)))</formula>
    </cfRule>
    <cfRule type="containsText" dxfId="2706" priority="672" operator="containsText" text="Start">
      <formula>NOT(ISERROR(SEARCH("Start",D77)))</formula>
    </cfRule>
    <cfRule type="containsText" dxfId="2705" priority="671" operator="containsText" text="Stop">
      <formula>NOT(ISERROR(SEARCH("Stop",D77)))</formula>
    </cfRule>
    <cfRule type="containsText" dxfId="2704" priority="670" operator="containsText" text="Continue">
      <formula>NOT(ISERROR(SEARCH("Continue",D77)))</formula>
    </cfRule>
    <cfRule type="containsText" dxfId="2703" priority="673" operator="containsText" text="N/A">
      <formula>NOT(ISERROR(SEARCH("N/A",D77)))</formula>
    </cfRule>
    <cfRule type="containsText" dxfId="2702" priority="676" operator="containsText" text="Under">
      <formula>NOT(ISERROR(SEARCH("Under",D77)))</formula>
    </cfRule>
  </conditionalFormatting>
  <conditionalFormatting sqref="D85:D86 D88 D90">
    <cfRule type="containsText" dxfId="2701" priority="663" operator="containsText" text="Continue">
      <formula>NOT(ISERROR(SEARCH("Continue",D85)))</formula>
    </cfRule>
    <cfRule type="containsText" dxfId="2700" priority="669" operator="containsText" text="Under">
      <formula>NOT(ISERROR(SEARCH("Under",D85)))</formula>
    </cfRule>
    <cfRule type="containsText" dxfId="2699" priority="664" operator="containsText" text="Stop">
      <formula>NOT(ISERROR(SEARCH("Stop",D85)))</formula>
    </cfRule>
    <cfRule type="containsText" dxfId="2698" priority="668" operator="containsText" text="Meets">
      <formula>NOT(ISERROR(SEARCH("Meets",D85)))</formula>
    </cfRule>
    <cfRule type="containsText" dxfId="2697" priority="667" operator="containsText" text="Exceeds">
      <formula>NOT(ISERROR(SEARCH("Exceeds",D85)))</formula>
    </cfRule>
    <cfRule type="containsText" dxfId="2696" priority="666" operator="containsText" text="N/A">
      <formula>NOT(ISERROR(SEARCH("N/A",D85)))</formula>
    </cfRule>
    <cfRule type="containsText" dxfId="2695" priority="665" operator="containsText" text="Start">
      <formula>NOT(ISERROR(SEARCH("Start",D85)))</formula>
    </cfRule>
  </conditionalFormatting>
  <conditionalFormatting sqref="D93:D94 D96 D98">
    <cfRule type="containsText" dxfId="2694" priority="662" operator="containsText" text="Under">
      <formula>NOT(ISERROR(SEARCH("Under",D93)))</formula>
    </cfRule>
    <cfRule type="containsText" dxfId="2693" priority="661" operator="containsText" text="Meets">
      <formula>NOT(ISERROR(SEARCH("Meets",D93)))</formula>
    </cfRule>
    <cfRule type="containsText" dxfId="2692" priority="660" operator="containsText" text="Exceeds">
      <formula>NOT(ISERROR(SEARCH("Exceeds",D93)))</formula>
    </cfRule>
    <cfRule type="containsText" dxfId="2691" priority="659" operator="containsText" text="N/A">
      <formula>NOT(ISERROR(SEARCH("N/A",D93)))</formula>
    </cfRule>
    <cfRule type="containsText" dxfId="2690" priority="658" operator="containsText" text="Start">
      <formula>NOT(ISERROR(SEARCH("Start",D93)))</formula>
    </cfRule>
    <cfRule type="containsText" dxfId="2689" priority="657" operator="containsText" text="Stop">
      <formula>NOT(ISERROR(SEARCH("Stop",D93)))</formula>
    </cfRule>
    <cfRule type="containsText" dxfId="2688" priority="656" operator="containsText" text="Continue">
      <formula>NOT(ISERROR(SEARCH("Continue",D93)))</formula>
    </cfRule>
  </conditionalFormatting>
  <conditionalFormatting sqref="D101:D102 D104 D106">
    <cfRule type="containsText" dxfId="2687" priority="654" operator="containsText" text="Meets">
      <formula>NOT(ISERROR(SEARCH("Meets",D101)))</formula>
    </cfRule>
    <cfRule type="containsText" dxfId="2686" priority="655" operator="containsText" text="Under">
      <formula>NOT(ISERROR(SEARCH("Under",D101)))</formula>
    </cfRule>
    <cfRule type="containsText" dxfId="2685" priority="649" operator="containsText" text="Continue">
      <formula>NOT(ISERROR(SEARCH("Continue",D101)))</formula>
    </cfRule>
    <cfRule type="containsText" dxfId="2684" priority="650" operator="containsText" text="Stop">
      <formula>NOT(ISERROR(SEARCH("Stop",D101)))</formula>
    </cfRule>
    <cfRule type="containsText" dxfId="2683" priority="651" operator="containsText" text="Start">
      <formula>NOT(ISERROR(SEARCH("Start",D101)))</formula>
    </cfRule>
    <cfRule type="containsText" dxfId="2682" priority="653" operator="containsText" text="Exceeds">
      <formula>NOT(ISERROR(SEARCH("Exceeds",D101)))</formula>
    </cfRule>
    <cfRule type="containsText" dxfId="2681" priority="652" operator="containsText" text="N/A">
      <formula>NOT(ISERROR(SEARCH("N/A",D101)))</formula>
    </cfRule>
  </conditionalFormatting>
  <conditionalFormatting sqref="D109:D110 D112 D114">
    <cfRule type="containsText" dxfId="2680" priority="242" operator="containsText" text="Under">
      <formula>NOT(ISERROR(SEARCH("Under",D109)))</formula>
    </cfRule>
    <cfRule type="containsText" dxfId="2679" priority="241" operator="containsText" text="Meets">
      <formula>NOT(ISERROR(SEARCH("Meets",D109)))</formula>
    </cfRule>
    <cfRule type="containsText" dxfId="2678" priority="240" operator="containsText" text="Exceeds">
      <formula>NOT(ISERROR(SEARCH("Exceeds",D109)))</formula>
    </cfRule>
    <cfRule type="containsText" dxfId="2677" priority="239" operator="containsText" text="N/A">
      <formula>NOT(ISERROR(SEARCH("N/A",D109)))</formula>
    </cfRule>
    <cfRule type="containsText" dxfId="2676" priority="238" operator="containsText" text="Start">
      <formula>NOT(ISERROR(SEARCH("Start",D109)))</formula>
    </cfRule>
    <cfRule type="containsText" dxfId="2675" priority="237" operator="containsText" text="Stop">
      <formula>NOT(ISERROR(SEARCH("Stop",D109)))</formula>
    </cfRule>
    <cfRule type="containsText" dxfId="2674" priority="236" operator="containsText" text="Continue">
      <formula>NOT(ISERROR(SEARCH("Continue",D109)))</formula>
    </cfRule>
  </conditionalFormatting>
  <conditionalFormatting sqref="D209 D216 D223">
    <cfRule type="containsText" dxfId="2673" priority="704" operator="containsText" text="Under">
      <formula>NOT(ISERROR(SEARCH("Under",D209)))</formula>
    </cfRule>
    <cfRule type="containsText" dxfId="2672" priority="702" operator="containsText" text="Exceeds">
      <formula>NOT(ISERROR(SEARCH("Exceeds",D209)))</formula>
    </cfRule>
    <cfRule type="containsText" dxfId="2671" priority="698" operator="containsText" text="Continue">
      <formula>NOT(ISERROR(SEARCH("Continue",D209)))</formula>
    </cfRule>
    <cfRule type="containsText" dxfId="2670" priority="700" operator="containsText" text="Start">
      <formula>NOT(ISERROR(SEARCH("Start",D209)))</formula>
    </cfRule>
    <cfRule type="containsText" dxfId="2669" priority="699" operator="containsText" text="Stop">
      <formula>NOT(ISERROR(SEARCH("Stop",D209)))</formula>
    </cfRule>
    <cfRule type="containsText" dxfId="2668" priority="701" operator="containsText" text="N/A">
      <formula>NOT(ISERROR(SEARCH("N/A",D209)))</formula>
    </cfRule>
    <cfRule type="containsText" dxfId="2667" priority="703" operator="containsText" text="Meets">
      <formula>NOT(ISERROR(SEARCH("Meets",D209)))</formula>
    </cfRule>
  </conditionalFormatting>
  <conditionalFormatting sqref="D211 D218 D225">
    <cfRule type="containsText" dxfId="2666" priority="691" operator="containsText" text="Continue">
      <formula>NOT(ISERROR(SEARCH("Continue",D211)))</formula>
    </cfRule>
    <cfRule type="containsText" dxfId="2665" priority="692" operator="containsText" text="Stop">
      <formula>NOT(ISERROR(SEARCH("Stop",D211)))</formula>
    </cfRule>
    <cfRule type="containsText" dxfId="2664" priority="694" operator="containsText" text="N/A">
      <formula>NOT(ISERROR(SEARCH("N/A",D211)))</formula>
    </cfRule>
    <cfRule type="containsText" dxfId="2663" priority="695" operator="containsText" text="Exceeds">
      <formula>NOT(ISERROR(SEARCH("Exceeds",D211)))</formula>
    </cfRule>
    <cfRule type="containsText" dxfId="2662" priority="696" operator="containsText" text="Meets">
      <formula>NOT(ISERROR(SEARCH("Meets",D211)))</formula>
    </cfRule>
    <cfRule type="containsText" dxfId="2661" priority="697" operator="containsText" text="Under">
      <formula>NOT(ISERROR(SEARCH("Under",D211)))</formula>
    </cfRule>
    <cfRule type="containsText" dxfId="2660" priority="693" operator="containsText" text="Start">
      <formula>NOT(ISERROR(SEARCH("Start",D211)))</formula>
    </cfRule>
  </conditionalFormatting>
  <conditionalFormatting sqref="D213 D220 D227">
    <cfRule type="containsText" dxfId="2659" priority="687" operator="containsText" text="N/A">
      <formula>NOT(ISERROR(SEARCH("N/A",D213)))</formula>
    </cfRule>
    <cfRule type="containsText" dxfId="2658" priority="688" operator="containsText" text="Exceeds">
      <formula>NOT(ISERROR(SEARCH("Exceeds",D213)))</formula>
    </cfRule>
    <cfRule type="containsText" dxfId="2657" priority="686" operator="containsText" text="Start">
      <formula>NOT(ISERROR(SEARCH("Start",D213)))</formula>
    </cfRule>
    <cfRule type="containsText" dxfId="2656" priority="685" operator="containsText" text="Stop">
      <formula>NOT(ISERROR(SEARCH("Stop",D213)))</formula>
    </cfRule>
    <cfRule type="containsText" dxfId="2655" priority="684" operator="containsText" text="Continue">
      <formula>NOT(ISERROR(SEARCH("Continue",D213)))</formula>
    </cfRule>
    <cfRule type="containsText" dxfId="2654" priority="689" operator="containsText" text="Meets">
      <formula>NOT(ISERROR(SEARCH("Meets",D213)))</formula>
    </cfRule>
    <cfRule type="containsText" dxfId="2653" priority="690" operator="containsText" text="Under">
      <formula>NOT(ISERROR(SEARCH("Under",D213)))</formula>
    </cfRule>
  </conditionalFormatting>
  <conditionalFormatting sqref="D76:E76">
    <cfRule type="containsText" dxfId="2652" priority="743" operator="containsText" text="Stop">
      <formula>NOT(ISERROR(SEARCH("Stop",D76)))</formula>
    </cfRule>
    <cfRule type="containsText" dxfId="2651" priority="742" operator="containsText" text="Continue">
      <formula>NOT(ISERROR(SEARCH("Continue",D76)))</formula>
    </cfRule>
    <cfRule type="containsText" dxfId="2650" priority="748" operator="containsText" text="Under">
      <formula>NOT(ISERROR(SEARCH("Under",D76)))</formula>
    </cfRule>
    <cfRule type="containsText" dxfId="2649" priority="747" operator="containsText" text="Meets">
      <formula>NOT(ISERROR(SEARCH("Meets",D76)))</formula>
    </cfRule>
    <cfRule type="containsText" dxfId="2648" priority="746" operator="containsText" text="Exceeds">
      <formula>NOT(ISERROR(SEARCH("Exceeds",D76)))</formula>
    </cfRule>
    <cfRule type="containsText" dxfId="2647" priority="745" operator="containsText" text="N/A">
      <formula>NOT(ISERROR(SEARCH("N/A",D76)))</formula>
    </cfRule>
    <cfRule type="containsText" dxfId="2646" priority="744" operator="containsText" text="Start">
      <formula>NOT(ISERROR(SEARCH("Start",D76)))</formula>
    </cfRule>
  </conditionalFormatting>
  <conditionalFormatting sqref="E128:E129 E142:E143 E156:E157 E170:E171">
    <cfRule type="dataBar" priority="164">
      <dataBar>
        <cfvo type="num" val="0"/>
        <cfvo type="num" val="1"/>
        <color theme="0" tint="-0.249977111117893"/>
      </dataBar>
      <extLst>
        <ext xmlns:x14="http://schemas.microsoft.com/office/spreadsheetml/2009/9/main" uri="{B025F937-C7B1-47D3-B67F-A62EFF666E3E}">
          <x14:id>{F70083F1-3436-44E5-BFD6-096F4C0F06E7}</x14:id>
        </ext>
      </extLst>
    </cfRule>
  </conditionalFormatting>
  <conditionalFormatting sqref="E130 E144 E158 E172">
    <cfRule type="dataBar" priority="165">
      <dataBar>
        <cfvo type="num" val="0"/>
        <cfvo type="num" val="1"/>
        <color theme="0" tint="-0.249977111117893"/>
      </dataBar>
      <extLst>
        <ext xmlns:x14="http://schemas.microsoft.com/office/spreadsheetml/2009/9/main" uri="{B025F937-C7B1-47D3-B67F-A62EFF666E3E}">
          <x14:id>{70EF7904-A3CE-40CC-A222-93555F8CC8D9}</x14:id>
        </ext>
      </extLst>
    </cfRule>
  </conditionalFormatting>
  <conditionalFormatting sqref="E133:E134 E147:E148 E161:E162 E175:E176">
    <cfRule type="dataBar" priority="162">
      <dataBar>
        <cfvo type="num" val="0"/>
        <cfvo type="num" val="1"/>
        <color theme="0" tint="-0.249977111117893"/>
      </dataBar>
      <extLst>
        <ext xmlns:x14="http://schemas.microsoft.com/office/spreadsheetml/2009/9/main" uri="{B025F937-C7B1-47D3-B67F-A62EFF666E3E}">
          <x14:id>{77FF1469-D5E3-47F8-B06F-A13374B99CBF}</x14:id>
        </ext>
      </extLst>
    </cfRule>
  </conditionalFormatting>
  <conditionalFormatting sqref="E135 E149 E163 E177">
    <cfRule type="dataBar" priority="163">
      <dataBar>
        <cfvo type="num" val="0"/>
        <cfvo type="num" val="1"/>
        <color theme="0" tint="-0.249977111117893"/>
      </dataBar>
      <extLst>
        <ext xmlns:x14="http://schemas.microsoft.com/office/spreadsheetml/2009/9/main" uri="{B025F937-C7B1-47D3-B67F-A62EFF666E3E}">
          <x14:id>{55DC4919-FF5D-494D-B9DC-95DDF5467E31}</x14:id>
        </ext>
      </extLst>
    </cfRule>
  </conditionalFormatting>
  <conditionalFormatting sqref="E184:E185">
    <cfRule type="dataBar" priority="171">
      <dataBar>
        <cfvo type="num" val="0"/>
        <cfvo type="num" val="1"/>
        <color theme="0" tint="-0.249977111117893"/>
      </dataBar>
      <extLst>
        <ext xmlns:x14="http://schemas.microsoft.com/office/spreadsheetml/2009/9/main" uri="{B025F937-C7B1-47D3-B67F-A62EFF666E3E}">
          <x14:id>{693AAC3B-68B2-4FDB-85FE-65F88EDC4035}</x14:id>
        </ext>
      </extLst>
    </cfRule>
  </conditionalFormatting>
  <conditionalFormatting sqref="E186">
    <cfRule type="dataBar" priority="172">
      <dataBar>
        <cfvo type="num" val="0"/>
        <cfvo type="num" val="1"/>
        <color theme="0" tint="-0.249977111117893"/>
      </dataBar>
      <extLst>
        <ext xmlns:x14="http://schemas.microsoft.com/office/spreadsheetml/2009/9/main" uri="{B025F937-C7B1-47D3-B67F-A62EFF666E3E}">
          <x14:id>{81C9341C-43F4-445E-B34A-81D5FB4D906A}</x14:id>
        </ext>
      </extLst>
    </cfRule>
  </conditionalFormatting>
  <conditionalFormatting sqref="E189:E190">
    <cfRule type="dataBar" priority="169">
      <dataBar>
        <cfvo type="num" val="0"/>
        <cfvo type="num" val="1"/>
        <color theme="0" tint="-0.249977111117893"/>
      </dataBar>
      <extLst>
        <ext xmlns:x14="http://schemas.microsoft.com/office/spreadsheetml/2009/9/main" uri="{B025F937-C7B1-47D3-B67F-A62EFF666E3E}">
          <x14:id>{D73D4CB1-A33E-4B5F-8C4C-906880309A3E}</x14:id>
        </ext>
      </extLst>
    </cfRule>
  </conditionalFormatting>
  <conditionalFormatting sqref="E191:E192">
    <cfRule type="dataBar" priority="170">
      <dataBar>
        <cfvo type="num" val="0"/>
        <cfvo type="num" val="1"/>
        <color theme="0" tint="-0.249977111117893"/>
      </dataBar>
      <extLst>
        <ext xmlns:x14="http://schemas.microsoft.com/office/spreadsheetml/2009/9/main" uri="{B025F937-C7B1-47D3-B67F-A62EFF666E3E}">
          <x14:id>{D4E3C735-1D8A-460F-BBD3-287AA79A535D}</x14:id>
        </ext>
      </extLst>
    </cfRule>
  </conditionalFormatting>
  <conditionalFormatting sqref="E203 E205 E207">
    <cfRule type="dataBar" priority="763">
      <dataBar>
        <cfvo type="num" val="0"/>
        <cfvo type="num" val="1"/>
        <color theme="0" tint="-0.249977111117893"/>
      </dataBar>
      <extLst>
        <ext xmlns:x14="http://schemas.microsoft.com/office/spreadsheetml/2009/9/main" uri="{B025F937-C7B1-47D3-B67F-A62EFF666E3E}">
          <x14:id>{AD16439C-223C-4D20-8503-E44C4315325B}</x14:id>
        </ext>
      </extLst>
    </cfRule>
  </conditionalFormatting>
  <conditionalFormatting sqref="E203">
    <cfRule type="containsText" dxfId="2645" priority="764" operator="containsText" text="Continue">
      <formula>NOT(ISERROR(SEARCH("Continue",E203)))</formula>
    </cfRule>
    <cfRule type="containsText" dxfId="2644" priority="765" operator="containsText" text="Stop">
      <formula>NOT(ISERROR(SEARCH("Stop",E203)))</formula>
    </cfRule>
    <cfRule type="dataBar" priority="771">
      <dataBar>
        <cfvo type="num" val="0"/>
        <cfvo type="num" val="1"/>
        <color rgb="FF63C384"/>
      </dataBar>
      <extLst>
        <ext xmlns:x14="http://schemas.microsoft.com/office/spreadsheetml/2009/9/main" uri="{B025F937-C7B1-47D3-B67F-A62EFF666E3E}">
          <x14:id>{8797000B-AB5C-43F3-A5F6-54650ABA73A1}</x14:id>
        </ext>
      </extLst>
    </cfRule>
    <cfRule type="containsText" dxfId="2643" priority="766" operator="containsText" text="Start">
      <formula>NOT(ISERROR(SEARCH("Start",E203)))</formula>
    </cfRule>
    <cfRule type="containsText" dxfId="2642" priority="770" operator="containsText" text="Under">
      <formula>NOT(ISERROR(SEARCH("Under",E203)))</formula>
    </cfRule>
    <cfRule type="containsText" dxfId="2641" priority="767" operator="containsText" text="N/A">
      <formula>NOT(ISERROR(SEARCH("N/A",E203)))</formula>
    </cfRule>
    <cfRule type="containsText" dxfId="2640" priority="769" operator="containsText" text="Meets">
      <formula>NOT(ISERROR(SEARCH("Meets",E203)))</formula>
    </cfRule>
    <cfRule type="containsText" dxfId="2639" priority="768" operator="containsText" text="Exceeds">
      <formula>NOT(ISERROR(SEARCH("Exceeds",E203)))</formula>
    </cfRule>
  </conditionalFormatting>
  <conditionalFormatting sqref="E205">
    <cfRule type="containsText" dxfId="2638" priority="761" operator="containsText" text="Meets">
      <formula>NOT(ISERROR(SEARCH("Meets",E205)))</formula>
    </cfRule>
    <cfRule type="containsText" dxfId="2637" priority="760" operator="containsText" text="Exceeds">
      <formula>NOT(ISERROR(SEARCH("Exceeds",E205)))</formula>
    </cfRule>
    <cfRule type="containsText" dxfId="2636" priority="758" operator="containsText" text="Start">
      <formula>NOT(ISERROR(SEARCH("Start",E205)))</formula>
    </cfRule>
    <cfRule type="containsText" dxfId="2635" priority="759" operator="containsText" text="N/A">
      <formula>NOT(ISERROR(SEARCH("N/A",E205)))</formula>
    </cfRule>
    <cfRule type="containsText" dxfId="2634" priority="757" operator="containsText" text="Stop">
      <formula>NOT(ISERROR(SEARCH("Stop",E205)))</formula>
    </cfRule>
    <cfRule type="containsText" dxfId="2633" priority="756" operator="containsText" text="Continue">
      <formula>NOT(ISERROR(SEARCH("Continue",E205)))</formula>
    </cfRule>
    <cfRule type="containsText" dxfId="2632" priority="762" operator="containsText" text="Under">
      <formula>NOT(ISERROR(SEARCH("Under",E205)))</formula>
    </cfRule>
  </conditionalFormatting>
  <conditionalFormatting sqref="E207">
    <cfRule type="containsText" dxfId="2631" priority="754" operator="containsText" text="Meets">
      <formula>NOT(ISERROR(SEARCH("Meets",E207)))</formula>
    </cfRule>
    <cfRule type="containsText" dxfId="2630" priority="753" operator="containsText" text="Exceeds">
      <formula>NOT(ISERROR(SEARCH("Exceeds",E207)))</formula>
    </cfRule>
    <cfRule type="containsText" dxfId="2629" priority="752" operator="containsText" text="N/A">
      <formula>NOT(ISERROR(SEARCH("N/A",E207)))</formula>
    </cfRule>
    <cfRule type="containsText" dxfId="2628" priority="750" operator="containsText" text="Stop">
      <formula>NOT(ISERROR(SEARCH("Stop",E207)))</formula>
    </cfRule>
    <cfRule type="containsText" dxfId="2627" priority="749" operator="containsText" text="Continue">
      <formula>NOT(ISERROR(SEARCH("Continue",E207)))</formula>
    </cfRule>
    <cfRule type="containsText" dxfId="2626" priority="751" operator="containsText" text="Start">
      <formula>NOT(ISERROR(SEARCH("Start",E207)))</formula>
    </cfRule>
    <cfRule type="containsText" dxfId="2625" priority="755" operator="containsText" text="Under">
      <formula>NOT(ISERROR(SEARCH("Under",E207)))</formula>
    </cfRule>
  </conditionalFormatting>
  <conditionalFormatting sqref="E210">
    <cfRule type="containsText" dxfId="2624" priority="614" operator="containsText" text="Stop">
      <formula>NOT(ISERROR(SEARCH("Stop",E210)))</formula>
    </cfRule>
    <cfRule type="containsText" dxfId="2623" priority="613" operator="containsText" text="Continue">
      <formula>NOT(ISERROR(SEARCH("Continue",E210)))</formula>
    </cfRule>
    <cfRule type="containsText" dxfId="2622" priority="616" operator="containsText" text="N/A">
      <formula>NOT(ISERROR(SEARCH("N/A",E210)))</formula>
    </cfRule>
    <cfRule type="containsText" dxfId="2621" priority="615" operator="containsText" text="Start">
      <formula>NOT(ISERROR(SEARCH("Start",E210)))</formula>
    </cfRule>
    <cfRule type="containsText" dxfId="2620" priority="617" operator="containsText" text="Exceeds">
      <formula>NOT(ISERROR(SEARCH("Exceeds",E210)))</formula>
    </cfRule>
    <cfRule type="containsText" dxfId="2619" priority="619" operator="containsText" text="Under">
      <formula>NOT(ISERROR(SEARCH("Under",E210)))</formula>
    </cfRule>
    <cfRule type="dataBar" priority="620">
      <dataBar>
        <cfvo type="num" val="0"/>
        <cfvo type="num" val="1"/>
        <color rgb="FF63C384"/>
      </dataBar>
      <extLst>
        <ext xmlns:x14="http://schemas.microsoft.com/office/spreadsheetml/2009/9/main" uri="{B025F937-C7B1-47D3-B67F-A62EFF666E3E}">
          <x14:id>{385BC35B-8955-42ED-BF8D-584088835B2B}</x14:id>
        </ext>
      </extLst>
    </cfRule>
    <cfRule type="containsText" dxfId="2618" priority="618" operator="containsText" text="Meets">
      <formula>NOT(ISERROR(SEARCH("Meets",E210)))</formula>
    </cfRule>
  </conditionalFormatting>
  <conditionalFormatting sqref="E212 E210 E214">
    <cfRule type="dataBar" priority="612">
      <dataBar>
        <cfvo type="num" val="0"/>
        <cfvo type="num" val="1"/>
        <color theme="0" tint="-0.249977111117893"/>
      </dataBar>
      <extLst>
        <ext xmlns:x14="http://schemas.microsoft.com/office/spreadsheetml/2009/9/main" uri="{B025F937-C7B1-47D3-B67F-A62EFF666E3E}">
          <x14:id>{731D2A3A-68FC-436E-AD27-37976EB9A83C}</x14:id>
        </ext>
      </extLst>
    </cfRule>
  </conditionalFormatting>
  <conditionalFormatting sqref="E212">
    <cfRule type="containsText" dxfId="2617" priority="607" operator="containsText" text="Start">
      <formula>NOT(ISERROR(SEARCH("Start",E212)))</formula>
    </cfRule>
    <cfRule type="containsText" dxfId="2616" priority="611" operator="containsText" text="Under">
      <formula>NOT(ISERROR(SEARCH("Under",E212)))</formula>
    </cfRule>
    <cfRule type="containsText" dxfId="2615" priority="610" operator="containsText" text="Meets">
      <formula>NOT(ISERROR(SEARCH("Meets",E212)))</formula>
    </cfRule>
    <cfRule type="containsText" dxfId="2614" priority="609" operator="containsText" text="Exceeds">
      <formula>NOT(ISERROR(SEARCH("Exceeds",E212)))</formula>
    </cfRule>
    <cfRule type="containsText" dxfId="2613" priority="608" operator="containsText" text="N/A">
      <formula>NOT(ISERROR(SEARCH("N/A",E212)))</formula>
    </cfRule>
    <cfRule type="containsText" dxfId="2612" priority="606" operator="containsText" text="Stop">
      <formula>NOT(ISERROR(SEARCH("Stop",E212)))</formula>
    </cfRule>
    <cfRule type="containsText" dxfId="2611" priority="605" operator="containsText" text="Continue">
      <formula>NOT(ISERROR(SEARCH("Continue",E212)))</formula>
    </cfRule>
  </conditionalFormatting>
  <conditionalFormatting sqref="E214">
    <cfRule type="containsText" dxfId="2610" priority="598" operator="containsText" text="Continue">
      <formula>NOT(ISERROR(SEARCH("Continue",E214)))</formula>
    </cfRule>
    <cfRule type="containsText" dxfId="2609" priority="604" operator="containsText" text="Under">
      <formula>NOT(ISERROR(SEARCH("Under",E214)))</formula>
    </cfRule>
    <cfRule type="containsText" dxfId="2608" priority="603" operator="containsText" text="Meets">
      <formula>NOT(ISERROR(SEARCH("Meets",E214)))</formula>
    </cfRule>
    <cfRule type="containsText" dxfId="2607" priority="602" operator="containsText" text="Exceeds">
      <formula>NOT(ISERROR(SEARCH("Exceeds",E214)))</formula>
    </cfRule>
    <cfRule type="containsText" dxfId="2606" priority="601" operator="containsText" text="N/A">
      <formula>NOT(ISERROR(SEARCH("N/A",E214)))</formula>
    </cfRule>
    <cfRule type="containsText" dxfId="2605" priority="600" operator="containsText" text="Start">
      <formula>NOT(ISERROR(SEARCH("Start",E214)))</formula>
    </cfRule>
    <cfRule type="containsText" dxfId="2604" priority="599" operator="containsText" text="Stop">
      <formula>NOT(ISERROR(SEARCH("Stop",E214)))</formula>
    </cfRule>
  </conditionalFormatting>
  <conditionalFormatting sqref="E217 E219 E221">
    <cfRule type="dataBar" priority="561">
      <dataBar>
        <cfvo type="num" val="0"/>
        <cfvo type="num" val="1"/>
        <color theme="0" tint="-0.249977111117893"/>
      </dataBar>
      <extLst>
        <ext xmlns:x14="http://schemas.microsoft.com/office/spreadsheetml/2009/9/main" uri="{B025F937-C7B1-47D3-B67F-A62EFF666E3E}">
          <x14:id>{9C342497-9988-4CE5-9710-8BB20CC8EBD5}</x14:id>
        </ext>
      </extLst>
    </cfRule>
  </conditionalFormatting>
  <conditionalFormatting sqref="E217">
    <cfRule type="containsText" dxfId="2603" priority="566" operator="containsText" text="Exceeds">
      <formula>NOT(ISERROR(SEARCH("Exceeds",E217)))</formula>
    </cfRule>
    <cfRule type="containsText" dxfId="2602" priority="568" operator="containsText" text="Under">
      <formula>NOT(ISERROR(SEARCH("Under",E217)))</formula>
    </cfRule>
    <cfRule type="dataBar" priority="569">
      <dataBar>
        <cfvo type="num" val="0"/>
        <cfvo type="num" val="1"/>
        <color rgb="FF63C384"/>
      </dataBar>
      <extLst>
        <ext xmlns:x14="http://schemas.microsoft.com/office/spreadsheetml/2009/9/main" uri="{B025F937-C7B1-47D3-B67F-A62EFF666E3E}">
          <x14:id>{F91A76DA-670D-4D13-A1F8-158962A28353}</x14:id>
        </ext>
      </extLst>
    </cfRule>
    <cfRule type="containsText" dxfId="2601" priority="562" operator="containsText" text="Continue">
      <formula>NOT(ISERROR(SEARCH("Continue",E217)))</formula>
    </cfRule>
    <cfRule type="containsText" dxfId="2600" priority="567" operator="containsText" text="Meets">
      <formula>NOT(ISERROR(SEARCH("Meets",E217)))</formula>
    </cfRule>
    <cfRule type="containsText" dxfId="2599" priority="563" operator="containsText" text="Stop">
      <formula>NOT(ISERROR(SEARCH("Stop",E217)))</formula>
    </cfRule>
    <cfRule type="containsText" dxfId="2598" priority="565" operator="containsText" text="N/A">
      <formula>NOT(ISERROR(SEARCH("N/A",E217)))</formula>
    </cfRule>
    <cfRule type="containsText" dxfId="2597" priority="564" operator="containsText" text="Start">
      <formula>NOT(ISERROR(SEARCH("Start",E217)))</formula>
    </cfRule>
  </conditionalFormatting>
  <conditionalFormatting sqref="E219">
    <cfRule type="containsText" dxfId="2596" priority="560" operator="containsText" text="Under">
      <formula>NOT(ISERROR(SEARCH("Under",E219)))</formula>
    </cfRule>
    <cfRule type="containsText" dxfId="2595" priority="559" operator="containsText" text="Meets">
      <formula>NOT(ISERROR(SEARCH("Meets",E219)))</formula>
    </cfRule>
    <cfRule type="containsText" dxfId="2594" priority="558" operator="containsText" text="Exceeds">
      <formula>NOT(ISERROR(SEARCH("Exceeds",E219)))</formula>
    </cfRule>
    <cfRule type="containsText" dxfId="2593" priority="557" operator="containsText" text="N/A">
      <formula>NOT(ISERROR(SEARCH("N/A",E219)))</formula>
    </cfRule>
    <cfRule type="containsText" dxfId="2592" priority="556" operator="containsText" text="Start">
      <formula>NOT(ISERROR(SEARCH("Start",E219)))</formula>
    </cfRule>
    <cfRule type="containsText" dxfId="2591" priority="555" operator="containsText" text="Stop">
      <formula>NOT(ISERROR(SEARCH("Stop",E219)))</formula>
    </cfRule>
    <cfRule type="containsText" dxfId="2590" priority="554" operator="containsText" text="Continue">
      <formula>NOT(ISERROR(SEARCH("Continue",E219)))</formula>
    </cfRule>
  </conditionalFormatting>
  <conditionalFormatting sqref="E221">
    <cfRule type="containsText" dxfId="2589" priority="547" operator="containsText" text="Continue">
      <formula>NOT(ISERROR(SEARCH("Continue",E221)))</formula>
    </cfRule>
    <cfRule type="containsText" dxfId="2588" priority="548" operator="containsText" text="Stop">
      <formula>NOT(ISERROR(SEARCH("Stop",E221)))</formula>
    </cfRule>
    <cfRule type="containsText" dxfId="2587" priority="549" operator="containsText" text="Start">
      <formula>NOT(ISERROR(SEARCH("Start",E221)))</formula>
    </cfRule>
    <cfRule type="containsText" dxfId="2586" priority="550" operator="containsText" text="N/A">
      <formula>NOT(ISERROR(SEARCH("N/A",E221)))</formula>
    </cfRule>
    <cfRule type="containsText" dxfId="2585" priority="551" operator="containsText" text="Exceeds">
      <formula>NOT(ISERROR(SEARCH("Exceeds",E221)))</formula>
    </cfRule>
    <cfRule type="containsText" dxfId="2584" priority="553" operator="containsText" text="Under">
      <formula>NOT(ISERROR(SEARCH("Under",E221)))</formula>
    </cfRule>
    <cfRule type="containsText" dxfId="2583" priority="552" operator="containsText" text="Meets">
      <formula>NOT(ISERROR(SEARCH("Meets",E221)))</formula>
    </cfRule>
  </conditionalFormatting>
  <conditionalFormatting sqref="E224 E226 E228">
    <cfRule type="dataBar" priority="510">
      <dataBar>
        <cfvo type="num" val="0"/>
        <cfvo type="num" val="1"/>
        <color theme="0" tint="-0.249977111117893"/>
      </dataBar>
      <extLst>
        <ext xmlns:x14="http://schemas.microsoft.com/office/spreadsheetml/2009/9/main" uri="{B025F937-C7B1-47D3-B67F-A62EFF666E3E}">
          <x14:id>{445963A7-915D-4F43-9F7B-27399A6E38B9}</x14:id>
        </ext>
      </extLst>
    </cfRule>
  </conditionalFormatting>
  <conditionalFormatting sqref="E224">
    <cfRule type="containsText" dxfId="2582" priority="514" operator="containsText" text="N/A">
      <formula>NOT(ISERROR(SEARCH("N/A",E224)))</formula>
    </cfRule>
    <cfRule type="containsText" dxfId="2581" priority="513" operator="containsText" text="Start">
      <formula>NOT(ISERROR(SEARCH("Start",E224)))</formula>
    </cfRule>
    <cfRule type="containsText" dxfId="2580" priority="512" operator="containsText" text="Stop">
      <formula>NOT(ISERROR(SEARCH("Stop",E224)))</formula>
    </cfRule>
    <cfRule type="containsText" dxfId="2579" priority="517" operator="containsText" text="Under">
      <formula>NOT(ISERROR(SEARCH("Under",E224)))</formula>
    </cfRule>
    <cfRule type="containsText" dxfId="2578" priority="511" operator="containsText" text="Continue">
      <formula>NOT(ISERROR(SEARCH("Continue",E224)))</formula>
    </cfRule>
    <cfRule type="dataBar" priority="518">
      <dataBar>
        <cfvo type="num" val="0"/>
        <cfvo type="num" val="1"/>
        <color rgb="FF63C384"/>
      </dataBar>
      <extLst>
        <ext xmlns:x14="http://schemas.microsoft.com/office/spreadsheetml/2009/9/main" uri="{B025F937-C7B1-47D3-B67F-A62EFF666E3E}">
          <x14:id>{582EC471-B6D4-4369-859C-394070E30DFC}</x14:id>
        </ext>
      </extLst>
    </cfRule>
    <cfRule type="containsText" dxfId="2577" priority="515" operator="containsText" text="Exceeds">
      <formula>NOT(ISERROR(SEARCH("Exceeds",E224)))</formula>
    </cfRule>
    <cfRule type="containsText" dxfId="2576" priority="516" operator="containsText" text="Meets">
      <formula>NOT(ISERROR(SEARCH("Meets",E224)))</formula>
    </cfRule>
  </conditionalFormatting>
  <conditionalFormatting sqref="E226">
    <cfRule type="containsText" dxfId="2575" priority="509" operator="containsText" text="Under">
      <formula>NOT(ISERROR(SEARCH("Under",E226)))</formula>
    </cfRule>
    <cfRule type="containsText" dxfId="2574" priority="508" operator="containsText" text="Meets">
      <formula>NOT(ISERROR(SEARCH("Meets",E226)))</formula>
    </cfRule>
    <cfRule type="containsText" dxfId="2573" priority="507" operator="containsText" text="Exceeds">
      <formula>NOT(ISERROR(SEARCH("Exceeds",E226)))</formula>
    </cfRule>
    <cfRule type="containsText" dxfId="2572" priority="506" operator="containsText" text="N/A">
      <formula>NOT(ISERROR(SEARCH("N/A",E226)))</formula>
    </cfRule>
    <cfRule type="containsText" dxfId="2571" priority="505" operator="containsText" text="Start">
      <formula>NOT(ISERROR(SEARCH("Start",E226)))</formula>
    </cfRule>
    <cfRule type="containsText" dxfId="2570" priority="504" operator="containsText" text="Stop">
      <formula>NOT(ISERROR(SEARCH("Stop",E226)))</formula>
    </cfRule>
    <cfRule type="containsText" dxfId="2569" priority="503" operator="containsText" text="Continue">
      <formula>NOT(ISERROR(SEARCH("Continue",E226)))</formula>
    </cfRule>
  </conditionalFormatting>
  <conditionalFormatting sqref="E228">
    <cfRule type="containsText" dxfId="2568" priority="502" operator="containsText" text="Under">
      <formula>NOT(ISERROR(SEARCH("Under",E228)))</formula>
    </cfRule>
    <cfRule type="containsText" dxfId="2567" priority="501" operator="containsText" text="Meets">
      <formula>NOT(ISERROR(SEARCH("Meets",E228)))</formula>
    </cfRule>
    <cfRule type="containsText" dxfId="2566" priority="500" operator="containsText" text="Exceeds">
      <formula>NOT(ISERROR(SEARCH("Exceeds",E228)))</formula>
    </cfRule>
    <cfRule type="containsText" dxfId="2565" priority="499" operator="containsText" text="N/A">
      <formula>NOT(ISERROR(SEARCH("N/A",E228)))</formula>
    </cfRule>
    <cfRule type="containsText" dxfId="2564" priority="498" operator="containsText" text="Start">
      <formula>NOT(ISERROR(SEARCH("Start",E228)))</formula>
    </cfRule>
    <cfRule type="containsText" dxfId="2563" priority="497" operator="containsText" text="Stop">
      <formula>NOT(ISERROR(SEARCH("Stop",E228)))</formula>
    </cfRule>
    <cfRule type="containsText" dxfId="2562" priority="496" operator="containsText" text="Continue">
      <formula>NOT(ISERROR(SEARCH("Continue",E228)))</formula>
    </cfRule>
  </conditionalFormatting>
  <conditionalFormatting sqref="F63">
    <cfRule type="containsText" dxfId="2561" priority="780" operator="containsText" text="Continue">
      <formula>NOT(ISERROR(SEARCH("Continue",F63)))</formula>
    </cfRule>
    <cfRule type="containsText" dxfId="2560" priority="781" operator="containsText" text="Stop">
      <formula>NOT(ISERROR(SEARCH("Stop",F63)))</formula>
    </cfRule>
    <cfRule type="containsText" dxfId="2559" priority="782" operator="containsText" text="Start">
      <formula>NOT(ISERROR(SEARCH("Start",F63)))</formula>
    </cfRule>
    <cfRule type="dataBar" priority="741">
      <dataBar>
        <cfvo type="num" val="0"/>
        <cfvo type="num" val="1"/>
        <color theme="0" tint="-0.249977111117893"/>
      </dataBar>
      <extLst>
        <ext xmlns:x14="http://schemas.microsoft.com/office/spreadsheetml/2009/9/main" uri="{B025F937-C7B1-47D3-B67F-A62EFF666E3E}">
          <x14:id>{AA9B154A-C30B-489D-A846-D8DF97D35760}</x14:id>
        </ext>
      </extLst>
    </cfRule>
    <cfRule type="containsText" dxfId="2558" priority="784" operator="containsText" text="Exceeds">
      <formula>NOT(ISERROR(SEARCH("Exceeds",F63)))</formula>
    </cfRule>
    <cfRule type="containsText" dxfId="2557" priority="783" operator="containsText" text="N/A">
      <formula>NOT(ISERROR(SEARCH("N/A",F63)))</formula>
    </cfRule>
    <cfRule type="containsText" dxfId="2556" priority="786" operator="containsText" text="Under">
      <formula>NOT(ISERROR(SEARCH("Under",F63)))</formula>
    </cfRule>
    <cfRule type="containsText" dxfId="2555" priority="785" operator="containsText" text="Meets">
      <formula>NOT(ISERROR(SEARCH("Meets",F63)))</formula>
    </cfRule>
  </conditionalFormatting>
  <conditionalFormatting sqref="F65">
    <cfRule type="containsText" dxfId="2554" priority="467" operator="containsText" text="Under">
      <formula>NOT(ISERROR(SEARCH("Under",F65)))</formula>
    </cfRule>
    <cfRule type="containsText" dxfId="2553" priority="466" operator="containsText" text="Meets">
      <formula>NOT(ISERROR(SEARCH("Meets",F65)))</formula>
    </cfRule>
    <cfRule type="containsText" dxfId="2552" priority="465" operator="containsText" text="Exceeds">
      <formula>NOT(ISERROR(SEARCH("Exceeds",F65)))</formula>
    </cfRule>
    <cfRule type="containsText" dxfId="2551" priority="464" operator="containsText" text="N/A">
      <formula>NOT(ISERROR(SEARCH("N/A",F65)))</formula>
    </cfRule>
    <cfRule type="containsText" dxfId="2550" priority="463" operator="containsText" text="Start">
      <formula>NOT(ISERROR(SEARCH("Start",F65)))</formula>
    </cfRule>
    <cfRule type="containsText" dxfId="2549" priority="462" operator="containsText" text="Stop">
      <formula>NOT(ISERROR(SEARCH("Stop",F65)))</formula>
    </cfRule>
    <cfRule type="containsText" dxfId="2548" priority="461" operator="containsText" text="Continue">
      <formula>NOT(ISERROR(SEARCH("Continue",F65)))</formula>
    </cfRule>
    <cfRule type="dataBar" priority="460">
      <dataBar>
        <cfvo type="num" val="0"/>
        <cfvo type="num" val="1"/>
        <color theme="0" tint="-0.249977111117893"/>
      </dataBar>
      <extLst>
        <ext xmlns:x14="http://schemas.microsoft.com/office/spreadsheetml/2009/9/main" uri="{B025F937-C7B1-47D3-B67F-A62EFF666E3E}">
          <x14:id>{7E3372C5-D3BE-4F6C-AFA1-F75AB4CF105E}</x14:id>
        </ext>
      </extLst>
    </cfRule>
  </conditionalFormatting>
  <conditionalFormatting sqref="F67">
    <cfRule type="containsText" dxfId="2547" priority="809" operator="containsText" text="Under">
      <formula>NOT(ISERROR(SEARCH("Under",F67)))</formula>
    </cfRule>
    <cfRule type="dataBar" priority="452">
      <dataBar>
        <cfvo type="num" val="0"/>
        <cfvo type="num" val="1"/>
        <color theme="0" tint="-0.249977111117893"/>
      </dataBar>
      <extLst>
        <ext xmlns:x14="http://schemas.microsoft.com/office/spreadsheetml/2009/9/main" uri="{B025F937-C7B1-47D3-B67F-A62EFF666E3E}">
          <x14:id>{3DA34581-DA8D-4251-8DB4-F9F45968262D}</x14:id>
        </ext>
      </extLst>
    </cfRule>
    <cfRule type="containsText" dxfId="2546" priority="451" operator="containsText" text="Meets">
      <formula>NOT(ISERROR(SEARCH("Meets",F67)))</formula>
    </cfRule>
    <cfRule type="containsText" dxfId="2545" priority="450" operator="containsText" text="Exceeds">
      <formula>NOT(ISERROR(SEARCH("Exceeds",F67)))</formula>
    </cfRule>
    <cfRule type="containsText" dxfId="2544" priority="449" operator="containsText" text="N/A">
      <formula>NOT(ISERROR(SEARCH("N/A",F67)))</formula>
    </cfRule>
    <cfRule type="containsText" dxfId="2543" priority="448" operator="containsText" text="Start">
      <formula>NOT(ISERROR(SEARCH("Start",F67)))</formula>
    </cfRule>
    <cfRule type="containsText" dxfId="2542" priority="447" operator="containsText" text="Stop">
      <formula>NOT(ISERROR(SEARCH("Stop",F67)))</formula>
    </cfRule>
    <cfRule type="containsText" dxfId="2541" priority="446" operator="containsText" text="Continue">
      <formula>NOT(ISERROR(SEARCH("Continue",F67)))</formula>
    </cfRule>
  </conditionalFormatting>
  <conditionalFormatting sqref="F71">
    <cfRule type="containsText" dxfId="2540" priority="434" operator="containsText" text="Start">
      <formula>NOT(ISERROR(SEARCH("Start",F71)))</formula>
    </cfRule>
    <cfRule type="containsText" dxfId="2539" priority="435" operator="containsText" text="N/A">
      <formula>NOT(ISERROR(SEARCH("N/A",F71)))</formula>
    </cfRule>
    <cfRule type="containsText" dxfId="2538" priority="433" operator="containsText" text="Stop">
      <formula>NOT(ISERROR(SEARCH("Stop",F71)))</formula>
    </cfRule>
    <cfRule type="containsText" dxfId="2537" priority="432" operator="containsText" text="Continue">
      <formula>NOT(ISERROR(SEARCH("Continue",F71)))</formula>
    </cfRule>
    <cfRule type="dataBar" priority="431">
      <dataBar>
        <cfvo type="num" val="0"/>
        <cfvo type="num" val="1"/>
        <color theme="0" tint="-0.249977111117893"/>
      </dataBar>
      <extLst>
        <ext xmlns:x14="http://schemas.microsoft.com/office/spreadsheetml/2009/9/main" uri="{B025F937-C7B1-47D3-B67F-A62EFF666E3E}">
          <x14:id>{B52FB86F-1CB8-4736-A092-9E0C809E76F0}</x14:id>
        </ext>
      </extLst>
    </cfRule>
    <cfRule type="containsText" dxfId="2536" priority="438" operator="containsText" text="Under">
      <formula>NOT(ISERROR(SEARCH("Under",F71)))</formula>
    </cfRule>
    <cfRule type="containsText" dxfId="2535" priority="437" operator="containsText" text="Meets">
      <formula>NOT(ISERROR(SEARCH("Meets",F71)))</formula>
    </cfRule>
    <cfRule type="containsText" dxfId="2534" priority="436" operator="containsText" text="Exceeds">
      <formula>NOT(ISERROR(SEARCH("Exceeds",F71)))</formula>
    </cfRule>
  </conditionalFormatting>
  <conditionalFormatting sqref="F73">
    <cfRule type="containsText" dxfId="2533" priority="421" operator="containsText" text="Exceeds">
      <formula>NOT(ISERROR(SEARCH("Exceeds",F73)))</formula>
    </cfRule>
    <cfRule type="dataBar" priority="416">
      <dataBar>
        <cfvo type="num" val="0"/>
        <cfvo type="num" val="1"/>
        <color theme="0" tint="-0.249977111117893"/>
      </dataBar>
      <extLst>
        <ext xmlns:x14="http://schemas.microsoft.com/office/spreadsheetml/2009/9/main" uri="{B025F937-C7B1-47D3-B67F-A62EFF666E3E}">
          <x14:id>{69FD6C08-A1BD-4FA4-9F73-AE23EA164FF6}</x14:id>
        </ext>
      </extLst>
    </cfRule>
    <cfRule type="containsText" dxfId="2532" priority="417" operator="containsText" text="Continue">
      <formula>NOT(ISERROR(SEARCH("Continue",F73)))</formula>
    </cfRule>
    <cfRule type="containsText" dxfId="2531" priority="418" operator="containsText" text="Stop">
      <formula>NOT(ISERROR(SEARCH("Stop",F73)))</formula>
    </cfRule>
    <cfRule type="containsText" dxfId="2530" priority="419" operator="containsText" text="Start">
      <formula>NOT(ISERROR(SEARCH("Start",F73)))</formula>
    </cfRule>
    <cfRule type="containsText" dxfId="2529" priority="420" operator="containsText" text="N/A">
      <formula>NOT(ISERROR(SEARCH("N/A",F73)))</formula>
    </cfRule>
    <cfRule type="containsText" dxfId="2528" priority="422" operator="containsText" text="Meets">
      <formula>NOT(ISERROR(SEARCH("Meets",F73)))</formula>
    </cfRule>
    <cfRule type="containsText" dxfId="2527" priority="423" operator="containsText" text="Under">
      <formula>NOT(ISERROR(SEARCH("Under",F73)))</formula>
    </cfRule>
  </conditionalFormatting>
  <conditionalFormatting sqref="F75">
    <cfRule type="containsText" dxfId="2526" priority="402" operator="containsText" text="Continue">
      <formula>NOT(ISERROR(SEARCH("Continue",F75)))</formula>
    </cfRule>
    <cfRule type="containsText" dxfId="2525" priority="403" operator="containsText" text="Stop">
      <formula>NOT(ISERROR(SEARCH("Stop",F75)))</formula>
    </cfRule>
    <cfRule type="containsText" dxfId="2524" priority="404" operator="containsText" text="Start">
      <formula>NOT(ISERROR(SEARCH("Start",F75)))</formula>
    </cfRule>
    <cfRule type="containsText" dxfId="2523" priority="405" operator="containsText" text="N/A">
      <formula>NOT(ISERROR(SEARCH("N/A",F75)))</formula>
    </cfRule>
    <cfRule type="containsText" dxfId="2522" priority="406" operator="containsText" text="Exceeds">
      <formula>NOT(ISERROR(SEARCH("Exceeds",F75)))</formula>
    </cfRule>
    <cfRule type="containsText" dxfId="2521" priority="407" operator="containsText" text="Meets">
      <formula>NOT(ISERROR(SEARCH("Meets",F75)))</formula>
    </cfRule>
    <cfRule type="dataBar" priority="408">
      <dataBar>
        <cfvo type="num" val="0"/>
        <cfvo type="num" val="1"/>
        <color theme="0" tint="-0.249977111117893"/>
      </dataBar>
      <extLst>
        <ext xmlns:x14="http://schemas.microsoft.com/office/spreadsheetml/2009/9/main" uri="{B025F937-C7B1-47D3-B67F-A62EFF666E3E}">
          <x14:id>{8E47E49D-A78B-4C00-9D71-EEF8E99FF862}</x14:id>
        </ext>
      </extLst>
    </cfRule>
  </conditionalFormatting>
  <conditionalFormatting sqref="F79">
    <cfRule type="containsText" dxfId="2520" priority="391" operator="containsText" text="N/A">
      <formula>NOT(ISERROR(SEARCH("N/A",F79)))</formula>
    </cfRule>
    <cfRule type="containsText" dxfId="2519" priority="392" operator="containsText" text="Exceeds">
      <formula>NOT(ISERROR(SEARCH("Exceeds",F79)))</formula>
    </cfRule>
    <cfRule type="containsText" dxfId="2518" priority="393" operator="containsText" text="Meets">
      <formula>NOT(ISERROR(SEARCH("Meets",F79)))</formula>
    </cfRule>
    <cfRule type="containsText" dxfId="2517" priority="394" operator="containsText" text="Under">
      <formula>NOT(ISERROR(SEARCH("Under",F79)))</formula>
    </cfRule>
    <cfRule type="containsText" dxfId="2516" priority="390" operator="containsText" text="Start">
      <formula>NOT(ISERROR(SEARCH("Start",F79)))</formula>
    </cfRule>
    <cfRule type="containsText" dxfId="2515" priority="389" operator="containsText" text="Stop">
      <formula>NOT(ISERROR(SEARCH("Stop",F79)))</formula>
    </cfRule>
    <cfRule type="containsText" dxfId="2514" priority="388" operator="containsText" text="Continue">
      <formula>NOT(ISERROR(SEARCH("Continue",F79)))</formula>
    </cfRule>
    <cfRule type="dataBar" priority="387">
      <dataBar>
        <cfvo type="num" val="0"/>
        <cfvo type="num" val="1"/>
        <color theme="0" tint="-0.249977111117893"/>
      </dataBar>
      <extLst>
        <ext xmlns:x14="http://schemas.microsoft.com/office/spreadsheetml/2009/9/main" uri="{B025F937-C7B1-47D3-B67F-A62EFF666E3E}">
          <x14:id>{E70123C8-030F-43B6-AFA2-CBFF0B03F904}</x14:id>
        </ext>
      </extLst>
    </cfRule>
  </conditionalFormatting>
  <conditionalFormatting sqref="F81">
    <cfRule type="containsText" dxfId="2513" priority="377" operator="containsText" text="Exceeds">
      <formula>NOT(ISERROR(SEARCH("Exceeds",F81)))</formula>
    </cfRule>
    <cfRule type="containsText" dxfId="2512" priority="379" operator="containsText" text="Under">
      <formula>NOT(ISERROR(SEARCH("Under",F81)))</formula>
    </cfRule>
    <cfRule type="dataBar" priority="372">
      <dataBar>
        <cfvo type="num" val="0"/>
        <cfvo type="num" val="1"/>
        <color theme="0" tint="-0.249977111117893"/>
      </dataBar>
      <extLst>
        <ext xmlns:x14="http://schemas.microsoft.com/office/spreadsheetml/2009/9/main" uri="{B025F937-C7B1-47D3-B67F-A62EFF666E3E}">
          <x14:id>{32414B41-BA5D-4692-82D5-C380E3393A63}</x14:id>
        </ext>
      </extLst>
    </cfRule>
    <cfRule type="containsText" dxfId="2511" priority="373" operator="containsText" text="Continue">
      <formula>NOT(ISERROR(SEARCH("Continue",F81)))</formula>
    </cfRule>
    <cfRule type="containsText" dxfId="2510" priority="374" operator="containsText" text="Stop">
      <formula>NOT(ISERROR(SEARCH("Stop",F81)))</formula>
    </cfRule>
    <cfRule type="containsText" dxfId="2509" priority="375" operator="containsText" text="Start">
      <formula>NOT(ISERROR(SEARCH("Start",F81)))</formula>
    </cfRule>
    <cfRule type="containsText" dxfId="2508" priority="376" operator="containsText" text="N/A">
      <formula>NOT(ISERROR(SEARCH("N/A",F81)))</formula>
    </cfRule>
    <cfRule type="containsText" dxfId="2507" priority="378" operator="containsText" text="Meets">
      <formula>NOT(ISERROR(SEARCH("Meets",F81)))</formula>
    </cfRule>
  </conditionalFormatting>
  <conditionalFormatting sqref="F83">
    <cfRule type="containsText" dxfId="2506" priority="358" operator="containsText" text="Under">
      <formula>NOT(ISERROR(SEARCH("Under",F83)))</formula>
    </cfRule>
    <cfRule type="containsText" dxfId="2505" priority="359" operator="containsText" text="Stop">
      <formula>NOT(ISERROR(SEARCH("Stop",F83)))</formula>
    </cfRule>
    <cfRule type="containsText" dxfId="2504" priority="360" operator="containsText" text="Start">
      <formula>NOT(ISERROR(SEARCH("Start",F83)))</formula>
    </cfRule>
    <cfRule type="containsText" dxfId="2503" priority="361" operator="containsText" text="N/A">
      <formula>NOT(ISERROR(SEARCH("N/A",F83)))</formula>
    </cfRule>
    <cfRule type="containsText" dxfId="2502" priority="362" operator="containsText" text="Exceeds">
      <formula>NOT(ISERROR(SEARCH("Exceeds",F83)))</formula>
    </cfRule>
    <cfRule type="containsText" dxfId="2501" priority="363" operator="containsText" text="Meets">
      <formula>NOT(ISERROR(SEARCH("Meets",F83)))</formula>
    </cfRule>
    <cfRule type="dataBar" priority="364">
      <dataBar>
        <cfvo type="num" val="0"/>
        <cfvo type="num" val="1"/>
        <color theme="0" tint="-0.249977111117893"/>
      </dataBar>
      <extLst>
        <ext xmlns:x14="http://schemas.microsoft.com/office/spreadsheetml/2009/9/main" uri="{B025F937-C7B1-47D3-B67F-A62EFF666E3E}">
          <x14:id>{45126DA9-DE3C-4F62-A4F3-0AD825AC09FA}</x14:id>
        </ext>
      </extLst>
    </cfRule>
  </conditionalFormatting>
  <conditionalFormatting sqref="F87 F89 F91">
    <cfRule type="dataBar" priority="705">
      <dataBar>
        <cfvo type="num" val="0"/>
        <cfvo type="num" val="1"/>
        <color theme="0" tint="-0.249977111117893"/>
      </dataBar>
      <extLst>
        <ext xmlns:x14="http://schemas.microsoft.com/office/spreadsheetml/2009/9/main" uri="{B025F937-C7B1-47D3-B67F-A62EFF666E3E}">
          <x14:id>{F5CFFAAE-6D1B-4B88-8414-77D9ED7A1014}</x14:id>
        </ext>
      </extLst>
    </cfRule>
  </conditionalFormatting>
  <conditionalFormatting sqref="F87 F89">
    <cfRule type="containsText" dxfId="2500" priority="729" operator="containsText" text="Start">
      <formula>NOT(ISERROR(SEARCH("Start",F87)))</formula>
    </cfRule>
    <cfRule type="containsText" dxfId="2499" priority="730" operator="containsText" text="N/A">
      <formula>NOT(ISERROR(SEARCH("N/A",F87)))</formula>
    </cfRule>
    <cfRule type="containsText" dxfId="2498" priority="731" operator="containsText" text="Exceeds">
      <formula>NOT(ISERROR(SEARCH("Exceeds",F87)))</formula>
    </cfRule>
    <cfRule type="containsText" dxfId="2497" priority="728" operator="containsText" text="Stop">
      <formula>NOT(ISERROR(SEARCH("Stop",F87)))</formula>
    </cfRule>
    <cfRule type="containsText" dxfId="2496" priority="733" operator="containsText" text="Under">
      <formula>NOT(ISERROR(SEARCH("Under",F87)))</formula>
    </cfRule>
    <cfRule type="containsText" dxfId="2495" priority="732" operator="containsText" text="Meets">
      <formula>NOT(ISERROR(SEARCH("Meets",F87)))</formula>
    </cfRule>
    <cfRule type="containsText" dxfId="2494" priority="727" operator="containsText" text="Continue">
      <formula>NOT(ISERROR(SEARCH("Continue",F87)))</formula>
    </cfRule>
  </conditionalFormatting>
  <conditionalFormatting sqref="F91">
    <cfRule type="containsText" dxfId="2493" priority="711" operator="containsText" text="Meets">
      <formula>NOT(ISERROR(SEARCH("Meets",F91)))</formula>
    </cfRule>
    <cfRule type="containsText" dxfId="2492" priority="710" operator="containsText" text="Exceeds">
      <formula>NOT(ISERROR(SEARCH("Exceeds",F91)))</formula>
    </cfRule>
    <cfRule type="containsText" dxfId="2491" priority="709" operator="containsText" text="N/A">
      <formula>NOT(ISERROR(SEARCH("N/A",F91)))</formula>
    </cfRule>
    <cfRule type="containsText" dxfId="2490" priority="712" operator="containsText" text="Under">
      <formula>NOT(ISERROR(SEARCH("Under",F91)))</formula>
    </cfRule>
    <cfRule type="containsText" dxfId="2489" priority="708" operator="containsText" text="Start">
      <formula>NOT(ISERROR(SEARCH("Start",F91)))</formula>
    </cfRule>
    <cfRule type="containsText" dxfId="2488" priority="707" operator="containsText" text="Stop">
      <formula>NOT(ISERROR(SEARCH("Stop",F91)))</formula>
    </cfRule>
    <cfRule type="containsText" dxfId="2487" priority="706" operator="containsText" text="Continue">
      <formula>NOT(ISERROR(SEARCH("Continue",F91)))</formula>
    </cfRule>
  </conditionalFormatting>
  <conditionalFormatting sqref="F95">
    <cfRule type="containsText" dxfId="2486" priority="315" operator="containsText" text="Under">
      <formula>NOT(ISERROR(SEARCH("Under",F95)))</formula>
    </cfRule>
    <cfRule type="containsText" dxfId="2485" priority="314" operator="containsText" text="Meets">
      <formula>NOT(ISERROR(SEARCH("Meets",F95)))</formula>
    </cfRule>
    <cfRule type="containsText" dxfId="2484" priority="313" operator="containsText" text="Exceeds">
      <formula>NOT(ISERROR(SEARCH("Exceeds",F95)))</formula>
    </cfRule>
    <cfRule type="containsText" dxfId="2483" priority="311" operator="containsText" text="Start">
      <formula>NOT(ISERROR(SEARCH("Start",F95)))</formula>
    </cfRule>
    <cfRule type="containsText" dxfId="2482" priority="312" operator="containsText" text="N/A">
      <formula>NOT(ISERROR(SEARCH("N/A",F95)))</formula>
    </cfRule>
    <cfRule type="containsText" dxfId="2481" priority="310" operator="containsText" text="Stop">
      <formula>NOT(ISERROR(SEARCH("Stop",F95)))</formula>
    </cfRule>
    <cfRule type="containsText" dxfId="2480" priority="309" operator="containsText" text="Continue">
      <formula>NOT(ISERROR(SEARCH("Continue",F95)))</formula>
    </cfRule>
    <cfRule type="dataBar" priority="308">
      <dataBar>
        <cfvo type="num" val="0"/>
        <cfvo type="num" val="1"/>
        <color theme="0" tint="-0.249977111117893"/>
      </dataBar>
      <extLst>
        <ext xmlns:x14="http://schemas.microsoft.com/office/spreadsheetml/2009/9/main" uri="{B025F937-C7B1-47D3-B67F-A62EFF666E3E}">
          <x14:id>{CCD808D3-B739-4145-9ECD-D617BC6ABF34}</x14:id>
        </ext>
      </extLst>
    </cfRule>
  </conditionalFormatting>
  <conditionalFormatting sqref="F97">
    <cfRule type="containsText" dxfId="2479" priority="302" operator="containsText" text="Stop">
      <formula>NOT(ISERROR(SEARCH("Stop",F97)))</formula>
    </cfRule>
    <cfRule type="dataBar" priority="300">
      <dataBar>
        <cfvo type="num" val="0"/>
        <cfvo type="num" val="1"/>
        <color theme="0" tint="-0.249977111117893"/>
      </dataBar>
      <extLst>
        <ext xmlns:x14="http://schemas.microsoft.com/office/spreadsheetml/2009/9/main" uri="{B025F937-C7B1-47D3-B67F-A62EFF666E3E}">
          <x14:id>{294D7DE3-4789-4968-A53B-93E2AB3CBE4F}</x14:id>
        </ext>
      </extLst>
    </cfRule>
    <cfRule type="containsText" dxfId="2478" priority="301" operator="containsText" text="Continue">
      <formula>NOT(ISERROR(SEARCH("Continue",F97)))</formula>
    </cfRule>
    <cfRule type="containsText" dxfId="2477" priority="303" operator="containsText" text="Start">
      <formula>NOT(ISERROR(SEARCH("Start",F97)))</formula>
    </cfRule>
    <cfRule type="containsText" dxfId="2476" priority="305" operator="containsText" text="Exceeds">
      <formula>NOT(ISERROR(SEARCH("Exceeds",F97)))</formula>
    </cfRule>
    <cfRule type="containsText" dxfId="2475" priority="306" operator="containsText" text="Meets">
      <formula>NOT(ISERROR(SEARCH("Meets",F97)))</formula>
    </cfRule>
    <cfRule type="containsText" dxfId="2474" priority="307" operator="containsText" text="Under">
      <formula>NOT(ISERROR(SEARCH("Under",F97)))</formula>
    </cfRule>
    <cfRule type="containsText" dxfId="2473" priority="304" operator="containsText" text="N/A">
      <formula>NOT(ISERROR(SEARCH("N/A",F97)))</formula>
    </cfRule>
  </conditionalFormatting>
  <conditionalFormatting sqref="F99">
    <cfRule type="containsText" dxfId="2472" priority="298" operator="containsText" text="Meets">
      <formula>NOT(ISERROR(SEARCH("Meets",F99)))</formula>
    </cfRule>
    <cfRule type="containsText" dxfId="2471" priority="297" operator="containsText" text="Exceeds">
      <formula>NOT(ISERROR(SEARCH("Exceeds",F99)))</formula>
    </cfRule>
    <cfRule type="containsText" dxfId="2470" priority="296" operator="containsText" text="N/A">
      <formula>NOT(ISERROR(SEARCH("N/A",F99)))</formula>
    </cfRule>
    <cfRule type="containsText" dxfId="2469" priority="295" operator="containsText" text="Start">
      <formula>NOT(ISERROR(SEARCH("Start",F99)))</formula>
    </cfRule>
    <cfRule type="containsText" dxfId="2468" priority="293" operator="containsText" text="Continue">
      <formula>NOT(ISERROR(SEARCH("Continue",F99)))</formula>
    </cfRule>
    <cfRule type="dataBar" priority="292">
      <dataBar>
        <cfvo type="num" val="0"/>
        <cfvo type="num" val="1"/>
        <color theme="0" tint="-0.249977111117893"/>
      </dataBar>
      <extLst>
        <ext xmlns:x14="http://schemas.microsoft.com/office/spreadsheetml/2009/9/main" uri="{B025F937-C7B1-47D3-B67F-A62EFF666E3E}">
          <x14:id>{E8551DAE-9E5F-47CA-ACD5-86956D638112}</x14:id>
        </ext>
      </extLst>
    </cfRule>
    <cfRule type="containsText" dxfId="2467" priority="294" operator="containsText" text="Stop">
      <formula>NOT(ISERROR(SEARCH("Stop",F99)))</formula>
    </cfRule>
    <cfRule type="containsText" dxfId="2466" priority="299" operator="containsText" text="Under">
      <formula>NOT(ISERROR(SEARCH("Under",F99)))</formula>
    </cfRule>
  </conditionalFormatting>
  <conditionalFormatting sqref="F103">
    <cfRule type="containsText" dxfId="2465" priority="291" operator="containsText" text="Under">
      <formula>NOT(ISERROR(SEARCH("Under",F103)))</formula>
    </cfRule>
    <cfRule type="containsText" dxfId="2464" priority="290" operator="containsText" text="Meets">
      <formula>NOT(ISERROR(SEARCH("Meets",F103)))</formula>
    </cfRule>
    <cfRule type="containsText" dxfId="2463" priority="289" operator="containsText" text="Exceeds">
      <formula>NOT(ISERROR(SEARCH("Exceeds",F103)))</formula>
    </cfRule>
    <cfRule type="containsText" dxfId="2462" priority="288" operator="containsText" text="N/A">
      <formula>NOT(ISERROR(SEARCH("N/A",F103)))</formula>
    </cfRule>
    <cfRule type="containsText" dxfId="2461" priority="287" operator="containsText" text="Start">
      <formula>NOT(ISERROR(SEARCH("Start",F103)))</formula>
    </cfRule>
    <cfRule type="containsText" dxfId="2460" priority="286" operator="containsText" text="Stop">
      <formula>NOT(ISERROR(SEARCH("Stop",F103)))</formula>
    </cfRule>
    <cfRule type="dataBar" priority="284">
      <dataBar>
        <cfvo type="num" val="0"/>
        <cfvo type="num" val="1"/>
        <color theme="0" tint="-0.249977111117893"/>
      </dataBar>
      <extLst>
        <ext xmlns:x14="http://schemas.microsoft.com/office/spreadsheetml/2009/9/main" uri="{B025F937-C7B1-47D3-B67F-A62EFF666E3E}">
          <x14:id>{0F9ED7BA-7AF3-4512-A4C0-370020C8D7FA}</x14:id>
        </ext>
      </extLst>
    </cfRule>
    <cfRule type="containsText" dxfId="2459" priority="285" operator="containsText" text="Continue">
      <formula>NOT(ISERROR(SEARCH("Continue",F103)))</formula>
    </cfRule>
  </conditionalFormatting>
  <conditionalFormatting sqref="F105">
    <cfRule type="containsText" dxfId="2458" priority="282" operator="containsText" text="Meets">
      <formula>NOT(ISERROR(SEARCH("Meets",F105)))</formula>
    </cfRule>
    <cfRule type="containsText" dxfId="2457" priority="283" operator="containsText" text="Under">
      <formula>NOT(ISERROR(SEARCH("Under",F105)))</formula>
    </cfRule>
    <cfRule type="containsText" dxfId="2456" priority="281" operator="containsText" text="Exceeds">
      <formula>NOT(ISERROR(SEARCH("Exceeds",F105)))</formula>
    </cfRule>
    <cfRule type="dataBar" priority="276">
      <dataBar>
        <cfvo type="num" val="0"/>
        <cfvo type="num" val="1"/>
        <color theme="0" tint="-0.249977111117893"/>
      </dataBar>
      <extLst>
        <ext xmlns:x14="http://schemas.microsoft.com/office/spreadsheetml/2009/9/main" uri="{B025F937-C7B1-47D3-B67F-A62EFF666E3E}">
          <x14:id>{B41223BD-2819-4FBD-A6AA-8D4B8B72A305}</x14:id>
        </ext>
      </extLst>
    </cfRule>
    <cfRule type="containsText" dxfId="2455" priority="277" operator="containsText" text="Continue">
      <formula>NOT(ISERROR(SEARCH("Continue",F105)))</formula>
    </cfRule>
    <cfRule type="containsText" dxfId="2454" priority="278" operator="containsText" text="Stop">
      <formula>NOT(ISERROR(SEARCH("Stop",F105)))</formula>
    </cfRule>
    <cfRule type="containsText" dxfId="2453" priority="279" operator="containsText" text="Start">
      <formula>NOT(ISERROR(SEARCH("Start",F105)))</formula>
    </cfRule>
    <cfRule type="containsText" dxfId="2452" priority="280" operator="containsText" text="N/A">
      <formula>NOT(ISERROR(SEARCH("N/A",F105)))</formula>
    </cfRule>
  </conditionalFormatting>
  <conditionalFormatting sqref="F107 F115">
    <cfRule type="containsText" dxfId="2451" priority="272" operator="containsText" text="N/A">
      <formula>NOT(ISERROR(SEARCH("N/A",F107)))</formula>
    </cfRule>
    <cfRule type="dataBar" priority="268">
      <dataBar>
        <cfvo type="num" val="0"/>
        <cfvo type="num" val="1"/>
        <color theme="0" tint="-0.249977111117893"/>
      </dataBar>
      <extLst>
        <ext xmlns:x14="http://schemas.microsoft.com/office/spreadsheetml/2009/9/main" uri="{B025F937-C7B1-47D3-B67F-A62EFF666E3E}">
          <x14:id>{0C979EAE-9BDF-42F0-8770-42BAF52952D8}</x14:id>
        </ext>
      </extLst>
    </cfRule>
    <cfRule type="containsText" dxfId="2450" priority="274" operator="containsText" text="Meets">
      <formula>NOT(ISERROR(SEARCH("Meets",F107)))</formula>
    </cfRule>
    <cfRule type="containsText" dxfId="2449" priority="269" operator="containsText" text="Continue">
      <formula>NOT(ISERROR(SEARCH("Continue",F107)))</formula>
    </cfRule>
    <cfRule type="containsText" dxfId="2448" priority="275" operator="containsText" text="Under">
      <formula>NOT(ISERROR(SEARCH("Under",F107)))</formula>
    </cfRule>
    <cfRule type="containsText" dxfId="2447" priority="273" operator="containsText" text="Exceeds">
      <formula>NOT(ISERROR(SEARCH("Exceeds",F107)))</formula>
    </cfRule>
    <cfRule type="containsText" dxfId="2446" priority="270" operator="containsText" text="Stop">
      <formula>NOT(ISERROR(SEARCH("Stop",F107)))</formula>
    </cfRule>
    <cfRule type="containsText" dxfId="2445" priority="271" operator="containsText" text="Start">
      <formula>NOT(ISERROR(SEARCH("Start",F107)))</formula>
    </cfRule>
  </conditionalFormatting>
  <conditionalFormatting sqref="F111">
    <cfRule type="containsText" dxfId="2444" priority="210" operator="containsText" text="Start">
      <formula>NOT(ISERROR(SEARCH("Start",F111)))</formula>
    </cfRule>
    <cfRule type="containsText" dxfId="2443" priority="211" operator="containsText" text="N/A">
      <formula>NOT(ISERROR(SEARCH("N/A",F111)))</formula>
    </cfRule>
    <cfRule type="containsText" dxfId="2442" priority="212" operator="containsText" text="Exceeds">
      <formula>NOT(ISERROR(SEARCH("Exceeds",F111)))</formula>
    </cfRule>
    <cfRule type="containsText" dxfId="2441" priority="208" operator="containsText" text="Continue">
      <formula>NOT(ISERROR(SEARCH("Continue",F111)))</formula>
    </cfRule>
    <cfRule type="dataBar" priority="207">
      <dataBar>
        <cfvo type="num" val="0"/>
        <cfvo type="num" val="1"/>
        <color theme="0" tint="-0.249977111117893"/>
      </dataBar>
      <extLst>
        <ext xmlns:x14="http://schemas.microsoft.com/office/spreadsheetml/2009/9/main" uri="{B025F937-C7B1-47D3-B67F-A62EFF666E3E}">
          <x14:id>{EF10EDB4-A028-460F-9478-474218B1F6BC}</x14:id>
        </ext>
      </extLst>
    </cfRule>
    <cfRule type="containsText" dxfId="2440" priority="209" operator="containsText" text="Stop">
      <formula>NOT(ISERROR(SEARCH("Stop",F111)))</formula>
    </cfRule>
    <cfRule type="containsText" dxfId="2439" priority="214" operator="containsText" text="Under">
      <formula>NOT(ISERROR(SEARCH("Under",F111)))</formula>
    </cfRule>
    <cfRule type="containsText" dxfId="2438" priority="213" operator="containsText" text="Meets">
      <formula>NOT(ISERROR(SEARCH("Meets",F111)))</formula>
    </cfRule>
  </conditionalFormatting>
  <conditionalFormatting sqref="F113">
    <cfRule type="containsText" dxfId="2437" priority="201" operator="containsText" text="Stop">
      <formula>NOT(ISERROR(SEARCH("Stop",F113)))</formula>
    </cfRule>
    <cfRule type="containsText" dxfId="2436" priority="203" operator="containsText" text="N/A">
      <formula>NOT(ISERROR(SEARCH("N/A",F113)))</formula>
    </cfRule>
    <cfRule type="containsText" dxfId="2435" priority="202" operator="containsText" text="Start">
      <formula>NOT(ISERROR(SEARCH("Start",F113)))</formula>
    </cfRule>
    <cfRule type="containsText" dxfId="2434" priority="204" operator="containsText" text="Exceeds">
      <formula>NOT(ISERROR(SEARCH("Exceeds",F113)))</formula>
    </cfRule>
    <cfRule type="containsText" dxfId="2433" priority="200" operator="containsText" text="Continue">
      <formula>NOT(ISERROR(SEARCH("Continue",F113)))</formula>
    </cfRule>
    <cfRule type="dataBar" priority="199">
      <dataBar>
        <cfvo type="num" val="0"/>
        <cfvo type="num" val="1"/>
        <color theme="0" tint="-0.249977111117893"/>
      </dataBar>
      <extLst>
        <ext xmlns:x14="http://schemas.microsoft.com/office/spreadsheetml/2009/9/main" uri="{B025F937-C7B1-47D3-B67F-A62EFF666E3E}">
          <x14:id>{202AE604-BAD7-4D3A-BB0C-D25942792A54}</x14:id>
        </ext>
      </extLst>
    </cfRule>
    <cfRule type="containsText" dxfId="2432" priority="206" operator="containsText" text="Under">
      <formula>NOT(ISERROR(SEARCH("Under",F113)))</formula>
    </cfRule>
    <cfRule type="containsText" dxfId="2431" priority="205" operator="containsText" text="Meets">
      <formula>NOT(ISERROR(SEARCH("Meets",F113)))</formula>
    </cfRule>
  </conditionalFormatting>
  <conditionalFormatting sqref="F202">
    <cfRule type="containsText" dxfId="2430" priority="642" operator="containsText" text="Continue">
      <formula>NOT(ISERROR(SEARCH("Continue",F202)))</formula>
    </cfRule>
    <cfRule type="containsText" dxfId="2429" priority="643" operator="containsText" text="Stop">
      <formula>NOT(ISERROR(SEARCH("Stop",F202)))</formula>
    </cfRule>
    <cfRule type="containsText" dxfId="2428" priority="644" operator="containsText" text="Start">
      <formula>NOT(ISERROR(SEARCH("Start",F202)))</formula>
    </cfRule>
    <cfRule type="containsText" dxfId="2427" priority="648" operator="containsText" text="Under">
      <formula>NOT(ISERROR(SEARCH("Under",F202)))</formula>
    </cfRule>
    <cfRule type="containsText" dxfId="2426" priority="647" operator="containsText" text="Meets">
      <formula>NOT(ISERROR(SEARCH("Meets",F202)))</formula>
    </cfRule>
    <cfRule type="containsText" dxfId="2425" priority="646" operator="containsText" text="Exceeds">
      <formula>NOT(ISERROR(SEARCH("Exceeds",F202)))</formula>
    </cfRule>
    <cfRule type="containsText" dxfId="2424" priority="645" operator="containsText" text="N/A">
      <formula>NOT(ISERROR(SEARCH("N/A",F202)))</formula>
    </cfRule>
  </conditionalFormatting>
  <conditionalFormatting sqref="F204">
    <cfRule type="containsText" dxfId="2423" priority="150" operator="containsText" text="Start">
      <formula>NOT(ISERROR(SEARCH("Start",F204)))</formula>
    </cfRule>
    <cfRule type="containsText" dxfId="2422" priority="148" operator="containsText" text="Continue">
      <formula>NOT(ISERROR(SEARCH("Continue",F204)))</formula>
    </cfRule>
    <cfRule type="containsText" dxfId="2421" priority="152" operator="containsText" text="Exceeds">
      <formula>NOT(ISERROR(SEARCH("Exceeds",F204)))</formula>
    </cfRule>
    <cfRule type="containsText" dxfId="2420" priority="153" operator="containsText" text="Meets">
      <formula>NOT(ISERROR(SEARCH("Meets",F204)))</formula>
    </cfRule>
    <cfRule type="containsText" dxfId="2419" priority="151" operator="containsText" text="N/A">
      <formula>NOT(ISERROR(SEARCH("N/A",F204)))</formula>
    </cfRule>
    <cfRule type="containsText" dxfId="2418" priority="154" operator="containsText" text="Under">
      <formula>NOT(ISERROR(SEARCH("Under",F204)))</formula>
    </cfRule>
    <cfRule type="containsText" dxfId="2417" priority="149" operator="containsText" text="Stop">
      <formula>NOT(ISERROR(SEARCH("Stop",F204)))</formula>
    </cfRule>
  </conditionalFormatting>
  <conditionalFormatting sqref="F206">
    <cfRule type="containsText" dxfId="2416" priority="135" operator="containsText" text="Stop">
      <formula>NOT(ISERROR(SEARCH("Stop",F206)))</formula>
    </cfRule>
    <cfRule type="containsText" dxfId="2415" priority="134" operator="containsText" text="Continue">
      <formula>NOT(ISERROR(SEARCH("Continue",F206)))</formula>
    </cfRule>
    <cfRule type="containsText" dxfId="2414" priority="138" operator="containsText" text="Exceeds">
      <formula>NOT(ISERROR(SEARCH("Exceeds",F206)))</formula>
    </cfRule>
    <cfRule type="containsText" dxfId="2413" priority="140" operator="containsText" text="Under">
      <formula>NOT(ISERROR(SEARCH("Under",F206)))</formula>
    </cfRule>
    <cfRule type="containsText" dxfId="2412" priority="139" operator="containsText" text="Meets">
      <formula>NOT(ISERROR(SEARCH("Meets",F206)))</formula>
    </cfRule>
    <cfRule type="containsText" dxfId="2411" priority="137" operator="containsText" text="N/A">
      <formula>NOT(ISERROR(SEARCH("N/A",F206)))</formula>
    </cfRule>
    <cfRule type="containsText" dxfId="2410" priority="136" operator="containsText" text="Start">
      <formula>NOT(ISERROR(SEARCH("Start",F206)))</formula>
    </cfRule>
  </conditionalFormatting>
  <conditionalFormatting sqref="F209">
    <cfRule type="containsText" dxfId="2409" priority="122" operator="containsText" text="Start">
      <formula>NOT(ISERROR(SEARCH("Start",F209)))</formula>
    </cfRule>
    <cfRule type="containsText" dxfId="2408" priority="121" operator="containsText" text="Stop">
      <formula>NOT(ISERROR(SEARCH("Stop",F209)))</formula>
    </cfRule>
    <cfRule type="containsText" dxfId="2407" priority="120" operator="containsText" text="Continue">
      <formula>NOT(ISERROR(SEARCH("Continue",F209)))</formula>
    </cfRule>
    <cfRule type="containsText" dxfId="2406" priority="123" operator="containsText" text="N/A">
      <formula>NOT(ISERROR(SEARCH("N/A",F209)))</formula>
    </cfRule>
    <cfRule type="containsText" dxfId="2405" priority="124" operator="containsText" text="Exceeds">
      <formula>NOT(ISERROR(SEARCH("Exceeds",F209)))</formula>
    </cfRule>
    <cfRule type="containsText" dxfId="2404" priority="125" operator="containsText" text="Meets">
      <formula>NOT(ISERROR(SEARCH("Meets",F209)))</formula>
    </cfRule>
    <cfRule type="containsText" dxfId="2403" priority="126" operator="containsText" text="Under">
      <formula>NOT(ISERROR(SEARCH("Under",F209)))</formula>
    </cfRule>
  </conditionalFormatting>
  <conditionalFormatting sqref="F211">
    <cfRule type="containsText" dxfId="2402" priority="106" operator="containsText" text="Continue">
      <formula>NOT(ISERROR(SEARCH("Continue",F211)))</formula>
    </cfRule>
    <cfRule type="containsText" dxfId="2401" priority="111" operator="containsText" text="Meets">
      <formula>NOT(ISERROR(SEARCH("Meets",F211)))</formula>
    </cfRule>
    <cfRule type="containsText" dxfId="2400" priority="110" operator="containsText" text="Exceeds">
      <formula>NOT(ISERROR(SEARCH("Exceeds",F211)))</formula>
    </cfRule>
    <cfRule type="containsText" dxfId="2399" priority="109" operator="containsText" text="N/A">
      <formula>NOT(ISERROR(SEARCH("N/A",F211)))</formula>
    </cfRule>
    <cfRule type="containsText" dxfId="2398" priority="108" operator="containsText" text="Start">
      <formula>NOT(ISERROR(SEARCH("Start",F211)))</formula>
    </cfRule>
    <cfRule type="containsText" dxfId="2397" priority="112" operator="containsText" text="Under">
      <formula>NOT(ISERROR(SEARCH("Under",F211)))</formula>
    </cfRule>
    <cfRule type="containsText" dxfId="2396" priority="107" operator="containsText" text="Stop">
      <formula>NOT(ISERROR(SEARCH("Stop",F211)))</formula>
    </cfRule>
  </conditionalFormatting>
  <conditionalFormatting sqref="F213">
    <cfRule type="containsText" dxfId="2395" priority="97" operator="containsText" text="Meets">
      <formula>NOT(ISERROR(SEARCH("Meets",F213)))</formula>
    </cfRule>
    <cfRule type="containsText" dxfId="2394" priority="96" operator="containsText" text="Exceeds">
      <formula>NOT(ISERROR(SEARCH("Exceeds",F213)))</formula>
    </cfRule>
    <cfRule type="containsText" dxfId="2393" priority="92" operator="containsText" text="Continue">
      <formula>NOT(ISERROR(SEARCH("Continue",F213)))</formula>
    </cfRule>
    <cfRule type="containsText" dxfId="2392" priority="93" operator="containsText" text="Stop">
      <formula>NOT(ISERROR(SEARCH("Stop",F213)))</formula>
    </cfRule>
    <cfRule type="containsText" dxfId="2391" priority="95" operator="containsText" text="N/A">
      <formula>NOT(ISERROR(SEARCH("N/A",F213)))</formula>
    </cfRule>
    <cfRule type="containsText" dxfId="2390" priority="98" operator="containsText" text="Under">
      <formula>NOT(ISERROR(SEARCH("Under",F213)))</formula>
    </cfRule>
    <cfRule type="containsText" dxfId="2389" priority="94" operator="containsText" text="Start">
      <formula>NOT(ISERROR(SEARCH("Start",F213)))</formula>
    </cfRule>
  </conditionalFormatting>
  <conditionalFormatting sqref="F216">
    <cfRule type="containsText" dxfId="2388" priority="84" operator="containsText" text="Under">
      <formula>NOT(ISERROR(SEARCH("Under",F216)))</formula>
    </cfRule>
    <cfRule type="containsText" dxfId="2387" priority="83" operator="containsText" text="Meets">
      <formula>NOT(ISERROR(SEARCH("Meets",F216)))</formula>
    </cfRule>
    <cfRule type="containsText" dxfId="2386" priority="82" operator="containsText" text="Exceeds">
      <formula>NOT(ISERROR(SEARCH("Exceeds",F216)))</formula>
    </cfRule>
    <cfRule type="containsText" dxfId="2385" priority="81" operator="containsText" text="N/A">
      <formula>NOT(ISERROR(SEARCH("N/A",F216)))</formula>
    </cfRule>
    <cfRule type="containsText" dxfId="2384" priority="80" operator="containsText" text="Start">
      <formula>NOT(ISERROR(SEARCH("Start",F216)))</formula>
    </cfRule>
    <cfRule type="containsText" dxfId="2383" priority="79" operator="containsText" text="Stop">
      <formula>NOT(ISERROR(SEARCH("Stop",F216)))</formula>
    </cfRule>
    <cfRule type="containsText" dxfId="2382" priority="78" operator="containsText" text="Continue">
      <formula>NOT(ISERROR(SEARCH("Continue",F216)))</formula>
    </cfRule>
  </conditionalFormatting>
  <conditionalFormatting sqref="F218">
    <cfRule type="containsText" dxfId="2381" priority="67" operator="containsText" text="N/A">
      <formula>NOT(ISERROR(SEARCH("N/A",F218)))</formula>
    </cfRule>
    <cfRule type="containsText" dxfId="2380" priority="70" operator="containsText" text="Under">
      <formula>NOT(ISERROR(SEARCH("Under",F218)))</formula>
    </cfRule>
    <cfRule type="containsText" dxfId="2379" priority="69" operator="containsText" text="Meets">
      <formula>NOT(ISERROR(SEARCH("Meets",F218)))</formula>
    </cfRule>
    <cfRule type="containsText" dxfId="2378" priority="68" operator="containsText" text="Exceeds">
      <formula>NOT(ISERROR(SEARCH("Exceeds",F218)))</formula>
    </cfRule>
    <cfRule type="containsText" dxfId="2377" priority="66" operator="containsText" text="Start">
      <formula>NOT(ISERROR(SEARCH("Start",F218)))</formula>
    </cfRule>
    <cfRule type="containsText" dxfId="2376" priority="65" operator="containsText" text="Stop">
      <formula>NOT(ISERROR(SEARCH("Stop",F218)))</formula>
    </cfRule>
    <cfRule type="containsText" dxfId="2375" priority="64" operator="containsText" text="Continue">
      <formula>NOT(ISERROR(SEARCH("Continue",F218)))</formula>
    </cfRule>
  </conditionalFormatting>
  <conditionalFormatting sqref="F220">
    <cfRule type="containsText" dxfId="2374" priority="54" operator="containsText" text="Exceeds">
      <formula>NOT(ISERROR(SEARCH("Exceeds",F220)))</formula>
    </cfRule>
    <cfRule type="containsText" dxfId="2373" priority="56" operator="containsText" text="Under">
      <formula>NOT(ISERROR(SEARCH("Under",F220)))</formula>
    </cfRule>
    <cfRule type="containsText" dxfId="2372" priority="55" operator="containsText" text="Meets">
      <formula>NOT(ISERROR(SEARCH("Meets",F220)))</formula>
    </cfRule>
    <cfRule type="containsText" dxfId="2371" priority="53" operator="containsText" text="N/A">
      <formula>NOT(ISERROR(SEARCH("N/A",F220)))</formula>
    </cfRule>
    <cfRule type="containsText" dxfId="2370" priority="52" operator="containsText" text="Start">
      <formula>NOT(ISERROR(SEARCH("Start",F220)))</formula>
    </cfRule>
    <cfRule type="containsText" dxfId="2369" priority="51" operator="containsText" text="Stop">
      <formula>NOT(ISERROR(SEARCH("Stop",F220)))</formula>
    </cfRule>
    <cfRule type="containsText" dxfId="2368" priority="50" operator="containsText" text="Continue">
      <formula>NOT(ISERROR(SEARCH("Continue",F220)))</formula>
    </cfRule>
  </conditionalFormatting>
  <conditionalFormatting sqref="F223">
    <cfRule type="containsText" dxfId="2367" priority="42" operator="containsText" text="Under">
      <formula>NOT(ISERROR(SEARCH("Under",F223)))</formula>
    </cfRule>
    <cfRule type="containsText" dxfId="2366" priority="36" operator="containsText" text="Continue">
      <formula>NOT(ISERROR(SEARCH("Continue",F223)))</formula>
    </cfRule>
    <cfRule type="containsText" dxfId="2365" priority="37" operator="containsText" text="Stop">
      <formula>NOT(ISERROR(SEARCH("Stop",F223)))</formula>
    </cfRule>
    <cfRule type="containsText" dxfId="2364" priority="41" operator="containsText" text="Meets">
      <formula>NOT(ISERROR(SEARCH("Meets",F223)))</formula>
    </cfRule>
    <cfRule type="containsText" dxfId="2363" priority="40" operator="containsText" text="Exceeds">
      <formula>NOT(ISERROR(SEARCH("Exceeds",F223)))</formula>
    </cfRule>
    <cfRule type="containsText" dxfId="2362" priority="39" operator="containsText" text="N/A">
      <formula>NOT(ISERROR(SEARCH("N/A",F223)))</formula>
    </cfRule>
    <cfRule type="containsText" dxfId="2361" priority="38" operator="containsText" text="Start">
      <formula>NOT(ISERROR(SEARCH("Start",F223)))</formula>
    </cfRule>
  </conditionalFormatting>
  <conditionalFormatting sqref="F225">
    <cfRule type="containsText" dxfId="2360" priority="27" operator="containsText" text="Meets">
      <formula>NOT(ISERROR(SEARCH("Meets",F225)))</formula>
    </cfRule>
    <cfRule type="containsText" dxfId="2359" priority="28" operator="containsText" text="Under">
      <formula>NOT(ISERROR(SEARCH("Under",F225)))</formula>
    </cfRule>
    <cfRule type="containsText" dxfId="2358" priority="26" operator="containsText" text="Exceeds">
      <formula>NOT(ISERROR(SEARCH("Exceeds",F225)))</formula>
    </cfRule>
    <cfRule type="containsText" dxfId="2357" priority="25" operator="containsText" text="N/A">
      <formula>NOT(ISERROR(SEARCH("N/A",F225)))</formula>
    </cfRule>
    <cfRule type="containsText" dxfId="2356" priority="24" operator="containsText" text="Start">
      <formula>NOT(ISERROR(SEARCH("Start",F225)))</formula>
    </cfRule>
    <cfRule type="containsText" dxfId="2355" priority="23" operator="containsText" text="Stop">
      <formula>NOT(ISERROR(SEARCH("Stop",F225)))</formula>
    </cfRule>
    <cfRule type="containsText" dxfId="2354" priority="22" operator="containsText" text="Continue">
      <formula>NOT(ISERROR(SEARCH("Continue",F225)))</formula>
    </cfRule>
  </conditionalFormatting>
  <conditionalFormatting sqref="F227">
    <cfRule type="containsText" dxfId="2353" priority="10" operator="containsText" text="Start">
      <formula>NOT(ISERROR(SEARCH("Start",F227)))</formula>
    </cfRule>
    <cfRule type="containsText" dxfId="2352" priority="9" operator="containsText" text="Stop">
      <formula>NOT(ISERROR(SEARCH("Stop",F227)))</formula>
    </cfRule>
    <cfRule type="containsText" dxfId="2351" priority="8" operator="containsText" text="Continue">
      <formula>NOT(ISERROR(SEARCH("Continue",F227)))</formula>
    </cfRule>
    <cfRule type="containsText" dxfId="2350" priority="14" operator="containsText" text="Under">
      <formula>NOT(ISERROR(SEARCH("Under",F227)))</formula>
    </cfRule>
    <cfRule type="containsText" dxfId="2349" priority="13" operator="containsText" text="Meets">
      <formula>NOT(ISERROR(SEARCH("Meets",F227)))</formula>
    </cfRule>
    <cfRule type="containsText" dxfId="2348" priority="12" operator="containsText" text="Exceeds">
      <formula>NOT(ISERROR(SEARCH("Exceeds",F227)))</formula>
    </cfRule>
    <cfRule type="containsText" dxfId="2347" priority="11" operator="containsText" text="N/A">
      <formula>NOT(ISERROR(SEARCH("N/A",F227)))</formula>
    </cfRule>
  </conditionalFormatting>
  <conditionalFormatting sqref="G62 I62">
    <cfRule type="containsText" dxfId="2346" priority="793" operator="containsText" text="Under">
      <formula>NOT(ISERROR(SEARCH("Under",G62)))</formula>
    </cfRule>
    <cfRule type="containsText" dxfId="2345" priority="792" operator="containsText" text="Meets">
      <formula>NOT(ISERROR(SEARCH("Meets",G62)))</formula>
    </cfRule>
    <cfRule type="containsText" dxfId="2344" priority="791" operator="containsText" text="Exceeds">
      <formula>NOT(ISERROR(SEARCH("Exceeds",G62)))</formula>
    </cfRule>
    <cfRule type="containsText" dxfId="2343" priority="790" operator="containsText" text="N/A">
      <formula>NOT(ISERROR(SEARCH("N/A",G62)))</formula>
    </cfRule>
    <cfRule type="containsText" dxfId="2342" priority="789" operator="containsText" text="Start">
      <formula>NOT(ISERROR(SEARCH("Start",G62)))</formula>
    </cfRule>
    <cfRule type="containsText" dxfId="2341" priority="788" operator="containsText" text="Stop">
      <formula>NOT(ISERROR(SEARCH("Stop",G62)))</formula>
    </cfRule>
    <cfRule type="containsText" dxfId="2340" priority="787" operator="containsText" text="Continue">
      <formula>NOT(ISERROR(SEARCH("Continue",G62)))</formula>
    </cfRule>
  </conditionalFormatting>
  <conditionalFormatting sqref="G64">
    <cfRule type="containsText" dxfId="2339" priority="471" operator="containsText" text="N/A">
      <formula>NOT(ISERROR(SEARCH("N/A",G64)))</formula>
    </cfRule>
    <cfRule type="containsText" dxfId="2338" priority="469" operator="containsText" text="Stop">
      <formula>NOT(ISERROR(SEARCH("Stop",G64)))</formula>
    </cfRule>
    <cfRule type="containsText" dxfId="2337" priority="470" operator="containsText" text="Start">
      <formula>NOT(ISERROR(SEARCH("Start",G64)))</formula>
    </cfRule>
    <cfRule type="containsText" dxfId="2336" priority="468" operator="containsText" text="Continue">
      <formula>NOT(ISERROR(SEARCH("Continue",G64)))</formula>
    </cfRule>
    <cfRule type="containsText" dxfId="2335" priority="472" operator="containsText" text="Exceeds">
      <formula>NOT(ISERROR(SEARCH("Exceeds",G64)))</formula>
    </cfRule>
    <cfRule type="containsText" dxfId="2334" priority="473" operator="containsText" text="Meets">
      <formula>NOT(ISERROR(SEARCH("Meets",G64)))</formula>
    </cfRule>
    <cfRule type="containsText" dxfId="2333" priority="474" operator="containsText" text="Under">
      <formula>NOT(ISERROR(SEARCH("Under",G64)))</formula>
    </cfRule>
  </conditionalFormatting>
  <conditionalFormatting sqref="G66 I66">
    <cfRule type="containsText" dxfId="2332" priority="459" operator="containsText" text="Under">
      <formula>NOT(ISERROR(SEARCH("Under",G66)))</formula>
    </cfRule>
    <cfRule type="containsText" dxfId="2331" priority="458" operator="containsText" text="Meets">
      <formula>NOT(ISERROR(SEARCH("Meets",G66)))</formula>
    </cfRule>
    <cfRule type="containsText" dxfId="2330" priority="454" operator="containsText" text="Stop">
      <formula>NOT(ISERROR(SEARCH("Stop",G66)))</formula>
    </cfRule>
    <cfRule type="containsText" dxfId="2329" priority="453" operator="containsText" text="Continue">
      <formula>NOT(ISERROR(SEARCH("Continue",G66)))</formula>
    </cfRule>
    <cfRule type="containsText" dxfId="2328" priority="457" operator="containsText" text="Exceeds">
      <formula>NOT(ISERROR(SEARCH("Exceeds",G66)))</formula>
    </cfRule>
    <cfRule type="containsText" dxfId="2327" priority="456" operator="containsText" text="N/A">
      <formula>NOT(ISERROR(SEARCH("N/A",G66)))</formula>
    </cfRule>
    <cfRule type="containsText" dxfId="2326" priority="455" operator="containsText" text="Start">
      <formula>NOT(ISERROR(SEARCH("Start",G66)))</formula>
    </cfRule>
  </conditionalFormatting>
  <conditionalFormatting sqref="G70 I70">
    <cfRule type="containsText" dxfId="2325" priority="442" operator="containsText" text="N/A">
      <formula>NOT(ISERROR(SEARCH("N/A",G70)))</formula>
    </cfRule>
    <cfRule type="containsText" dxfId="2324" priority="441" operator="containsText" text="Start">
      <formula>NOT(ISERROR(SEARCH("Start",G70)))</formula>
    </cfRule>
    <cfRule type="containsText" dxfId="2323" priority="440" operator="containsText" text="Stop">
      <formula>NOT(ISERROR(SEARCH("Stop",G70)))</formula>
    </cfRule>
    <cfRule type="containsText" dxfId="2322" priority="439" operator="containsText" text="Continue">
      <formula>NOT(ISERROR(SEARCH("Continue",G70)))</formula>
    </cfRule>
    <cfRule type="containsText" dxfId="2321" priority="445" operator="containsText" text="Under">
      <formula>NOT(ISERROR(SEARCH("Under",G70)))</formula>
    </cfRule>
    <cfRule type="containsText" dxfId="2320" priority="444" operator="containsText" text="Meets">
      <formula>NOT(ISERROR(SEARCH("Meets",G70)))</formula>
    </cfRule>
    <cfRule type="containsText" dxfId="2319" priority="443" operator="containsText" text="Exceeds">
      <formula>NOT(ISERROR(SEARCH("Exceeds",G70)))</formula>
    </cfRule>
  </conditionalFormatting>
  <conditionalFormatting sqref="G72 I72">
    <cfRule type="containsText" dxfId="2318" priority="425" operator="containsText" text="Stop">
      <formula>NOT(ISERROR(SEARCH("Stop",G72)))</formula>
    </cfRule>
    <cfRule type="containsText" dxfId="2317" priority="430" operator="containsText" text="Under">
      <formula>NOT(ISERROR(SEARCH("Under",G72)))</formula>
    </cfRule>
    <cfRule type="containsText" dxfId="2316" priority="429" operator="containsText" text="Meets">
      <formula>NOT(ISERROR(SEARCH("Meets",G72)))</formula>
    </cfRule>
    <cfRule type="containsText" dxfId="2315" priority="428" operator="containsText" text="Exceeds">
      <formula>NOT(ISERROR(SEARCH("Exceeds",G72)))</formula>
    </cfRule>
    <cfRule type="containsText" dxfId="2314" priority="427" operator="containsText" text="N/A">
      <formula>NOT(ISERROR(SEARCH("N/A",G72)))</formula>
    </cfRule>
    <cfRule type="containsText" dxfId="2313" priority="426" operator="containsText" text="Start">
      <formula>NOT(ISERROR(SEARCH("Start",G72)))</formula>
    </cfRule>
    <cfRule type="containsText" dxfId="2312" priority="424" operator="containsText" text="Continue">
      <formula>NOT(ISERROR(SEARCH("Continue",G72)))</formula>
    </cfRule>
  </conditionalFormatting>
  <conditionalFormatting sqref="G74 I74">
    <cfRule type="containsText" dxfId="2311" priority="410" operator="containsText" text="Stop">
      <formula>NOT(ISERROR(SEARCH("Stop",G74)))</formula>
    </cfRule>
    <cfRule type="containsText" dxfId="2310" priority="412" operator="containsText" text="N/A">
      <formula>NOT(ISERROR(SEARCH("N/A",G74)))</formula>
    </cfRule>
    <cfRule type="containsText" dxfId="2309" priority="413" operator="containsText" text="Exceeds">
      <formula>NOT(ISERROR(SEARCH("Exceeds",G74)))</formula>
    </cfRule>
    <cfRule type="containsText" dxfId="2308" priority="414" operator="containsText" text="Meets">
      <formula>NOT(ISERROR(SEARCH("Meets",G74)))</formula>
    </cfRule>
    <cfRule type="containsText" dxfId="2307" priority="415" operator="containsText" text="Under">
      <formula>NOT(ISERROR(SEARCH("Under",G74)))</formula>
    </cfRule>
    <cfRule type="containsText" dxfId="2306" priority="411" operator="containsText" text="Start">
      <formula>NOT(ISERROR(SEARCH("Start",G74)))</formula>
    </cfRule>
    <cfRule type="containsText" dxfId="2305" priority="409" operator="containsText" text="Continue">
      <formula>NOT(ISERROR(SEARCH("Continue",G74)))</formula>
    </cfRule>
  </conditionalFormatting>
  <conditionalFormatting sqref="G78 I78">
    <cfRule type="containsText" dxfId="2304" priority="401" operator="containsText" text="Under">
      <formula>NOT(ISERROR(SEARCH("Under",G78)))</formula>
    </cfRule>
    <cfRule type="containsText" dxfId="2303" priority="400" operator="containsText" text="Meets">
      <formula>NOT(ISERROR(SEARCH("Meets",G78)))</formula>
    </cfRule>
    <cfRule type="containsText" dxfId="2302" priority="399" operator="containsText" text="Exceeds">
      <formula>NOT(ISERROR(SEARCH("Exceeds",G78)))</formula>
    </cfRule>
    <cfRule type="containsText" dxfId="2301" priority="398" operator="containsText" text="N/A">
      <formula>NOT(ISERROR(SEARCH("N/A",G78)))</formula>
    </cfRule>
    <cfRule type="containsText" dxfId="2300" priority="397" operator="containsText" text="Start">
      <formula>NOT(ISERROR(SEARCH("Start",G78)))</formula>
    </cfRule>
    <cfRule type="containsText" dxfId="2299" priority="396" operator="containsText" text="Stop">
      <formula>NOT(ISERROR(SEARCH("Stop",G78)))</formula>
    </cfRule>
    <cfRule type="containsText" dxfId="2298" priority="395" operator="containsText" text="Continue">
      <formula>NOT(ISERROR(SEARCH("Continue",G78)))</formula>
    </cfRule>
  </conditionalFormatting>
  <conditionalFormatting sqref="G80 I80">
    <cfRule type="containsText" dxfId="2297" priority="384" operator="containsText" text="Exceeds">
      <formula>NOT(ISERROR(SEARCH("Exceeds",G80)))</formula>
    </cfRule>
    <cfRule type="containsText" dxfId="2296" priority="386" operator="containsText" text="Under">
      <formula>NOT(ISERROR(SEARCH("Under",G80)))</formula>
    </cfRule>
    <cfRule type="containsText" dxfId="2295" priority="383" operator="containsText" text="N/A">
      <formula>NOT(ISERROR(SEARCH("N/A",G80)))</formula>
    </cfRule>
    <cfRule type="containsText" dxfId="2294" priority="385" operator="containsText" text="Meets">
      <formula>NOT(ISERROR(SEARCH("Meets",G80)))</formula>
    </cfRule>
    <cfRule type="containsText" dxfId="2293" priority="382" operator="containsText" text="Start">
      <formula>NOT(ISERROR(SEARCH("Start",G80)))</formula>
    </cfRule>
    <cfRule type="containsText" dxfId="2292" priority="380" operator="containsText" text="Continue">
      <formula>NOT(ISERROR(SEARCH("Continue",G80)))</formula>
    </cfRule>
    <cfRule type="containsText" dxfId="2291" priority="381" operator="containsText" text="Stop">
      <formula>NOT(ISERROR(SEARCH("Stop",G80)))</formula>
    </cfRule>
  </conditionalFormatting>
  <conditionalFormatting sqref="G82 I82">
    <cfRule type="containsText" dxfId="2290" priority="365" operator="containsText" text="Continue">
      <formula>NOT(ISERROR(SEARCH("Continue",G82)))</formula>
    </cfRule>
    <cfRule type="containsText" dxfId="2289" priority="368" operator="containsText" text="N/A">
      <formula>NOT(ISERROR(SEARCH("N/A",G82)))</formula>
    </cfRule>
    <cfRule type="containsText" dxfId="2288" priority="367" operator="containsText" text="Start">
      <formula>NOT(ISERROR(SEARCH("Start",G82)))</formula>
    </cfRule>
    <cfRule type="containsText" dxfId="2287" priority="366" operator="containsText" text="Stop">
      <formula>NOT(ISERROR(SEARCH("Stop",G82)))</formula>
    </cfRule>
    <cfRule type="containsText" dxfId="2286" priority="371" operator="containsText" text="Under">
      <formula>NOT(ISERROR(SEARCH("Under",G82)))</formula>
    </cfRule>
    <cfRule type="containsText" dxfId="2285" priority="370" operator="containsText" text="Meets">
      <formula>NOT(ISERROR(SEARCH("Meets",G82)))</formula>
    </cfRule>
    <cfRule type="containsText" dxfId="2284" priority="369" operator="containsText" text="Exceeds">
      <formula>NOT(ISERROR(SEARCH("Exceeds",G82)))</formula>
    </cfRule>
  </conditionalFormatting>
  <conditionalFormatting sqref="G86 I86">
    <cfRule type="containsText" dxfId="2283" priority="740" operator="containsText" text="Under">
      <formula>NOT(ISERROR(SEARCH("Under",G86)))</formula>
    </cfRule>
    <cfRule type="containsText" dxfId="2282" priority="738" operator="containsText" text="Exceeds">
      <formula>NOT(ISERROR(SEARCH("Exceeds",G86)))</formula>
    </cfRule>
    <cfRule type="containsText" dxfId="2281" priority="739" operator="containsText" text="Meets">
      <formula>NOT(ISERROR(SEARCH("Meets",G86)))</formula>
    </cfRule>
    <cfRule type="containsText" dxfId="2280" priority="736" operator="containsText" text="Start">
      <formula>NOT(ISERROR(SEARCH("Start",G86)))</formula>
    </cfRule>
    <cfRule type="containsText" dxfId="2279" priority="735" operator="containsText" text="Stop">
      <formula>NOT(ISERROR(SEARCH("Stop",G86)))</formula>
    </cfRule>
    <cfRule type="containsText" dxfId="2278" priority="734" operator="containsText" text="Continue">
      <formula>NOT(ISERROR(SEARCH("Continue",G86)))</formula>
    </cfRule>
    <cfRule type="containsText" dxfId="2277" priority="737" operator="containsText" text="N/A">
      <formula>NOT(ISERROR(SEARCH("N/A",G86)))</formula>
    </cfRule>
  </conditionalFormatting>
  <conditionalFormatting sqref="G88">
    <cfRule type="containsText" dxfId="2276" priority="720" operator="containsText" text="Continue">
      <formula>NOT(ISERROR(SEARCH("Continue",G88)))</formula>
    </cfRule>
    <cfRule type="containsText" dxfId="2275" priority="721" operator="containsText" text="Stop">
      <formula>NOT(ISERROR(SEARCH("Stop",G88)))</formula>
    </cfRule>
    <cfRule type="containsText" dxfId="2274" priority="726" operator="containsText" text="Under">
      <formula>NOT(ISERROR(SEARCH("Under",G88)))</formula>
    </cfRule>
    <cfRule type="containsText" dxfId="2273" priority="725" operator="containsText" text="Meets">
      <formula>NOT(ISERROR(SEARCH("Meets",G88)))</formula>
    </cfRule>
    <cfRule type="containsText" dxfId="2272" priority="724" operator="containsText" text="Exceeds">
      <formula>NOT(ISERROR(SEARCH("Exceeds",G88)))</formula>
    </cfRule>
    <cfRule type="containsText" dxfId="2271" priority="723" operator="containsText" text="N/A">
      <formula>NOT(ISERROR(SEARCH("N/A",G88)))</formula>
    </cfRule>
    <cfRule type="containsText" dxfId="2270" priority="722" operator="containsText" text="Start">
      <formula>NOT(ISERROR(SEARCH("Start",G88)))</formula>
    </cfRule>
  </conditionalFormatting>
  <conditionalFormatting sqref="G90">
    <cfRule type="containsText" dxfId="2269" priority="719" operator="containsText" text="Under">
      <formula>NOT(ISERROR(SEARCH("Under",G90)))</formula>
    </cfRule>
    <cfRule type="containsText" dxfId="2268" priority="715" operator="containsText" text="Start">
      <formula>NOT(ISERROR(SEARCH("Start",G90)))</formula>
    </cfRule>
    <cfRule type="containsText" dxfId="2267" priority="714" operator="containsText" text="Stop">
      <formula>NOT(ISERROR(SEARCH("Stop",G90)))</formula>
    </cfRule>
    <cfRule type="containsText" dxfId="2266" priority="713" operator="containsText" text="Continue">
      <formula>NOT(ISERROR(SEARCH("Continue",G90)))</formula>
    </cfRule>
    <cfRule type="containsText" dxfId="2265" priority="716" operator="containsText" text="N/A">
      <formula>NOT(ISERROR(SEARCH("N/A",G90)))</formula>
    </cfRule>
    <cfRule type="containsText" dxfId="2264" priority="718" operator="containsText" text="Meets">
      <formula>NOT(ISERROR(SEARCH("Meets",G90)))</formula>
    </cfRule>
    <cfRule type="containsText" dxfId="2263" priority="717" operator="containsText" text="Exceeds">
      <formula>NOT(ISERROR(SEARCH("Exceeds",G90)))</formula>
    </cfRule>
  </conditionalFormatting>
  <conditionalFormatting sqref="G94 I94">
    <cfRule type="containsText" dxfId="2262" priority="331" operator="containsText" text="Stop">
      <formula>NOT(ISERROR(SEARCH("Stop",G94)))</formula>
    </cfRule>
    <cfRule type="containsText" dxfId="2261" priority="332" operator="containsText" text="Start">
      <formula>NOT(ISERROR(SEARCH("Start",G94)))</formula>
    </cfRule>
    <cfRule type="containsText" dxfId="2260" priority="333" operator="containsText" text="N/A">
      <formula>NOT(ISERROR(SEARCH("N/A",G94)))</formula>
    </cfRule>
    <cfRule type="containsText" dxfId="2259" priority="336" operator="containsText" text="Under">
      <formula>NOT(ISERROR(SEARCH("Under",G94)))</formula>
    </cfRule>
    <cfRule type="containsText" dxfId="2258" priority="334" operator="containsText" text="Exceeds">
      <formula>NOT(ISERROR(SEARCH("Exceeds",G94)))</formula>
    </cfRule>
    <cfRule type="containsText" dxfId="2257" priority="330" operator="containsText" text="Continue">
      <formula>NOT(ISERROR(SEARCH("Continue",G94)))</formula>
    </cfRule>
    <cfRule type="containsText" dxfId="2256" priority="335" operator="containsText" text="Meets">
      <formula>NOT(ISERROR(SEARCH("Meets",G94)))</formula>
    </cfRule>
  </conditionalFormatting>
  <conditionalFormatting sqref="G96 I96">
    <cfRule type="containsText" dxfId="2255" priority="328" operator="containsText" text="Meets">
      <formula>NOT(ISERROR(SEARCH("Meets",G96)))</formula>
    </cfRule>
    <cfRule type="containsText" dxfId="2254" priority="326" operator="containsText" text="N/A">
      <formula>NOT(ISERROR(SEARCH("N/A",G96)))</formula>
    </cfRule>
    <cfRule type="containsText" dxfId="2253" priority="325" operator="containsText" text="Start">
      <formula>NOT(ISERROR(SEARCH("Start",G96)))</formula>
    </cfRule>
    <cfRule type="containsText" dxfId="2252" priority="324" operator="containsText" text="Stop">
      <formula>NOT(ISERROR(SEARCH("Stop",G96)))</formula>
    </cfRule>
    <cfRule type="containsText" dxfId="2251" priority="323" operator="containsText" text="Continue">
      <formula>NOT(ISERROR(SEARCH("Continue",G96)))</formula>
    </cfRule>
    <cfRule type="containsText" dxfId="2250" priority="327" operator="containsText" text="Exceeds">
      <formula>NOT(ISERROR(SEARCH("Exceeds",G96)))</formula>
    </cfRule>
    <cfRule type="containsText" dxfId="2249" priority="329" operator="containsText" text="Under">
      <formula>NOT(ISERROR(SEARCH("Under",G96)))</formula>
    </cfRule>
  </conditionalFormatting>
  <conditionalFormatting sqref="G98 I98">
    <cfRule type="containsText" dxfId="2248" priority="320" operator="containsText" text="Exceeds">
      <formula>NOT(ISERROR(SEARCH("Exceeds",G98)))</formula>
    </cfRule>
    <cfRule type="containsText" dxfId="2247" priority="322" operator="containsText" text="Under">
      <formula>NOT(ISERROR(SEARCH("Under",G98)))</formula>
    </cfRule>
    <cfRule type="containsText" dxfId="2246" priority="321" operator="containsText" text="Meets">
      <formula>NOT(ISERROR(SEARCH("Meets",G98)))</formula>
    </cfRule>
    <cfRule type="containsText" dxfId="2245" priority="319" operator="containsText" text="N/A">
      <formula>NOT(ISERROR(SEARCH("N/A",G98)))</formula>
    </cfRule>
    <cfRule type="containsText" dxfId="2244" priority="318" operator="containsText" text="Start">
      <formula>NOT(ISERROR(SEARCH("Start",G98)))</formula>
    </cfRule>
    <cfRule type="containsText" dxfId="2243" priority="316" operator="containsText" text="Continue">
      <formula>NOT(ISERROR(SEARCH("Continue",G98)))</formula>
    </cfRule>
    <cfRule type="containsText" dxfId="2242" priority="317" operator="containsText" text="Stop">
      <formula>NOT(ISERROR(SEARCH("Stop",G98)))</formula>
    </cfRule>
  </conditionalFormatting>
  <conditionalFormatting sqref="G102 I102">
    <cfRule type="containsText" dxfId="2241" priority="351" operator="containsText" text="Continue">
      <formula>NOT(ISERROR(SEARCH("Continue",G102)))</formula>
    </cfRule>
    <cfRule type="containsText" dxfId="2240" priority="352" operator="containsText" text="Stop">
      <formula>NOT(ISERROR(SEARCH("Stop",G102)))</formula>
    </cfRule>
    <cfRule type="containsText" dxfId="2239" priority="357" operator="containsText" text="Under">
      <formula>NOT(ISERROR(SEARCH("Under",G102)))</formula>
    </cfRule>
    <cfRule type="containsText" dxfId="2238" priority="356" operator="containsText" text="Meets">
      <formula>NOT(ISERROR(SEARCH("Meets",G102)))</formula>
    </cfRule>
    <cfRule type="containsText" dxfId="2237" priority="355" operator="containsText" text="Exceeds">
      <formula>NOT(ISERROR(SEARCH("Exceeds",G102)))</formula>
    </cfRule>
    <cfRule type="containsText" dxfId="2236" priority="354" operator="containsText" text="N/A">
      <formula>NOT(ISERROR(SEARCH("N/A",G102)))</formula>
    </cfRule>
    <cfRule type="containsText" dxfId="2235" priority="353" operator="containsText" text="Start">
      <formula>NOT(ISERROR(SEARCH("Start",G102)))</formula>
    </cfRule>
  </conditionalFormatting>
  <conditionalFormatting sqref="G104 I104">
    <cfRule type="containsText" dxfId="2234" priority="344" operator="containsText" text="Continue">
      <formula>NOT(ISERROR(SEARCH("Continue",G104)))</formula>
    </cfRule>
    <cfRule type="containsText" dxfId="2233" priority="345" operator="containsText" text="Stop">
      <formula>NOT(ISERROR(SEARCH("Stop",G104)))</formula>
    </cfRule>
    <cfRule type="containsText" dxfId="2232" priority="346" operator="containsText" text="Start">
      <formula>NOT(ISERROR(SEARCH("Start",G104)))</formula>
    </cfRule>
    <cfRule type="containsText" dxfId="2231" priority="347" operator="containsText" text="N/A">
      <formula>NOT(ISERROR(SEARCH("N/A",G104)))</formula>
    </cfRule>
    <cfRule type="containsText" dxfId="2230" priority="348" operator="containsText" text="Exceeds">
      <formula>NOT(ISERROR(SEARCH("Exceeds",G104)))</formula>
    </cfRule>
    <cfRule type="containsText" dxfId="2229" priority="349" operator="containsText" text="Meets">
      <formula>NOT(ISERROR(SEARCH("Meets",G104)))</formula>
    </cfRule>
    <cfRule type="containsText" dxfId="2228" priority="350" operator="containsText" text="Under">
      <formula>NOT(ISERROR(SEARCH("Under",G104)))</formula>
    </cfRule>
  </conditionalFormatting>
  <conditionalFormatting sqref="G106 I106">
    <cfRule type="containsText" dxfId="2227" priority="343" operator="containsText" text="Under">
      <formula>NOT(ISERROR(SEARCH("Under",G106)))</formula>
    </cfRule>
    <cfRule type="containsText" dxfId="2226" priority="338" operator="containsText" text="Stop">
      <formula>NOT(ISERROR(SEARCH("Stop",G106)))</formula>
    </cfRule>
    <cfRule type="containsText" dxfId="2225" priority="337" operator="containsText" text="Continue">
      <formula>NOT(ISERROR(SEARCH("Continue",G106)))</formula>
    </cfRule>
    <cfRule type="containsText" dxfId="2224" priority="342" operator="containsText" text="Meets">
      <formula>NOT(ISERROR(SEARCH("Meets",G106)))</formula>
    </cfRule>
    <cfRule type="containsText" dxfId="2223" priority="339" operator="containsText" text="Start">
      <formula>NOT(ISERROR(SEARCH("Start",G106)))</formula>
    </cfRule>
    <cfRule type="containsText" dxfId="2222" priority="340" operator="containsText" text="N/A">
      <formula>NOT(ISERROR(SEARCH("N/A",G106)))</formula>
    </cfRule>
    <cfRule type="containsText" dxfId="2221" priority="341" operator="containsText" text="Exceeds">
      <formula>NOT(ISERROR(SEARCH("Exceeds",G106)))</formula>
    </cfRule>
  </conditionalFormatting>
  <conditionalFormatting sqref="G110 I110">
    <cfRule type="containsText" dxfId="2220" priority="234" operator="containsText" text="Meets">
      <formula>NOT(ISERROR(SEARCH("Meets",G110)))</formula>
    </cfRule>
    <cfRule type="containsText" dxfId="2219" priority="235" operator="containsText" text="Under">
      <formula>NOT(ISERROR(SEARCH("Under",G110)))</formula>
    </cfRule>
    <cfRule type="containsText" dxfId="2218" priority="232" operator="containsText" text="N/A">
      <formula>NOT(ISERROR(SEARCH("N/A",G110)))</formula>
    </cfRule>
    <cfRule type="containsText" dxfId="2217" priority="231" operator="containsText" text="Start">
      <formula>NOT(ISERROR(SEARCH("Start",G110)))</formula>
    </cfRule>
    <cfRule type="containsText" dxfId="2216" priority="230" operator="containsText" text="Stop">
      <formula>NOT(ISERROR(SEARCH("Stop",G110)))</formula>
    </cfRule>
    <cfRule type="containsText" dxfId="2215" priority="229" operator="containsText" text="Continue">
      <formula>NOT(ISERROR(SEARCH("Continue",G110)))</formula>
    </cfRule>
    <cfRule type="containsText" dxfId="2214" priority="233" operator="containsText" text="Exceeds">
      <formula>NOT(ISERROR(SEARCH("Exceeds",G110)))</formula>
    </cfRule>
  </conditionalFormatting>
  <conditionalFormatting sqref="G112 I112">
    <cfRule type="containsText" dxfId="2213" priority="222" operator="containsText" text="Continue">
      <formula>NOT(ISERROR(SEARCH("Continue",G112)))</formula>
    </cfRule>
    <cfRule type="containsText" dxfId="2212" priority="228" operator="containsText" text="Under">
      <formula>NOT(ISERROR(SEARCH("Under",G112)))</formula>
    </cfRule>
    <cfRule type="containsText" dxfId="2211" priority="223" operator="containsText" text="Stop">
      <formula>NOT(ISERROR(SEARCH("Stop",G112)))</formula>
    </cfRule>
    <cfRule type="containsText" dxfId="2210" priority="224" operator="containsText" text="Start">
      <formula>NOT(ISERROR(SEARCH("Start",G112)))</formula>
    </cfRule>
    <cfRule type="containsText" dxfId="2209" priority="225" operator="containsText" text="N/A">
      <formula>NOT(ISERROR(SEARCH("N/A",G112)))</formula>
    </cfRule>
    <cfRule type="containsText" dxfId="2208" priority="227" operator="containsText" text="Meets">
      <formula>NOT(ISERROR(SEARCH("Meets",G112)))</formula>
    </cfRule>
    <cfRule type="containsText" dxfId="2207" priority="226" operator="containsText" text="Exceeds">
      <formula>NOT(ISERROR(SEARCH("Exceeds",G112)))</formula>
    </cfRule>
  </conditionalFormatting>
  <conditionalFormatting sqref="G114 I114">
    <cfRule type="containsText" dxfId="2206" priority="217" operator="containsText" text="Start">
      <formula>NOT(ISERROR(SEARCH("Start",G114)))</formula>
    </cfRule>
    <cfRule type="containsText" dxfId="2205" priority="216" operator="containsText" text="Stop">
      <formula>NOT(ISERROR(SEARCH("Stop",G114)))</formula>
    </cfRule>
    <cfRule type="containsText" dxfId="2204" priority="221" operator="containsText" text="Under">
      <formula>NOT(ISERROR(SEARCH("Under",G114)))</formula>
    </cfRule>
    <cfRule type="containsText" dxfId="2203" priority="215" operator="containsText" text="Continue">
      <formula>NOT(ISERROR(SEARCH("Continue",G114)))</formula>
    </cfRule>
    <cfRule type="containsText" dxfId="2202" priority="220" operator="containsText" text="Meets">
      <formula>NOT(ISERROR(SEARCH("Meets",G114)))</formula>
    </cfRule>
    <cfRule type="containsText" dxfId="2201" priority="219" operator="containsText" text="Exceeds">
      <formula>NOT(ISERROR(SEARCH("Exceeds",G114)))</formula>
    </cfRule>
    <cfRule type="containsText" dxfId="2200" priority="218" operator="containsText" text="N/A">
      <formula>NOT(ISERROR(SEARCH("N/A",G114)))</formula>
    </cfRule>
  </conditionalFormatting>
  <conditionalFormatting sqref="G193">
    <cfRule type="dataBar" priority="198">
      <dataBar>
        <cfvo type="num" val="0"/>
        <cfvo type="num" val="1"/>
        <color theme="0" tint="-0.249977111117893"/>
      </dataBar>
      <extLst>
        <ext xmlns:x14="http://schemas.microsoft.com/office/spreadsheetml/2009/9/main" uri="{B025F937-C7B1-47D3-B67F-A62EFF666E3E}">
          <x14:id>{570F7532-631A-4EDD-972F-DABAC3B3E8FD}</x14:id>
        </ext>
      </extLst>
    </cfRule>
  </conditionalFormatting>
  <conditionalFormatting sqref="I64">
    <cfRule type="containsText" dxfId="2199" priority="253" operator="containsText" text="Under">
      <formula>NOT(ISERROR(SEARCH("Under",I64)))</formula>
    </cfRule>
    <cfRule type="containsText" dxfId="2198" priority="247" operator="containsText" text="Continue">
      <formula>NOT(ISERROR(SEARCH("Continue",I64)))</formula>
    </cfRule>
    <cfRule type="containsText" dxfId="2197" priority="251" operator="containsText" text="Exceeds">
      <formula>NOT(ISERROR(SEARCH("Exceeds",I64)))</formula>
    </cfRule>
    <cfRule type="containsText" dxfId="2196" priority="250" operator="containsText" text="N/A">
      <formula>NOT(ISERROR(SEARCH("N/A",I64)))</formula>
    </cfRule>
    <cfRule type="containsText" dxfId="2195" priority="249" operator="containsText" text="Start">
      <formula>NOT(ISERROR(SEARCH("Start",I64)))</formula>
    </cfRule>
    <cfRule type="containsText" dxfId="2194" priority="248" operator="containsText" text="Stop">
      <formula>NOT(ISERROR(SEARCH("Stop",I64)))</formula>
    </cfRule>
    <cfRule type="containsText" dxfId="2193" priority="252" operator="containsText" text="Meets">
      <formula>NOT(ISERROR(SEARCH("Meets",I64)))</formula>
    </cfRule>
  </conditionalFormatting>
  <conditionalFormatting sqref="I88">
    <cfRule type="containsText" dxfId="2192" priority="261" operator="containsText" text="Continue">
      <formula>NOT(ISERROR(SEARCH("Continue",I88)))</formula>
    </cfRule>
    <cfRule type="containsText" dxfId="2191" priority="262" operator="containsText" text="Stop">
      <formula>NOT(ISERROR(SEARCH("Stop",I88)))</formula>
    </cfRule>
    <cfRule type="containsText" dxfId="2190" priority="267" operator="containsText" text="Under">
      <formula>NOT(ISERROR(SEARCH("Under",I88)))</formula>
    </cfRule>
    <cfRule type="containsText" dxfId="2189" priority="263" operator="containsText" text="Start">
      <formula>NOT(ISERROR(SEARCH("Start",I88)))</formula>
    </cfRule>
    <cfRule type="containsText" dxfId="2188" priority="264" operator="containsText" text="N/A">
      <formula>NOT(ISERROR(SEARCH("N/A",I88)))</formula>
    </cfRule>
    <cfRule type="containsText" dxfId="2187" priority="265" operator="containsText" text="Exceeds">
      <formula>NOT(ISERROR(SEARCH("Exceeds",I88)))</formula>
    </cfRule>
    <cfRule type="containsText" dxfId="2186" priority="266" operator="containsText" text="Meets">
      <formula>NOT(ISERROR(SEARCH("Meets",I88)))</formula>
    </cfRule>
  </conditionalFormatting>
  <conditionalFormatting sqref="I90">
    <cfRule type="containsText" dxfId="2185" priority="254" operator="containsText" text="Continue">
      <formula>NOT(ISERROR(SEARCH("Continue",I90)))</formula>
    </cfRule>
    <cfRule type="containsText" dxfId="2184" priority="255" operator="containsText" text="Stop">
      <formula>NOT(ISERROR(SEARCH("Stop",I90)))</formula>
    </cfRule>
    <cfRule type="containsText" dxfId="2183" priority="256" operator="containsText" text="Start">
      <formula>NOT(ISERROR(SEARCH("Start",I90)))</formula>
    </cfRule>
    <cfRule type="containsText" dxfId="2182" priority="257" operator="containsText" text="N/A">
      <formula>NOT(ISERROR(SEARCH("N/A",I90)))</formula>
    </cfRule>
    <cfRule type="containsText" dxfId="2181" priority="258" operator="containsText" text="Exceeds">
      <formula>NOT(ISERROR(SEARCH("Exceeds",I90)))</formula>
    </cfRule>
    <cfRule type="containsText" dxfId="2180" priority="259" operator="containsText" text="Meets">
      <formula>NOT(ISERROR(SEARCH("Meets",I90)))</formula>
    </cfRule>
    <cfRule type="containsText" dxfId="2179" priority="260" operator="containsText" text="Under">
      <formula>NOT(ISERROR(SEARCH("Under",I90)))</formula>
    </cfRule>
  </conditionalFormatting>
  <conditionalFormatting sqref="I202">
    <cfRule type="containsText" dxfId="2178" priority="155" operator="containsText" text="Continue">
      <formula>NOT(ISERROR(SEARCH("Continue",I202)))</formula>
    </cfRule>
    <cfRule type="containsText" dxfId="2177" priority="156" operator="containsText" text="Stop">
      <formula>NOT(ISERROR(SEARCH("Stop",I202)))</formula>
    </cfRule>
    <cfRule type="containsText" dxfId="2176" priority="158" operator="containsText" text="N/A">
      <formula>NOT(ISERROR(SEARCH("N/A",I202)))</formula>
    </cfRule>
    <cfRule type="containsText" dxfId="2175" priority="159" operator="containsText" text="Exceeds">
      <formula>NOT(ISERROR(SEARCH("Exceeds",I202)))</formula>
    </cfRule>
    <cfRule type="containsText" dxfId="2174" priority="160" operator="containsText" text="Meets">
      <formula>NOT(ISERROR(SEARCH("Meets",I202)))</formula>
    </cfRule>
    <cfRule type="containsText" dxfId="2173" priority="161" operator="containsText" text="Under">
      <formula>NOT(ISERROR(SEARCH("Under",I202)))</formula>
    </cfRule>
    <cfRule type="containsText" dxfId="2172" priority="157" operator="containsText" text="Start">
      <formula>NOT(ISERROR(SEARCH("Start",I202)))</formula>
    </cfRule>
  </conditionalFormatting>
  <conditionalFormatting sqref="I204">
    <cfRule type="containsText" dxfId="2171" priority="147" operator="containsText" text="Under">
      <formula>NOT(ISERROR(SEARCH("Under",I204)))</formula>
    </cfRule>
    <cfRule type="containsText" dxfId="2170" priority="146" operator="containsText" text="Meets">
      <formula>NOT(ISERROR(SEARCH("Meets",I204)))</formula>
    </cfRule>
    <cfRule type="containsText" dxfId="2169" priority="145" operator="containsText" text="Exceeds">
      <formula>NOT(ISERROR(SEARCH("Exceeds",I204)))</formula>
    </cfRule>
    <cfRule type="containsText" dxfId="2168" priority="144" operator="containsText" text="N/A">
      <formula>NOT(ISERROR(SEARCH("N/A",I204)))</formula>
    </cfRule>
    <cfRule type="containsText" dxfId="2167" priority="143" operator="containsText" text="Start">
      <formula>NOT(ISERROR(SEARCH("Start",I204)))</formula>
    </cfRule>
    <cfRule type="containsText" dxfId="2166" priority="142" operator="containsText" text="Stop">
      <formula>NOT(ISERROR(SEARCH("Stop",I204)))</formula>
    </cfRule>
    <cfRule type="containsText" dxfId="2165" priority="141" operator="containsText" text="Continue">
      <formula>NOT(ISERROR(SEARCH("Continue",I204)))</formula>
    </cfRule>
  </conditionalFormatting>
  <conditionalFormatting sqref="I206">
    <cfRule type="containsText" dxfId="2164" priority="133" operator="containsText" text="Under">
      <formula>NOT(ISERROR(SEARCH("Under",I206)))</formula>
    </cfRule>
    <cfRule type="containsText" dxfId="2163" priority="132" operator="containsText" text="Meets">
      <formula>NOT(ISERROR(SEARCH("Meets",I206)))</formula>
    </cfRule>
    <cfRule type="containsText" dxfId="2162" priority="131" operator="containsText" text="Exceeds">
      <formula>NOT(ISERROR(SEARCH("Exceeds",I206)))</formula>
    </cfRule>
    <cfRule type="containsText" dxfId="2161" priority="130" operator="containsText" text="N/A">
      <formula>NOT(ISERROR(SEARCH("N/A",I206)))</formula>
    </cfRule>
    <cfRule type="containsText" dxfId="2160" priority="129" operator="containsText" text="Start">
      <formula>NOT(ISERROR(SEARCH("Start",I206)))</formula>
    </cfRule>
    <cfRule type="containsText" dxfId="2159" priority="128" operator="containsText" text="Stop">
      <formula>NOT(ISERROR(SEARCH("Stop",I206)))</formula>
    </cfRule>
    <cfRule type="containsText" dxfId="2158" priority="127" operator="containsText" text="Continue">
      <formula>NOT(ISERROR(SEARCH("Continue",I206)))</formula>
    </cfRule>
  </conditionalFormatting>
  <conditionalFormatting sqref="I209">
    <cfRule type="containsText" dxfId="2157" priority="118" operator="containsText" text="Meets">
      <formula>NOT(ISERROR(SEARCH("Meets",I209)))</formula>
    </cfRule>
    <cfRule type="containsText" dxfId="2156" priority="117" operator="containsText" text="Exceeds">
      <formula>NOT(ISERROR(SEARCH("Exceeds",I209)))</formula>
    </cfRule>
    <cfRule type="containsText" dxfId="2155" priority="116" operator="containsText" text="N/A">
      <formula>NOT(ISERROR(SEARCH("N/A",I209)))</formula>
    </cfRule>
    <cfRule type="containsText" dxfId="2154" priority="115" operator="containsText" text="Start">
      <formula>NOT(ISERROR(SEARCH("Start",I209)))</formula>
    </cfRule>
    <cfRule type="containsText" dxfId="2153" priority="114" operator="containsText" text="Stop">
      <formula>NOT(ISERROR(SEARCH("Stop",I209)))</formula>
    </cfRule>
    <cfRule type="containsText" dxfId="2152" priority="119" operator="containsText" text="Under">
      <formula>NOT(ISERROR(SEARCH("Under",I209)))</formula>
    </cfRule>
    <cfRule type="containsText" dxfId="2151" priority="113" operator="containsText" text="Continue">
      <formula>NOT(ISERROR(SEARCH("Continue",I209)))</formula>
    </cfRule>
  </conditionalFormatting>
  <conditionalFormatting sqref="I211">
    <cfRule type="containsText" dxfId="2150" priority="103" operator="containsText" text="Exceeds">
      <formula>NOT(ISERROR(SEARCH("Exceeds",I211)))</formula>
    </cfRule>
    <cfRule type="containsText" dxfId="2149" priority="102" operator="containsText" text="N/A">
      <formula>NOT(ISERROR(SEARCH("N/A",I211)))</formula>
    </cfRule>
    <cfRule type="containsText" dxfId="2148" priority="101" operator="containsText" text="Start">
      <formula>NOT(ISERROR(SEARCH("Start",I211)))</formula>
    </cfRule>
    <cfRule type="containsText" dxfId="2147" priority="100" operator="containsText" text="Stop">
      <formula>NOT(ISERROR(SEARCH("Stop",I211)))</formula>
    </cfRule>
    <cfRule type="containsText" dxfId="2146" priority="104" operator="containsText" text="Meets">
      <formula>NOT(ISERROR(SEARCH("Meets",I211)))</formula>
    </cfRule>
    <cfRule type="containsText" dxfId="2145" priority="99" operator="containsText" text="Continue">
      <formula>NOT(ISERROR(SEARCH("Continue",I211)))</formula>
    </cfRule>
    <cfRule type="containsText" dxfId="2144" priority="105" operator="containsText" text="Under">
      <formula>NOT(ISERROR(SEARCH("Under",I211)))</formula>
    </cfRule>
  </conditionalFormatting>
  <conditionalFormatting sqref="I213">
    <cfRule type="containsText" dxfId="2143" priority="85" operator="containsText" text="Continue">
      <formula>NOT(ISERROR(SEARCH("Continue",I213)))</formula>
    </cfRule>
    <cfRule type="containsText" dxfId="2142" priority="89" operator="containsText" text="Exceeds">
      <formula>NOT(ISERROR(SEARCH("Exceeds",I213)))</formula>
    </cfRule>
    <cfRule type="containsText" dxfId="2141" priority="88" operator="containsText" text="N/A">
      <formula>NOT(ISERROR(SEARCH("N/A",I213)))</formula>
    </cfRule>
    <cfRule type="containsText" dxfId="2140" priority="87" operator="containsText" text="Start">
      <formula>NOT(ISERROR(SEARCH("Start",I213)))</formula>
    </cfRule>
    <cfRule type="containsText" dxfId="2139" priority="86" operator="containsText" text="Stop">
      <formula>NOT(ISERROR(SEARCH("Stop",I213)))</formula>
    </cfRule>
    <cfRule type="containsText" dxfId="2138" priority="90" operator="containsText" text="Meets">
      <formula>NOT(ISERROR(SEARCH("Meets",I213)))</formula>
    </cfRule>
    <cfRule type="containsText" dxfId="2137" priority="91" operator="containsText" text="Under">
      <formula>NOT(ISERROR(SEARCH("Under",I213)))</formula>
    </cfRule>
  </conditionalFormatting>
  <conditionalFormatting sqref="I216">
    <cfRule type="containsText" dxfId="2136" priority="74" operator="containsText" text="N/A">
      <formula>NOT(ISERROR(SEARCH("N/A",I216)))</formula>
    </cfRule>
    <cfRule type="containsText" dxfId="2135" priority="76" operator="containsText" text="Meets">
      <formula>NOT(ISERROR(SEARCH("Meets",I216)))</formula>
    </cfRule>
    <cfRule type="containsText" dxfId="2134" priority="77" operator="containsText" text="Under">
      <formula>NOT(ISERROR(SEARCH("Under",I216)))</formula>
    </cfRule>
    <cfRule type="containsText" dxfId="2133" priority="75" operator="containsText" text="Exceeds">
      <formula>NOT(ISERROR(SEARCH("Exceeds",I216)))</formula>
    </cfRule>
    <cfRule type="containsText" dxfId="2132" priority="71" operator="containsText" text="Continue">
      <formula>NOT(ISERROR(SEARCH("Continue",I216)))</formula>
    </cfRule>
    <cfRule type="containsText" dxfId="2131" priority="72" operator="containsText" text="Stop">
      <formula>NOT(ISERROR(SEARCH("Stop",I216)))</formula>
    </cfRule>
    <cfRule type="containsText" dxfId="2130" priority="73" operator="containsText" text="Start">
      <formula>NOT(ISERROR(SEARCH("Start",I216)))</formula>
    </cfRule>
  </conditionalFormatting>
  <conditionalFormatting sqref="I218">
    <cfRule type="containsText" dxfId="2129" priority="62" operator="containsText" text="Meets">
      <formula>NOT(ISERROR(SEARCH("Meets",I218)))</formula>
    </cfRule>
    <cfRule type="containsText" dxfId="2128" priority="63" operator="containsText" text="Under">
      <formula>NOT(ISERROR(SEARCH("Under",I218)))</formula>
    </cfRule>
    <cfRule type="containsText" dxfId="2127" priority="61" operator="containsText" text="Exceeds">
      <formula>NOT(ISERROR(SEARCH("Exceeds",I218)))</formula>
    </cfRule>
    <cfRule type="containsText" dxfId="2126" priority="60" operator="containsText" text="N/A">
      <formula>NOT(ISERROR(SEARCH("N/A",I218)))</formula>
    </cfRule>
    <cfRule type="containsText" dxfId="2125" priority="58" operator="containsText" text="Stop">
      <formula>NOT(ISERROR(SEARCH("Stop",I218)))</formula>
    </cfRule>
    <cfRule type="containsText" dxfId="2124" priority="57" operator="containsText" text="Continue">
      <formula>NOT(ISERROR(SEARCH("Continue",I218)))</formula>
    </cfRule>
    <cfRule type="containsText" dxfId="2123" priority="59" operator="containsText" text="Start">
      <formula>NOT(ISERROR(SEARCH("Start",I218)))</formula>
    </cfRule>
  </conditionalFormatting>
  <conditionalFormatting sqref="I220">
    <cfRule type="containsText" dxfId="2122" priority="49" operator="containsText" text="Under">
      <formula>NOT(ISERROR(SEARCH("Under",I220)))</formula>
    </cfRule>
    <cfRule type="containsText" dxfId="2121" priority="48" operator="containsText" text="Meets">
      <formula>NOT(ISERROR(SEARCH("Meets",I220)))</formula>
    </cfRule>
    <cfRule type="containsText" dxfId="2120" priority="47" operator="containsText" text="Exceeds">
      <formula>NOT(ISERROR(SEARCH("Exceeds",I220)))</formula>
    </cfRule>
    <cfRule type="containsText" dxfId="2119" priority="44" operator="containsText" text="Stop">
      <formula>NOT(ISERROR(SEARCH("Stop",I220)))</formula>
    </cfRule>
    <cfRule type="containsText" dxfId="2118" priority="45" operator="containsText" text="Start">
      <formula>NOT(ISERROR(SEARCH("Start",I220)))</formula>
    </cfRule>
    <cfRule type="containsText" dxfId="2117" priority="46" operator="containsText" text="N/A">
      <formula>NOT(ISERROR(SEARCH("N/A",I220)))</formula>
    </cfRule>
    <cfRule type="containsText" dxfId="2116" priority="43" operator="containsText" text="Continue">
      <formula>NOT(ISERROR(SEARCH("Continue",I220)))</formula>
    </cfRule>
  </conditionalFormatting>
  <conditionalFormatting sqref="I223">
    <cfRule type="containsText" dxfId="2115" priority="34" operator="containsText" text="Meets">
      <formula>NOT(ISERROR(SEARCH("Meets",I223)))</formula>
    </cfRule>
    <cfRule type="containsText" dxfId="2114" priority="35" operator="containsText" text="Under">
      <formula>NOT(ISERROR(SEARCH("Under",I223)))</formula>
    </cfRule>
    <cfRule type="containsText" dxfId="2113" priority="33" operator="containsText" text="Exceeds">
      <formula>NOT(ISERROR(SEARCH("Exceeds",I223)))</formula>
    </cfRule>
    <cfRule type="containsText" dxfId="2112" priority="30" operator="containsText" text="Stop">
      <formula>NOT(ISERROR(SEARCH("Stop",I223)))</formula>
    </cfRule>
    <cfRule type="containsText" dxfId="2111" priority="32" operator="containsText" text="N/A">
      <formula>NOT(ISERROR(SEARCH("N/A",I223)))</formula>
    </cfRule>
    <cfRule type="containsText" dxfId="2110" priority="31" operator="containsText" text="Start">
      <formula>NOT(ISERROR(SEARCH("Start",I223)))</formula>
    </cfRule>
    <cfRule type="containsText" dxfId="2109" priority="29" operator="containsText" text="Continue">
      <formula>NOT(ISERROR(SEARCH("Continue",I223)))</formula>
    </cfRule>
  </conditionalFormatting>
  <conditionalFormatting sqref="I225">
    <cfRule type="containsText" dxfId="2108" priority="17" operator="containsText" text="Start">
      <formula>NOT(ISERROR(SEARCH("Start",I225)))</formula>
    </cfRule>
    <cfRule type="containsText" dxfId="2107" priority="19" operator="containsText" text="Exceeds">
      <formula>NOT(ISERROR(SEARCH("Exceeds",I225)))</formula>
    </cfRule>
    <cfRule type="containsText" dxfId="2106" priority="16" operator="containsText" text="Stop">
      <formula>NOT(ISERROR(SEARCH("Stop",I225)))</formula>
    </cfRule>
    <cfRule type="containsText" dxfId="2105" priority="15" operator="containsText" text="Continue">
      <formula>NOT(ISERROR(SEARCH("Continue",I225)))</formula>
    </cfRule>
    <cfRule type="containsText" dxfId="2104" priority="18" operator="containsText" text="N/A">
      <formula>NOT(ISERROR(SEARCH("N/A",I225)))</formula>
    </cfRule>
    <cfRule type="containsText" dxfId="2103" priority="21" operator="containsText" text="Under">
      <formula>NOT(ISERROR(SEARCH("Under",I225)))</formula>
    </cfRule>
    <cfRule type="containsText" dxfId="2102" priority="20" operator="containsText" text="Meets">
      <formula>NOT(ISERROR(SEARCH("Meets",I225)))</formula>
    </cfRule>
  </conditionalFormatting>
  <conditionalFormatting sqref="I227">
    <cfRule type="containsText" dxfId="2101" priority="5" operator="containsText" text="Exceeds">
      <formula>NOT(ISERROR(SEARCH("Exceeds",I227)))</formula>
    </cfRule>
    <cfRule type="containsText" dxfId="2100" priority="3" operator="containsText" text="Start">
      <formula>NOT(ISERROR(SEARCH("Start",I227)))</formula>
    </cfRule>
    <cfRule type="containsText" dxfId="2099" priority="4" operator="containsText" text="N/A">
      <formula>NOT(ISERROR(SEARCH("N/A",I227)))</formula>
    </cfRule>
    <cfRule type="containsText" dxfId="2098" priority="6" operator="containsText" text="Meets">
      <formula>NOT(ISERROR(SEARCH("Meets",I227)))</formula>
    </cfRule>
    <cfRule type="containsText" dxfId="2097" priority="7" operator="containsText" text="Under">
      <formula>NOT(ISERROR(SEARCH("Under",I227)))</formula>
    </cfRule>
    <cfRule type="containsText" dxfId="2096" priority="2" operator="containsText" text="Stop">
      <formula>NOT(ISERROR(SEARCH("Stop",I227)))</formula>
    </cfRule>
    <cfRule type="containsText" dxfId="2095" priority="1" operator="containsText" text="Continue">
      <formula>NOT(ISERROR(SEARCH("Continue",I227)))</formula>
    </cfRule>
  </conditionalFormatting>
  <conditionalFormatting sqref="K60 K68 K116 K196">
    <cfRule type="containsText" dxfId="2094" priority="805" operator="containsText" text="Need review">
      <formula>NOT(ISERROR(SEARCH("Need review",K60)))</formula>
    </cfRule>
    <cfRule type="containsText" dxfId="2093" priority="806" operator="containsText" text="Need support">
      <formula>NOT(ISERROR(SEARCH("Need support",K60)))</formula>
    </cfRule>
    <cfRule type="containsText" dxfId="2092" priority="807" operator="containsText" text="Autonomous">
      <formula>NOT(ISERROR(SEARCH("Autonomous",K60)))</formula>
    </cfRule>
    <cfRule type="containsText" dxfId="2091" priority="808" operator="containsText" text="Need to learn">
      <formula>NOT(ISERROR(SEARCH("Need to learn",K60)))</formula>
    </cfRule>
  </conditionalFormatting>
  <conditionalFormatting sqref="K84 K92 K100">
    <cfRule type="containsText" dxfId="2090" priority="794" operator="containsText" text="Need review">
      <formula>NOT(ISERROR(SEARCH("Need review",K84)))</formula>
    </cfRule>
    <cfRule type="containsText" dxfId="2089" priority="795" operator="containsText" text="Need support">
      <formula>NOT(ISERROR(SEARCH("Need support",K84)))</formula>
    </cfRule>
    <cfRule type="containsText" dxfId="2088" priority="796" operator="containsText" text="Autonomous">
      <formula>NOT(ISERROR(SEARCH("Autonomous",K84)))</formula>
    </cfRule>
    <cfRule type="containsText" dxfId="2087" priority="797" operator="containsText" text="Need to learn">
      <formula>NOT(ISERROR(SEARCH("Need to learn",K84)))</formula>
    </cfRule>
  </conditionalFormatting>
  <conditionalFormatting sqref="K108">
    <cfRule type="containsText" dxfId="2086" priority="243" operator="containsText" text="Need review">
      <formula>NOT(ISERROR(SEARCH("Need review",K108)))</formula>
    </cfRule>
    <cfRule type="containsText" dxfId="2085" priority="244" operator="containsText" text="Need support">
      <formula>NOT(ISERROR(SEARCH("Need support",K108)))</formula>
    </cfRule>
    <cfRule type="containsText" dxfId="2084" priority="245" operator="containsText" text="Autonomous">
      <formula>NOT(ISERROR(SEARCH("Autonomous",K108)))</formula>
    </cfRule>
    <cfRule type="containsText" dxfId="2083" priority="246" operator="containsText" text="Need to learn">
      <formula>NOT(ISERROR(SEARCH("Need to learn",K108)))</formula>
    </cfRule>
  </conditionalFormatting>
  <dataValidations count="4">
    <dataValidation allowBlank="1" showInputMessage="1" showErrorMessage="1" sqref="G68:J68 G84:J84 G60:J60 G92:J92 G100:J100 G116:J116 G194:J197 K194:K195 G108:J108" xr:uid="{EF91F655-68C1-4A4A-B806-3B78E789DD48}"/>
    <dataValidation type="list" allowBlank="1" showInputMessage="1" showErrorMessage="1" sqref="K68 K84 K60 K92 K100 K116 K196 K108" xr:uid="{D1FD1007-5FA2-40B1-B0D4-1BC217ECA52E}">
      <formula1>"1 - Autonomous, 2 - Need review, 3 - Need support, 4 - Need to learn"</formula1>
    </dataValidation>
    <dataValidation allowBlank="1" showInputMessage="1" showErrorMessage="1" prompt="Enter Company Name in cell B4._x000a_A legend is in cells I4 through AC4.  The Legend label is in cell G4." sqref="A2:B2" xr:uid="{702A9643-46E3-4C78-A72E-9397D7EA03A1}"/>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B4" xr:uid="{9B2B9D36-9049-43BD-B483-7E4AA35606CC}"/>
  </dataValidations>
  <hyperlinks>
    <hyperlink ref="F121" r:id="rId1" location=":~:text=Examples%20of%20S.M.A.R.T.%20Goals" display="https://www.forbes.com/advisor/business/smart-goals/#:~:text=Examples%20of%20S.M.A.R.T.%20Goals" xr:uid="{3ED7CC49-03C4-4944-A744-626833735A9E}"/>
    <hyperlink ref="F121:G121" r:id="rId2" location=":~:text=Examples%20of%20S.M.A.R.T.%20Goals" display="Examples of SMART Goals" xr:uid="{85EEA296-796E-438C-BF25-63F607AD7827}"/>
  </hyperlinks>
  <pageMargins left="0.23622047244094491" right="0.23622047244094491" top="0.74803149606299213" bottom="0.74803149606299213" header="0.31496062992125984" footer="0.31496062992125984"/>
  <pageSetup paperSize="9" scale="28" fitToHeight="7" orientation="portrait" r:id="rId3"/>
  <rowBreaks count="3" manualBreakCount="3">
    <brk id="56" max="16383" man="1"/>
    <brk id="116" max="16383" man="1"/>
    <brk id="195" max="16383" man="1"/>
  </rowBreaks>
  <drawing r:id="rId4"/>
  <extLst>
    <ext xmlns:x14="http://schemas.microsoft.com/office/spreadsheetml/2009/9/main" uri="{78C0D931-6437-407d-A8EE-F0AAD7539E65}">
      <x14:conditionalFormattings>
        <x14:conditionalFormatting xmlns:xm="http://schemas.microsoft.com/office/excel/2006/main">
          <x14:cfRule type="dataBar" id="{F70083F1-3436-44E5-BFD6-096F4C0F06E7}">
            <x14:dataBar minLength="0" maxLength="100" gradient="0">
              <x14:cfvo type="num">
                <xm:f>0</xm:f>
              </x14:cfvo>
              <x14:cfvo type="num">
                <xm:f>1</xm:f>
              </x14:cfvo>
              <x14:negativeFillColor rgb="FFFF0000"/>
              <x14:axisColor rgb="FF000000"/>
            </x14:dataBar>
          </x14:cfRule>
          <xm:sqref>E128:E129 E142:E143 E156:E157 E170:E171</xm:sqref>
        </x14:conditionalFormatting>
        <x14:conditionalFormatting xmlns:xm="http://schemas.microsoft.com/office/excel/2006/main">
          <x14:cfRule type="dataBar" id="{70EF7904-A3CE-40CC-A222-93555F8CC8D9}">
            <x14:dataBar minLength="0" maxLength="100" gradient="0">
              <x14:cfvo type="num">
                <xm:f>0</xm:f>
              </x14:cfvo>
              <x14:cfvo type="num">
                <xm:f>1</xm:f>
              </x14:cfvo>
              <x14:negativeFillColor rgb="FFFF0000"/>
              <x14:axisColor rgb="FF000000"/>
            </x14:dataBar>
          </x14:cfRule>
          <xm:sqref>E130 E144 E158 E172</xm:sqref>
        </x14:conditionalFormatting>
        <x14:conditionalFormatting xmlns:xm="http://schemas.microsoft.com/office/excel/2006/main">
          <x14:cfRule type="dataBar" id="{77FF1469-D5E3-47F8-B06F-A13374B99CBF}">
            <x14:dataBar minLength="0" maxLength="100" gradient="0">
              <x14:cfvo type="num">
                <xm:f>0</xm:f>
              </x14:cfvo>
              <x14:cfvo type="num">
                <xm:f>1</xm:f>
              </x14:cfvo>
              <x14:negativeFillColor rgb="FFFF0000"/>
              <x14:axisColor rgb="FF000000"/>
            </x14:dataBar>
          </x14:cfRule>
          <xm:sqref>E133:E134 E147:E148 E161:E162 E175:E176</xm:sqref>
        </x14:conditionalFormatting>
        <x14:conditionalFormatting xmlns:xm="http://schemas.microsoft.com/office/excel/2006/main">
          <x14:cfRule type="dataBar" id="{55DC4919-FF5D-494D-B9DC-95DDF5467E31}">
            <x14:dataBar minLength="0" maxLength="100" gradient="0">
              <x14:cfvo type="num">
                <xm:f>0</xm:f>
              </x14:cfvo>
              <x14:cfvo type="num">
                <xm:f>1</xm:f>
              </x14:cfvo>
              <x14:negativeFillColor rgb="FFFF0000"/>
              <x14:axisColor rgb="FF000000"/>
            </x14:dataBar>
          </x14:cfRule>
          <xm:sqref>E135 E149 E163 E177</xm:sqref>
        </x14:conditionalFormatting>
        <x14:conditionalFormatting xmlns:xm="http://schemas.microsoft.com/office/excel/2006/main">
          <x14:cfRule type="dataBar" id="{693AAC3B-68B2-4FDB-85FE-65F88EDC4035}">
            <x14:dataBar minLength="0" maxLength="100" gradient="0">
              <x14:cfvo type="num">
                <xm:f>0</xm:f>
              </x14:cfvo>
              <x14:cfvo type="num">
                <xm:f>1</xm:f>
              </x14:cfvo>
              <x14:negativeFillColor rgb="FFFF0000"/>
              <x14:axisColor rgb="FF000000"/>
            </x14:dataBar>
          </x14:cfRule>
          <xm:sqref>E184:E185</xm:sqref>
        </x14:conditionalFormatting>
        <x14:conditionalFormatting xmlns:xm="http://schemas.microsoft.com/office/excel/2006/main">
          <x14:cfRule type="dataBar" id="{81C9341C-43F4-445E-B34A-81D5FB4D906A}">
            <x14:dataBar minLength="0" maxLength="100" gradient="0">
              <x14:cfvo type="num">
                <xm:f>0</xm:f>
              </x14:cfvo>
              <x14:cfvo type="num">
                <xm:f>1</xm:f>
              </x14:cfvo>
              <x14:negativeFillColor rgb="FFFF0000"/>
              <x14:axisColor rgb="FF000000"/>
            </x14:dataBar>
          </x14:cfRule>
          <xm:sqref>E186</xm:sqref>
        </x14:conditionalFormatting>
        <x14:conditionalFormatting xmlns:xm="http://schemas.microsoft.com/office/excel/2006/main">
          <x14:cfRule type="dataBar" id="{D73D4CB1-A33E-4B5F-8C4C-906880309A3E}">
            <x14:dataBar minLength="0" maxLength="100" gradient="0">
              <x14:cfvo type="num">
                <xm:f>0</xm:f>
              </x14:cfvo>
              <x14:cfvo type="num">
                <xm:f>1</xm:f>
              </x14:cfvo>
              <x14:negativeFillColor rgb="FFFF0000"/>
              <x14:axisColor rgb="FF000000"/>
            </x14:dataBar>
          </x14:cfRule>
          <xm:sqref>E189:E190</xm:sqref>
        </x14:conditionalFormatting>
        <x14:conditionalFormatting xmlns:xm="http://schemas.microsoft.com/office/excel/2006/main">
          <x14:cfRule type="dataBar" id="{D4E3C735-1D8A-460F-BBD3-287AA79A535D}">
            <x14:dataBar minLength="0" maxLength="100" gradient="0">
              <x14:cfvo type="num">
                <xm:f>0</xm:f>
              </x14:cfvo>
              <x14:cfvo type="num">
                <xm:f>1</xm:f>
              </x14:cfvo>
              <x14:negativeFillColor rgb="FFFF0000"/>
              <x14:axisColor rgb="FF000000"/>
            </x14:dataBar>
          </x14:cfRule>
          <xm:sqref>E191:E192</xm:sqref>
        </x14:conditionalFormatting>
        <x14:conditionalFormatting xmlns:xm="http://schemas.microsoft.com/office/excel/2006/main">
          <x14:cfRule type="dataBar" id="{AD16439C-223C-4D20-8503-E44C4315325B}">
            <x14:dataBar minLength="0" maxLength="100" gradient="0">
              <x14:cfvo type="num">
                <xm:f>0</xm:f>
              </x14:cfvo>
              <x14:cfvo type="num">
                <xm:f>1</xm:f>
              </x14:cfvo>
              <x14:negativeFillColor rgb="FFFF0000"/>
              <x14:axisColor rgb="FF000000"/>
            </x14:dataBar>
          </x14:cfRule>
          <xm:sqref>E203 E205 E207</xm:sqref>
        </x14:conditionalFormatting>
        <x14:conditionalFormatting xmlns:xm="http://schemas.microsoft.com/office/excel/2006/main">
          <x14:cfRule type="dataBar" id="{8797000B-AB5C-43F3-A5F6-54650ABA73A1}">
            <x14:dataBar minLength="0" maxLength="100" gradient="0">
              <x14:cfvo type="num">
                <xm:f>0</xm:f>
              </x14:cfvo>
              <x14:cfvo type="num">
                <xm:f>1</xm:f>
              </x14:cfvo>
              <x14:negativeFillColor rgb="FFFF0000"/>
              <x14:axisColor rgb="FF000000"/>
            </x14:dataBar>
          </x14:cfRule>
          <xm:sqref>E203</xm:sqref>
        </x14:conditionalFormatting>
        <x14:conditionalFormatting xmlns:xm="http://schemas.microsoft.com/office/excel/2006/main">
          <x14:cfRule type="dataBar" id="{385BC35B-8955-42ED-BF8D-584088835B2B}">
            <x14:dataBar minLength="0" maxLength="100" gradient="0">
              <x14:cfvo type="num">
                <xm:f>0</xm:f>
              </x14:cfvo>
              <x14:cfvo type="num">
                <xm:f>1</xm:f>
              </x14:cfvo>
              <x14:negativeFillColor rgb="FFFF0000"/>
              <x14:axisColor rgb="FF000000"/>
            </x14:dataBar>
          </x14:cfRule>
          <xm:sqref>E210</xm:sqref>
        </x14:conditionalFormatting>
        <x14:conditionalFormatting xmlns:xm="http://schemas.microsoft.com/office/excel/2006/main">
          <x14:cfRule type="dataBar" id="{731D2A3A-68FC-436E-AD27-37976EB9A83C}">
            <x14:dataBar minLength="0" maxLength="100" gradient="0">
              <x14:cfvo type="num">
                <xm:f>0</xm:f>
              </x14:cfvo>
              <x14:cfvo type="num">
                <xm:f>1</xm:f>
              </x14:cfvo>
              <x14:negativeFillColor rgb="FFFF0000"/>
              <x14:axisColor rgb="FF000000"/>
            </x14:dataBar>
          </x14:cfRule>
          <xm:sqref>E212 E210 E214</xm:sqref>
        </x14:conditionalFormatting>
        <x14:conditionalFormatting xmlns:xm="http://schemas.microsoft.com/office/excel/2006/main">
          <x14:cfRule type="dataBar" id="{9C342497-9988-4CE5-9710-8BB20CC8EBD5}">
            <x14:dataBar minLength="0" maxLength="100" gradient="0">
              <x14:cfvo type="num">
                <xm:f>0</xm:f>
              </x14:cfvo>
              <x14:cfvo type="num">
                <xm:f>1</xm:f>
              </x14:cfvo>
              <x14:negativeFillColor rgb="FFFF0000"/>
              <x14:axisColor rgb="FF000000"/>
            </x14:dataBar>
          </x14:cfRule>
          <xm:sqref>E217 E219 E221</xm:sqref>
        </x14:conditionalFormatting>
        <x14:conditionalFormatting xmlns:xm="http://schemas.microsoft.com/office/excel/2006/main">
          <x14:cfRule type="dataBar" id="{F91A76DA-670D-4D13-A1F8-158962A28353}">
            <x14:dataBar minLength="0" maxLength="100" gradient="0">
              <x14:cfvo type="num">
                <xm:f>0</xm:f>
              </x14:cfvo>
              <x14:cfvo type="num">
                <xm:f>1</xm:f>
              </x14:cfvo>
              <x14:negativeFillColor rgb="FFFF0000"/>
              <x14:axisColor rgb="FF000000"/>
            </x14:dataBar>
          </x14:cfRule>
          <xm:sqref>E217</xm:sqref>
        </x14:conditionalFormatting>
        <x14:conditionalFormatting xmlns:xm="http://schemas.microsoft.com/office/excel/2006/main">
          <x14:cfRule type="dataBar" id="{445963A7-915D-4F43-9F7B-27399A6E38B9}">
            <x14:dataBar minLength="0" maxLength="100" gradient="0">
              <x14:cfvo type="num">
                <xm:f>0</xm:f>
              </x14:cfvo>
              <x14:cfvo type="num">
                <xm:f>1</xm:f>
              </x14:cfvo>
              <x14:negativeFillColor rgb="FFFF0000"/>
              <x14:axisColor rgb="FF000000"/>
            </x14:dataBar>
          </x14:cfRule>
          <xm:sqref>E224 E226 E228</xm:sqref>
        </x14:conditionalFormatting>
        <x14:conditionalFormatting xmlns:xm="http://schemas.microsoft.com/office/excel/2006/main">
          <x14:cfRule type="dataBar" id="{582EC471-B6D4-4369-859C-394070E30DFC}">
            <x14:dataBar minLength="0" maxLength="100" gradient="0">
              <x14:cfvo type="num">
                <xm:f>0</xm:f>
              </x14:cfvo>
              <x14:cfvo type="num">
                <xm:f>1</xm:f>
              </x14:cfvo>
              <x14:negativeFillColor rgb="FFFF0000"/>
              <x14:axisColor rgb="FF000000"/>
            </x14:dataBar>
          </x14:cfRule>
          <xm:sqref>E224</xm:sqref>
        </x14:conditionalFormatting>
        <x14:conditionalFormatting xmlns:xm="http://schemas.microsoft.com/office/excel/2006/main">
          <x14:cfRule type="dataBar" id="{AA9B154A-C30B-489D-A846-D8DF97D35760}">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7E3372C5-D3BE-4F6C-AFA1-F75AB4CF105E}">
            <x14:dataBar minLength="0" maxLength="100" gradient="0">
              <x14:cfvo type="num">
                <xm:f>0</xm:f>
              </x14:cfvo>
              <x14:cfvo type="num">
                <xm:f>1</xm:f>
              </x14:cfvo>
              <x14:negativeFillColor rgb="FFFF0000"/>
              <x14:axisColor rgb="FF000000"/>
            </x14:dataBar>
          </x14:cfRule>
          <xm:sqref>F65</xm:sqref>
        </x14:conditionalFormatting>
        <x14:conditionalFormatting xmlns:xm="http://schemas.microsoft.com/office/excel/2006/main">
          <x14:cfRule type="dataBar" id="{3DA34581-DA8D-4251-8DB4-F9F45968262D}">
            <x14:dataBar minLength="0" maxLength="100" gradient="0">
              <x14:cfvo type="num">
                <xm:f>0</xm:f>
              </x14:cfvo>
              <x14:cfvo type="num">
                <xm:f>1</xm:f>
              </x14:cfvo>
              <x14:negativeFillColor rgb="FFFF0000"/>
              <x14:axisColor rgb="FF000000"/>
            </x14:dataBar>
          </x14:cfRule>
          <xm:sqref>F67</xm:sqref>
        </x14:conditionalFormatting>
        <x14:conditionalFormatting xmlns:xm="http://schemas.microsoft.com/office/excel/2006/main">
          <x14:cfRule type="dataBar" id="{B52FB86F-1CB8-4736-A092-9E0C809E76F0}">
            <x14:dataBar minLength="0" maxLength="100" gradient="0">
              <x14:cfvo type="num">
                <xm:f>0</xm:f>
              </x14:cfvo>
              <x14:cfvo type="num">
                <xm:f>1</xm:f>
              </x14:cfvo>
              <x14:negativeFillColor rgb="FFFF0000"/>
              <x14:axisColor rgb="FF000000"/>
            </x14:dataBar>
          </x14:cfRule>
          <xm:sqref>F71</xm:sqref>
        </x14:conditionalFormatting>
        <x14:conditionalFormatting xmlns:xm="http://schemas.microsoft.com/office/excel/2006/main">
          <x14:cfRule type="dataBar" id="{69FD6C08-A1BD-4FA4-9F73-AE23EA164FF6}">
            <x14:dataBar minLength="0" maxLength="100" gradient="0">
              <x14:cfvo type="num">
                <xm:f>0</xm:f>
              </x14:cfvo>
              <x14:cfvo type="num">
                <xm:f>1</xm:f>
              </x14:cfvo>
              <x14:negativeFillColor rgb="FFFF0000"/>
              <x14:axisColor rgb="FF000000"/>
            </x14:dataBar>
          </x14:cfRule>
          <xm:sqref>F73</xm:sqref>
        </x14:conditionalFormatting>
        <x14:conditionalFormatting xmlns:xm="http://schemas.microsoft.com/office/excel/2006/main">
          <x14:cfRule type="dataBar" id="{8E47E49D-A78B-4C00-9D71-EEF8E99FF862}">
            <x14:dataBar minLength="0" maxLength="100" gradient="0">
              <x14:cfvo type="num">
                <xm:f>0</xm:f>
              </x14:cfvo>
              <x14:cfvo type="num">
                <xm:f>1</xm:f>
              </x14:cfvo>
              <x14:negativeFillColor rgb="FFFF0000"/>
              <x14:axisColor rgb="FF000000"/>
            </x14:dataBar>
          </x14:cfRule>
          <xm:sqref>F75</xm:sqref>
        </x14:conditionalFormatting>
        <x14:conditionalFormatting xmlns:xm="http://schemas.microsoft.com/office/excel/2006/main">
          <x14:cfRule type="dataBar" id="{E70123C8-030F-43B6-AFA2-CBFF0B03F904}">
            <x14:dataBar minLength="0" maxLength="100" gradient="0">
              <x14:cfvo type="num">
                <xm:f>0</xm:f>
              </x14:cfvo>
              <x14:cfvo type="num">
                <xm:f>1</xm:f>
              </x14:cfvo>
              <x14:negativeFillColor rgb="FFFF0000"/>
              <x14:axisColor rgb="FF000000"/>
            </x14:dataBar>
          </x14:cfRule>
          <xm:sqref>F79</xm:sqref>
        </x14:conditionalFormatting>
        <x14:conditionalFormatting xmlns:xm="http://schemas.microsoft.com/office/excel/2006/main">
          <x14:cfRule type="dataBar" id="{32414B41-BA5D-4692-82D5-C380E3393A63}">
            <x14:dataBar minLength="0" maxLength="100" gradient="0">
              <x14:cfvo type="num">
                <xm:f>0</xm:f>
              </x14:cfvo>
              <x14:cfvo type="num">
                <xm:f>1</xm:f>
              </x14:cfvo>
              <x14:negativeFillColor rgb="FFFF0000"/>
              <x14:axisColor rgb="FF000000"/>
            </x14:dataBar>
          </x14:cfRule>
          <xm:sqref>F81</xm:sqref>
        </x14:conditionalFormatting>
        <x14:conditionalFormatting xmlns:xm="http://schemas.microsoft.com/office/excel/2006/main">
          <x14:cfRule type="dataBar" id="{45126DA9-DE3C-4F62-A4F3-0AD825AC09FA}">
            <x14:dataBar minLength="0" maxLength="100" gradient="0">
              <x14:cfvo type="num">
                <xm:f>0</xm:f>
              </x14:cfvo>
              <x14:cfvo type="num">
                <xm:f>1</xm:f>
              </x14:cfvo>
              <x14:negativeFillColor rgb="FFFF0000"/>
              <x14:axisColor rgb="FF000000"/>
            </x14:dataBar>
          </x14:cfRule>
          <xm:sqref>F83</xm:sqref>
        </x14:conditionalFormatting>
        <x14:conditionalFormatting xmlns:xm="http://schemas.microsoft.com/office/excel/2006/main">
          <x14:cfRule type="dataBar" id="{F5CFFAAE-6D1B-4B88-8414-77D9ED7A1014}">
            <x14:dataBar minLength="0" maxLength="100" gradient="0">
              <x14:cfvo type="num">
                <xm:f>0</xm:f>
              </x14:cfvo>
              <x14:cfvo type="num">
                <xm:f>1</xm:f>
              </x14:cfvo>
              <x14:negativeFillColor rgb="FFFF0000"/>
              <x14:axisColor rgb="FF000000"/>
            </x14:dataBar>
          </x14:cfRule>
          <xm:sqref>F87 F89 F91</xm:sqref>
        </x14:conditionalFormatting>
        <x14:conditionalFormatting xmlns:xm="http://schemas.microsoft.com/office/excel/2006/main">
          <x14:cfRule type="dataBar" id="{CCD808D3-B739-4145-9ECD-D617BC6ABF34}">
            <x14:dataBar minLength="0" maxLength="100" gradient="0">
              <x14:cfvo type="num">
                <xm:f>0</xm:f>
              </x14:cfvo>
              <x14:cfvo type="num">
                <xm:f>1</xm:f>
              </x14:cfvo>
              <x14:negativeFillColor rgb="FFFF0000"/>
              <x14:axisColor rgb="FF000000"/>
            </x14:dataBar>
          </x14:cfRule>
          <xm:sqref>F95</xm:sqref>
        </x14:conditionalFormatting>
        <x14:conditionalFormatting xmlns:xm="http://schemas.microsoft.com/office/excel/2006/main">
          <x14:cfRule type="dataBar" id="{294D7DE3-4789-4968-A53B-93E2AB3CBE4F}">
            <x14:dataBar minLength="0" maxLength="100" gradient="0">
              <x14:cfvo type="num">
                <xm:f>0</xm:f>
              </x14:cfvo>
              <x14:cfvo type="num">
                <xm:f>1</xm:f>
              </x14:cfvo>
              <x14:negativeFillColor rgb="FFFF0000"/>
              <x14:axisColor rgb="FF000000"/>
            </x14:dataBar>
          </x14:cfRule>
          <xm:sqref>F97</xm:sqref>
        </x14:conditionalFormatting>
        <x14:conditionalFormatting xmlns:xm="http://schemas.microsoft.com/office/excel/2006/main">
          <x14:cfRule type="dataBar" id="{E8551DAE-9E5F-47CA-ACD5-86956D638112}">
            <x14:dataBar minLength="0" maxLength="100" gradient="0">
              <x14:cfvo type="num">
                <xm:f>0</xm:f>
              </x14:cfvo>
              <x14:cfvo type="num">
                <xm:f>1</xm:f>
              </x14:cfvo>
              <x14:negativeFillColor rgb="FFFF0000"/>
              <x14:axisColor rgb="FF000000"/>
            </x14:dataBar>
          </x14:cfRule>
          <xm:sqref>F99</xm:sqref>
        </x14:conditionalFormatting>
        <x14:conditionalFormatting xmlns:xm="http://schemas.microsoft.com/office/excel/2006/main">
          <x14:cfRule type="dataBar" id="{0F9ED7BA-7AF3-4512-A4C0-370020C8D7FA}">
            <x14:dataBar minLength="0" maxLength="100" gradient="0">
              <x14:cfvo type="num">
                <xm:f>0</xm:f>
              </x14:cfvo>
              <x14:cfvo type="num">
                <xm:f>1</xm:f>
              </x14:cfvo>
              <x14:negativeFillColor rgb="FFFF0000"/>
              <x14:axisColor rgb="FF000000"/>
            </x14:dataBar>
          </x14:cfRule>
          <xm:sqref>F103</xm:sqref>
        </x14:conditionalFormatting>
        <x14:conditionalFormatting xmlns:xm="http://schemas.microsoft.com/office/excel/2006/main">
          <x14:cfRule type="dataBar" id="{B41223BD-2819-4FBD-A6AA-8D4B8B72A305}">
            <x14:dataBar minLength="0" maxLength="100" gradient="0">
              <x14:cfvo type="num">
                <xm:f>0</xm:f>
              </x14:cfvo>
              <x14:cfvo type="num">
                <xm:f>1</xm:f>
              </x14:cfvo>
              <x14:negativeFillColor rgb="FFFF0000"/>
              <x14:axisColor rgb="FF000000"/>
            </x14:dataBar>
          </x14:cfRule>
          <xm:sqref>F105</xm:sqref>
        </x14:conditionalFormatting>
        <x14:conditionalFormatting xmlns:xm="http://schemas.microsoft.com/office/excel/2006/main">
          <x14:cfRule type="dataBar" id="{0C979EAE-9BDF-42F0-8770-42BAF52952D8}">
            <x14:dataBar minLength="0" maxLength="100" gradient="0">
              <x14:cfvo type="num">
                <xm:f>0</xm:f>
              </x14:cfvo>
              <x14:cfvo type="num">
                <xm:f>1</xm:f>
              </x14:cfvo>
              <x14:negativeFillColor rgb="FFFF0000"/>
              <x14:axisColor rgb="FF000000"/>
            </x14:dataBar>
          </x14:cfRule>
          <xm:sqref>F107 F115</xm:sqref>
        </x14:conditionalFormatting>
        <x14:conditionalFormatting xmlns:xm="http://schemas.microsoft.com/office/excel/2006/main">
          <x14:cfRule type="dataBar" id="{EF10EDB4-A028-460F-9478-474218B1F6BC}">
            <x14:dataBar minLength="0" maxLength="100" gradient="0">
              <x14:cfvo type="num">
                <xm:f>0</xm:f>
              </x14:cfvo>
              <x14:cfvo type="num">
                <xm:f>1</xm:f>
              </x14:cfvo>
              <x14:negativeFillColor rgb="FFFF0000"/>
              <x14:axisColor rgb="FF000000"/>
            </x14:dataBar>
          </x14:cfRule>
          <xm:sqref>F111</xm:sqref>
        </x14:conditionalFormatting>
        <x14:conditionalFormatting xmlns:xm="http://schemas.microsoft.com/office/excel/2006/main">
          <x14:cfRule type="dataBar" id="{202AE604-BAD7-4D3A-BB0C-D25942792A54}">
            <x14:dataBar minLength="0" maxLength="100" gradient="0">
              <x14:cfvo type="num">
                <xm:f>0</xm:f>
              </x14:cfvo>
              <x14:cfvo type="num">
                <xm:f>1</xm:f>
              </x14:cfvo>
              <x14:negativeFillColor rgb="FFFF0000"/>
              <x14:axisColor rgb="FF000000"/>
            </x14:dataBar>
          </x14:cfRule>
          <xm:sqref>F113</xm:sqref>
        </x14:conditionalFormatting>
        <x14:conditionalFormatting xmlns:xm="http://schemas.microsoft.com/office/excel/2006/main">
          <x14:cfRule type="dataBar" id="{570F7532-631A-4EDD-972F-DABAC3B3E8FD}">
            <x14:dataBar minLength="0" maxLength="100" gradient="0">
              <x14:cfvo type="num">
                <xm:f>0</xm:f>
              </x14:cfvo>
              <x14:cfvo type="num">
                <xm:f>1</xm:f>
              </x14:cfvo>
              <x14:negativeFillColor rgb="FFFF0000"/>
              <x14:axisColor rgb="FF000000"/>
            </x14:dataBar>
          </x14:cfRule>
          <xm:sqref>G193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6BF7-FB01-4D3E-A400-1D27B455124A}">
  <sheetPr>
    <pageSetUpPr autoPageBreaks="0" fitToPage="1"/>
  </sheetPr>
  <dimension ref="A1:Q191"/>
  <sheetViews>
    <sheetView tabSelected="1" topLeftCell="C131" zoomScale="50" zoomScaleNormal="50" zoomScalePageLayoutView="25" workbookViewId="0">
      <selection activeCell="O125" sqref="O125:O133"/>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56.5703125" style="124" customWidth="1"/>
    <col min="8" max="8" width="45" style="124" customWidth="1"/>
    <col min="9" max="9" width="41.42578125" style="124" customWidth="1"/>
    <col min="10" max="10" width="46.2851562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2" t="str">
        <f>'CC 2023'!E2</f>
        <v>Employee Name</v>
      </c>
      <c r="F2" s="542"/>
      <c r="G2" s="542"/>
      <c r="H2" s="542"/>
      <c r="I2" s="150"/>
      <c r="J2" s="150"/>
      <c r="K2" s="133"/>
      <c r="L2" s="144" t="e">
        <f>CONCATENATE(G146,"/",Q174)</f>
        <v>#DIV/0!</v>
      </c>
      <c r="M2" s="151"/>
      <c r="O2" s="149"/>
    </row>
    <row r="3" spans="1:17" s="148" customFormat="1" ht="23.25" customHeight="1">
      <c r="A3" s="100"/>
      <c r="B3" s="100"/>
      <c r="C3" s="101"/>
      <c r="D3" s="107"/>
      <c r="E3" s="152">
        <v>2023</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456" t="s">
        <v>84</v>
      </c>
      <c r="G6" s="456"/>
      <c r="H6" s="456"/>
      <c r="I6" s="456"/>
      <c r="J6" s="456"/>
      <c r="K6" s="456"/>
      <c r="L6" s="456"/>
      <c r="M6" s="154"/>
      <c r="O6" s="124"/>
    </row>
    <row r="7" spans="1:17" s="148" customFormat="1" ht="50.45" customHeight="1">
      <c r="A7" s="100"/>
      <c r="B7" s="100"/>
      <c r="C7" s="101"/>
      <c r="D7" s="107"/>
      <c r="E7" s="105" t="s">
        <v>3</v>
      </c>
      <c r="F7" s="456" t="s">
        <v>86</v>
      </c>
      <c r="G7" s="456"/>
      <c r="H7" s="456"/>
      <c r="I7" s="456"/>
      <c r="J7" s="456"/>
      <c r="K7" s="456"/>
      <c r="L7" s="456"/>
      <c r="M7" s="154"/>
      <c r="O7" s="124"/>
    </row>
    <row r="8" spans="1:17" s="148" customFormat="1" ht="50.45" customHeight="1">
      <c r="A8" s="100"/>
      <c r="B8" s="100"/>
      <c r="C8" s="101"/>
      <c r="D8" s="103"/>
      <c r="E8" s="106" t="s">
        <v>4</v>
      </c>
      <c r="F8" s="404">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v>45490</v>
      </c>
      <c r="G10" s="408"/>
      <c r="H10" s="408"/>
      <c r="I10" s="408"/>
      <c r="J10" s="408"/>
      <c r="K10" s="408"/>
      <c r="L10" s="409"/>
      <c r="M10" s="151"/>
      <c r="O10" s="149"/>
      <c r="Q10" s="124"/>
    </row>
    <row r="11" spans="1:17" s="148" customFormat="1" ht="50.45" customHeight="1">
      <c r="C11" s="155"/>
      <c r="D11" s="156"/>
      <c r="E11" s="106" t="s">
        <v>6</v>
      </c>
      <c r="F11" s="410"/>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- 17/07/2024</v>
      </c>
      <c r="F15" s="109" t="s">
        <v>9</v>
      </c>
      <c r="G15" s="427" t="s">
        <v>188</v>
      </c>
      <c r="H15" s="413"/>
      <c r="I15" s="413"/>
      <c r="J15" s="413"/>
      <c r="K15" s="413"/>
      <c r="L15" s="414">
        <v>8</v>
      </c>
      <c r="M15" s="44"/>
    </row>
    <row r="16" spans="1:17" ht="93" customHeight="1">
      <c r="D16" s="158"/>
      <c r="E16" s="424"/>
      <c r="F16" s="110" t="s">
        <v>10</v>
      </c>
      <c r="G16" s="428" t="s">
        <v>189</v>
      </c>
      <c r="H16" s="416"/>
      <c r="I16" s="416"/>
      <c r="J16" s="416"/>
      <c r="K16" s="416"/>
      <c r="L16" s="415"/>
      <c r="M16" s="44"/>
    </row>
    <row r="17" spans="4:13" ht="117" customHeight="1">
      <c r="D17" s="158"/>
      <c r="E17" s="425"/>
      <c r="F17" s="110" t="s">
        <v>11</v>
      </c>
      <c r="G17" s="428" t="s">
        <v>190</v>
      </c>
      <c r="H17" s="416"/>
      <c r="I17" s="416"/>
      <c r="J17" s="416"/>
      <c r="K17" s="416"/>
      <c r="L17" s="77">
        <v>10</v>
      </c>
      <c r="M17" s="44"/>
    </row>
    <row r="18" spans="4:13" ht="35.450000000000003" customHeight="1" thickBot="1">
      <c r="D18" s="158"/>
      <c r="E18" s="426"/>
      <c r="F18" s="111" t="s">
        <v>12</v>
      </c>
      <c r="G18" s="417">
        <f>AVERAGE(L15:L17)</f>
        <v>9</v>
      </c>
      <c r="H18" s="418"/>
      <c r="I18" s="418"/>
      <c r="J18" s="418"/>
      <c r="K18" s="418"/>
      <c r="L18" s="419"/>
      <c r="M18" s="44"/>
    </row>
    <row r="19" spans="4:13" ht="93" customHeight="1">
      <c r="D19" s="158"/>
      <c r="E19" s="251" t="str">
        <f>CONCATENATE("End-of-year meeting - ", TEXT($F$11,"dd/mm/yyyy"))</f>
        <v>End-of-year meeting - 00/01/1900</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c r="D27" s="158"/>
      <c r="E27" s="107"/>
      <c r="F27" s="107"/>
      <c r="G27" s="107"/>
      <c r="H27" s="107"/>
      <c r="I27" s="107"/>
      <c r="J27" s="107"/>
      <c r="K27" s="107"/>
      <c r="L27" s="107"/>
      <c r="M27" s="44"/>
    </row>
    <row r="28" spans="4:13" ht="67.5" customHeight="1">
      <c r="D28" s="44"/>
      <c r="E28" s="118" t="s">
        <v>17</v>
      </c>
      <c r="F28" s="495" t="s">
        <v>121</v>
      </c>
      <c r="G28" s="496"/>
      <c r="H28" s="496"/>
      <c r="I28" s="496"/>
      <c r="J28" s="496"/>
      <c r="K28" s="497"/>
      <c r="L28" s="384"/>
      <c r="M28" s="44"/>
    </row>
    <row r="29" spans="4:13" ht="43.5" customHeight="1">
      <c r="D29" s="158"/>
      <c r="E29" s="370" t="str">
        <f>CONCATENATE("Mid-year meeting - ", TEXT($F$10,"dd/mm/yyyy"))</f>
        <v>Mid-year meeting - 17/07/2024</v>
      </c>
      <c r="F29" s="117"/>
      <c r="G29" s="372" t="str">
        <f>'CC 2023'!E2</f>
        <v>Employee Name</v>
      </c>
      <c r="H29" s="373"/>
      <c r="I29" s="374"/>
      <c r="J29" s="375" t="str">
        <f>F7</f>
        <v xml:space="preserve">Anael </v>
      </c>
      <c r="K29" s="373"/>
      <c r="L29" s="376"/>
      <c r="M29" s="44"/>
    </row>
    <row r="30" spans="4:13" ht="110.25" customHeight="1">
      <c r="D30" s="158"/>
      <c r="E30" s="370"/>
      <c r="F30" s="175">
        <v>0.95</v>
      </c>
      <c r="G30" s="385" t="s">
        <v>191</v>
      </c>
      <c r="H30" s="271"/>
      <c r="I30" s="272"/>
      <c r="J30" s="273" t="s">
        <v>192</v>
      </c>
      <c r="K30" s="274"/>
      <c r="L30" s="386"/>
      <c r="M30" s="44"/>
    </row>
    <row r="31" spans="4:13" ht="43.5" customHeight="1">
      <c r="D31" s="158"/>
      <c r="E31" s="370" t="str">
        <f>CONCATENATE("End-of-year meeting - ", TEXT($F$11,"dd/mm/yyyy"))</f>
        <v>End-of-year meeting - 00/01/1900</v>
      </c>
      <c r="F31" s="117"/>
      <c r="G31" s="372" t="str">
        <f>'CC 2023'!E2</f>
        <v>Employee Name</v>
      </c>
      <c r="H31" s="373"/>
      <c r="I31" s="374"/>
      <c r="J31" s="375" t="str">
        <f>F7</f>
        <v xml:space="preserve">Anael </v>
      </c>
      <c r="K31" s="373"/>
      <c r="L31" s="376"/>
      <c r="M31" s="44"/>
    </row>
    <row r="32" spans="4:13" ht="110.25" customHeight="1">
      <c r="D32" s="158"/>
      <c r="E32" s="371"/>
      <c r="F32" s="99"/>
      <c r="G32" s="390"/>
      <c r="H32" s="388"/>
      <c r="I32" s="391"/>
      <c r="J32" s="387"/>
      <c r="K32" s="388"/>
      <c r="L32" s="389"/>
      <c r="M32" s="44"/>
    </row>
    <row r="33" spans="4:13" ht="21" customHeight="1">
      <c r="D33" s="158"/>
      <c r="E33" s="44"/>
      <c r="F33" s="44"/>
      <c r="G33" s="44"/>
      <c r="H33" s="44"/>
      <c r="I33" s="44"/>
      <c r="J33" s="44"/>
      <c r="K33" s="44"/>
      <c r="L33" s="44"/>
      <c r="M33" s="44"/>
    </row>
    <row r="34" spans="4:13" ht="67.5" customHeight="1">
      <c r="D34" s="158"/>
      <c r="E34" s="118" t="s">
        <v>18</v>
      </c>
      <c r="F34" s="495" t="s">
        <v>129</v>
      </c>
      <c r="G34" s="496"/>
      <c r="H34" s="496"/>
      <c r="I34" s="496"/>
      <c r="J34" s="496"/>
      <c r="K34" s="497"/>
      <c r="L34" s="394"/>
      <c r="M34" s="44"/>
    </row>
    <row r="35" spans="4:13" ht="43.5" customHeight="1">
      <c r="D35" s="158"/>
      <c r="E35" s="370" t="str">
        <f>CONCATENATE("Mid-year meeting - ", TEXT($F$10,"dd/mm/yyyy"))</f>
        <v>Mid-year meeting - 17/07/2024</v>
      </c>
      <c r="F35" s="117"/>
      <c r="G35" s="372" t="str">
        <f>'CC 2023'!E2</f>
        <v>Employee Name</v>
      </c>
      <c r="H35" s="373"/>
      <c r="I35" s="374"/>
      <c r="J35" s="375" t="str">
        <f>F7</f>
        <v xml:space="preserve">Anael </v>
      </c>
      <c r="K35" s="373"/>
      <c r="L35" s="376"/>
      <c r="M35" s="44"/>
    </row>
    <row r="36" spans="4:13" ht="110.25" customHeight="1">
      <c r="D36" s="158"/>
      <c r="E36" s="370"/>
      <c r="F36" s="175">
        <v>0.9</v>
      </c>
      <c r="G36" s="385" t="s">
        <v>193</v>
      </c>
      <c r="H36" s="271"/>
      <c r="I36" s="272"/>
      <c r="J36" s="273" t="s">
        <v>192</v>
      </c>
      <c r="K36" s="274"/>
      <c r="L36" s="386"/>
      <c r="M36" s="44"/>
    </row>
    <row r="37" spans="4:13" ht="43.5" customHeight="1">
      <c r="D37" s="158"/>
      <c r="E37" s="370" t="str">
        <f>CONCATENATE("End-of-year meeting - ", TEXT($F$11,"dd/mm/yyyy"))</f>
        <v>End-of-year meeting - 00/01/1900</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c r="D39" s="158"/>
      <c r="E39" s="44"/>
      <c r="F39" s="44"/>
      <c r="G39" s="44"/>
      <c r="H39" s="44"/>
      <c r="I39" s="44"/>
      <c r="J39" s="44"/>
      <c r="K39" s="44"/>
      <c r="L39" s="44"/>
      <c r="M39" s="44"/>
    </row>
    <row r="40" spans="4:13" ht="67.5" customHeight="1">
      <c r="D40" s="158"/>
      <c r="E40" s="118" t="s">
        <v>19</v>
      </c>
      <c r="F40" s="495" t="s">
        <v>135</v>
      </c>
      <c r="G40" s="496"/>
      <c r="H40" s="496"/>
      <c r="I40" s="496"/>
      <c r="J40" s="496"/>
      <c r="K40" s="497"/>
      <c r="L40" s="394"/>
      <c r="M40" s="44"/>
    </row>
    <row r="41" spans="4:13" ht="43.5" customHeight="1">
      <c r="D41" s="158"/>
      <c r="E41" s="370" t="str">
        <f>CONCATENATE("Mid-year meeting - ", TEXT($F$10,"dd/mm/yyyy"))</f>
        <v>Mid-year meeting - 17/07/2024</v>
      </c>
      <c r="F41" s="117"/>
      <c r="G41" s="372" t="str">
        <f>'CC 2023'!E2</f>
        <v>Employee Name</v>
      </c>
      <c r="H41" s="373"/>
      <c r="I41" s="374"/>
      <c r="J41" s="375" t="str">
        <f>F7</f>
        <v xml:space="preserve">Anael </v>
      </c>
      <c r="K41" s="373"/>
      <c r="L41" s="376"/>
      <c r="M41" s="44"/>
    </row>
    <row r="42" spans="4:13" ht="110.25" customHeight="1">
      <c r="D42" s="158"/>
      <c r="E42" s="370"/>
      <c r="F42" s="175">
        <v>1</v>
      </c>
      <c r="G42" s="385" t="s">
        <v>194</v>
      </c>
      <c r="H42" s="271"/>
      <c r="I42" s="272"/>
      <c r="J42" s="273" t="s">
        <v>195</v>
      </c>
      <c r="K42" s="274"/>
      <c r="L42" s="386"/>
      <c r="M42" s="44"/>
    </row>
    <row r="43" spans="4:13" ht="43.5" customHeight="1">
      <c r="D43" s="158"/>
      <c r="E43" s="370" t="str">
        <f>CONCATENATE("End-of-year meeting - ", TEXT($F$11,"dd/mm/yyyy"))</f>
        <v>End-of-year meeting - 00/01/1900</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
        <v>196</v>
      </c>
      <c r="G46" s="393"/>
      <c r="H46" s="393"/>
      <c r="I46" s="393"/>
      <c r="J46" s="393"/>
      <c r="K46" s="393"/>
      <c r="L46" s="394"/>
      <c r="M46" s="44"/>
    </row>
    <row r="47" spans="4:13" ht="43.5" customHeight="1">
      <c r="D47" s="156"/>
      <c r="E47" s="370" t="str">
        <f>CONCATENATE("Mid-year meeting - ", TEXT($F$10,"dd/mm/yyyy"))</f>
        <v>Mid-year meeting - 17/07/2024</v>
      </c>
      <c r="F47" s="117"/>
      <c r="G47" s="372" t="str">
        <f>'CC 2023'!E2</f>
        <v>Employee Name</v>
      </c>
      <c r="H47" s="373"/>
      <c r="I47" s="374"/>
      <c r="J47" s="375" t="str">
        <f>F7</f>
        <v xml:space="preserve">Anael </v>
      </c>
      <c r="K47" s="373"/>
      <c r="L47" s="376"/>
      <c r="M47" s="44"/>
    </row>
    <row r="48" spans="4:13" ht="110.25" customHeight="1">
      <c r="D48" s="158"/>
      <c r="E48" s="370"/>
      <c r="F48" s="175">
        <v>0.3</v>
      </c>
      <c r="G48" s="385" t="s">
        <v>197</v>
      </c>
      <c r="H48" s="271"/>
      <c r="I48" s="272"/>
      <c r="J48" s="273" t="s">
        <v>198</v>
      </c>
      <c r="K48" s="274"/>
      <c r="L48" s="386"/>
      <c r="M48" s="44"/>
    </row>
    <row r="49" spans="4:13" ht="43.5" customHeight="1">
      <c r="D49" s="158"/>
      <c r="E49" s="370" t="str">
        <f>CONCATENATE("End-of-year meeting - ", TEXT($F$11,"dd/mm/yyyy"))</f>
        <v>End-of-year meeting - 00/01/1900</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c r="G52" s="393"/>
      <c r="H52" s="393"/>
      <c r="I52" s="393"/>
      <c r="J52" s="393"/>
      <c r="K52" s="393"/>
      <c r="L52" s="394"/>
      <c r="M52" s="44"/>
    </row>
    <row r="53" spans="4:13" ht="43.5" customHeight="1">
      <c r="D53" s="156"/>
      <c r="E53" s="370" t="str">
        <f>CONCATENATE("Mid-year meeting - ", TEXT($F$10,"dd/mm/yyyy"))</f>
        <v>Mid-year meeting - 17/07/2024</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- 00/01/1900</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c r="G58" s="383"/>
      <c r="H58" s="383"/>
      <c r="I58" s="383"/>
      <c r="J58" s="383"/>
      <c r="K58" s="383"/>
      <c r="L58" s="384"/>
      <c r="M58" s="44"/>
    </row>
    <row r="59" spans="4:13" ht="43.5" customHeight="1">
      <c r="D59" s="156"/>
      <c r="E59" s="370" t="str">
        <f>CONCATENATE("Mid-year meeting - ", TEXT($F$10,"dd/mm/yyyy"))</f>
        <v>Mid-year meeting - 17/07/2024</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- 00/01/1900</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c r="G64" s="383"/>
      <c r="H64" s="383"/>
      <c r="I64" s="383"/>
      <c r="J64" s="383"/>
      <c r="K64" s="383"/>
      <c r="L64" s="384"/>
      <c r="M64" s="44"/>
    </row>
    <row r="65" spans="3:15" ht="43.5" customHeight="1">
      <c r="D65" s="156"/>
      <c r="E65" s="370" t="str">
        <f>CONCATENATE("Mid-year meeting - ", TEXT($F$10,"dd/mm/yyyy"))</f>
        <v>Mid-year meeting - 17/07/2024</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- 00/01/1900</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t="s">
        <v>199</v>
      </c>
      <c r="F73" s="369"/>
      <c r="G73" s="94"/>
      <c r="H73" s="98"/>
      <c r="I73" s="86"/>
      <c r="J73" s="98"/>
      <c r="K73" s="87"/>
      <c r="L73" s="88"/>
      <c r="M73" s="44"/>
    </row>
    <row r="74" spans="3:15" ht="53.1" customHeight="1">
      <c r="D74" s="158"/>
      <c r="E74" s="362" t="s">
        <v>200</v>
      </c>
      <c r="F74" s="363"/>
      <c r="G74" s="95"/>
      <c r="H74" s="82"/>
      <c r="I74" s="80"/>
      <c r="J74" s="82"/>
      <c r="K74" s="81"/>
      <c r="L74" s="89"/>
      <c r="M74" s="44"/>
    </row>
    <row r="75" spans="3:15" ht="57" customHeight="1">
      <c r="D75" s="158"/>
      <c r="E75" s="362" t="s">
        <v>201</v>
      </c>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c r="D85" s="158"/>
      <c r="E85" s="240" t="s">
        <v>35</v>
      </c>
      <c r="F85" s="240"/>
      <c r="G85" s="123" t="s">
        <v>36</v>
      </c>
      <c r="H85" s="123"/>
      <c r="I85" s="123"/>
      <c r="J85" s="107"/>
      <c r="K85" s="107"/>
      <c r="L85" s="107"/>
      <c r="M85" s="44"/>
    </row>
    <row r="86" spans="3:15" ht="74.25" customHeight="1">
      <c r="C86" s="164"/>
      <c r="D86" s="158"/>
      <c r="E86" s="57"/>
      <c r="F86" s="541" t="s">
        <v>37</v>
      </c>
      <c r="G86" s="347"/>
      <c r="H86" s="347"/>
      <c r="I86" s="347"/>
      <c r="J86" s="347"/>
      <c r="K86" s="347"/>
      <c r="L86" s="348"/>
      <c r="M86" s="44"/>
      <c r="O86" s="124"/>
    </row>
    <row r="87" spans="3:15" ht="91.5" customHeight="1">
      <c r="C87" s="164"/>
      <c r="D87" s="158"/>
      <c r="E87" s="56" t="s">
        <v>38</v>
      </c>
      <c r="F87" s="528" t="s">
        <v>202</v>
      </c>
      <c r="G87" s="358"/>
      <c r="H87" s="358"/>
      <c r="I87" s="358"/>
      <c r="J87" s="358"/>
      <c r="K87" s="358"/>
      <c r="L87" s="359"/>
      <c r="M87" s="44"/>
      <c r="O87" s="124"/>
    </row>
    <row r="88" spans="3:15" ht="53.45" customHeight="1">
      <c r="C88" s="164"/>
      <c r="D88" s="158"/>
      <c r="E88" s="340" t="s">
        <v>40</v>
      </c>
      <c r="F88" s="529" t="s">
        <v>41</v>
      </c>
      <c r="G88" s="353"/>
      <c r="H88" s="354"/>
      <c r="I88" s="70" t="s">
        <v>42</v>
      </c>
      <c r="J88" s="70" t="s">
        <v>43</v>
      </c>
      <c r="K88" s="70" t="s">
        <v>44</v>
      </c>
      <c r="L88" s="125" t="s">
        <v>45</v>
      </c>
      <c r="M88" s="44"/>
    </row>
    <row r="89" spans="3:15" ht="131.1" customHeight="1">
      <c r="C89" s="164"/>
      <c r="D89" s="158"/>
      <c r="E89" s="340"/>
      <c r="F89" s="530" t="s">
        <v>203</v>
      </c>
      <c r="G89" s="531"/>
      <c r="H89" s="532"/>
      <c r="I89" s="226" t="s">
        <v>204</v>
      </c>
      <c r="J89" s="226" t="s">
        <v>205</v>
      </c>
      <c r="K89" s="226" t="s">
        <v>206</v>
      </c>
      <c r="L89" s="227" t="s">
        <v>207</v>
      </c>
      <c r="M89" s="44"/>
      <c r="O89" s="326" t="b">
        <f>IF(L89="Fails to meet objective", 4, IF(L89="Partially meets objective", 3, IF(L89="Meets expectations", 2, IF(L89="Exceeds expectations", 1,IF(L89="To be done", "")))))</f>
        <v>0</v>
      </c>
    </row>
    <row r="90" spans="3:15" ht="53.45" customHeight="1">
      <c r="C90" s="164"/>
      <c r="D90" s="158"/>
      <c r="E90" s="340"/>
      <c r="F90" s="533" t="str">
        <f>'CC 2023'!E2</f>
        <v>Employee Name</v>
      </c>
      <c r="G90" s="534"/>
      <c r="H90" s="534"/>
      <c r="I90" s="534"/>
      <c r="J90" s="534"/>
      <c r="K90" s="534"/>
      <c r="L90" s="535"/>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- 17/07/2024</v>
      </c>
      <c r="F92" s="314">
        <v>1</v>
      </c>
      <c r="G92" s="315"/>
      <c r="H92" s="314" t="s">
        <v>208</v>
      </c>
      <c r="I92" s="333"/>
      <c r="J92" s="333"/>
      <c r="K92" s="333"/>
      <c r="L92" s="334"/>
      <c r="M92" s="44"/>
      <c r="O92" s="326"/>
    </row>
    <row r="93" spans="3:15" ht="135.94999999999999" customHeight="1">
      <c r="C93" s="164"/>
      <c r="D93" s="158"/>
      <c r="E93" s="56" t="str">
        <f>CONCATENATE("End-of-year meeting - ", TEXT($F$11,"dd/mm/yyyy"))</f>
        <v>End-of-year meeting - 00/01/1900</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- 17/07/2024</v>
      </c>
      <c r="F96" s="314">
        <v>1</v>
      </c>
      <c r="G96" s="315"/>
      <c r="H96" s="314" t="s">
        <v>209</v>
      </c>
      <c r="I96" s="333"/>
      <c r="J96" s="333"/>
      <c r="K96" s="333"/>
      <c r="L96" s="334"/>
      <c r="M96" s="44"/>
      <c r="O96" s="326"/>
    </row>
    <row r="97" spans="3:15" ht="135.94999999999999" customHeight="1">
      <c r="C97" s="164"/>
      <c r="D97" s="158"/>
      <c r="E97" s="126" t="str">
        <f>CONCATENATE("End-of-year meeting - ", TEXT($F$11,"dd/mm/yyyy"))</f>
        <v>End-of-year meeting - 00/01/1900</v>
      </c>
      <c r="F97" s="536"/>
      <c r="G97" s="537"/>
      <c r="H97" s="538"/>
      <c r="I97" s="539"/>
      <c r="J97" s="539"/>
      <c r="K97" s="539"/>
      <c r="L97" s="540"/>
      <c r="M97" s="44"/>
      <c r="O97" s="326"/>
    </row>
    <row r="98" spans="3:15" ht="74.25" customHeight="1">
      <c r="C98" s="164"/>
      <c r="D98" s="158"/>
      <c r="E98" s="219"/>
      <c r="F98" s="526" t="s">
        <v>53</v>
      </c>
      <c r="G98" s="526"/>
      <c r="H98" s="526"/>
      <c r="I98" s="526"/>
      <c r="J98" s="526"/>
      <c r="K98" s="526"/>
      <c r="L98" s="527"/>
      <c r="M98" s="44"/>
      <c r="O98" s="124"/>
    </row>
    <row r="99" spans="3:15" ht="91.5" customHeight="1">
      <c r="C99" s="164"/>
      <c r="D99" s="158"/>
      <c r="E99" s="56" t="s">
        <v>38</v>
      </c>
      <c r="F99" s="338" t="s">
        <v>210</v>
      </c>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5" t="s">
        <v>211</v>
      </c>
      <c r="G101" s="345"/>
      <c r="H101" s="346"/>
      <c r="I101" s="143" t="s">
        <v>212</v>
      </c>
      <c r="J101" s="143" t="s">
        <v>213</v>
      </c>
      <c r="K101" s="143" t="s">
        <v>214</v>
      </c>
      <c r="L101" s="218" t="s">
        <v>215</v>
      </c>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- 17/07/2024</v>
      </c>
      <c r="F104" s="314">
        <v>0</v>
      </c>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- 00/01/1900</v>
      </c>
      <c r="F105" s="314"/>
      <c r="G105" s="315"/>
      <c r="H105" s="316"/>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- 17/07/2024</v>
      </c>
      <c r="F108" s="314"/>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- 00/01/1900</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8" t="s">
        <v>216</v>
      </c>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t="s">
        <v>217</v>
      </c>
      <c r="G113" s="345"/>
      <c r="H113" s="346"/>
      <c r="I113" s="143" t="s">
        <v>218</v>
      </c>
      <c r="J113" s="143" t="s">
        <v>219</v>
      </c>
      <c r="K113" s="143" t="s">
        <v>220</v>
      </c>
      <c r="L113" s="218" t="s">
        <v>215</v>
      </c>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- 17/07/2024</v>
      </c>
      <c r="F116" s="314">
        <v>0.8</v>
      </c>
      <c r="G116" s="315"/>
      <c r="H116" s="314" t="s">
        <v>221</v>
      </c>
      <c r="I116" s="333"/>
      <c r="J116" s="333"/>
      <c r="K116" s="333"/>
      <c r="L116" s="334"/>
      <c r="M116" s="44"/>
      <c r="O116" s="326"/>
    </row>
    <row r="117" spans="3:15" ht="135.94999999999999" customHeight="1">
      <c r="C117" s="164"/>
      <c r="D117" s="158"/>
      <c r="E117" s="56" t="str">
        <f>CONCATENATE("End-of-year meeting - ", TEXT($F$11,"dd/mm/yyyy"))</f>
        <v>End-of-year meeting - 00/01/1900</v>
      </c>
      <c r="F117" s="314"/>
      <c r="G117" s="315"/>
      <c r="H117" s="316"/>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- 17/07/2024</v>
      </c>
      <c r="F120" s="314">
        <v>0.4</v>
      </c>
      <c r="G120" s="315"/>
      <c r="H120" s="314" t="s">
        <v>222</v>
      </c>
      <c r="I120" s="333"/>
      <c r="J120" s="333"/>
      <c r="K120" s="333"/>
      <c r="L120" s="334"/>
      <c r="M120" s="44"/>
      <c r="O120" s="326"/>
    </row>
    <row r="121" spans="3:15" ht="135.94999999999999" customHeight="1" thickBot="1">
      <c r="C121" s="164"/>
      <c r="D121" s="158"/>
      <c r="E121" s="126" t="str">
        <f>CONCATENATE("End-of-year meeting - ", TEXT($F$11,"dd/mm/yyyy"))</f>
        <v>End-of-year meeting - 00/01/1900</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25" t="s">
        <v>223</v>
      </c>
      <c r="G123" s="358"/>
      <c r="H123" s="358"/>
      <c r="I123" s="358"/>
      <c r="J123" s="358"/>
      <c r="K123" s="358"/>
      <c r="L123" s="359"/>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t="s">
        <v>224</v>
      </c>
      <c r="G125" s="345"/>
      <c r="H125" s="346"/>
      <c r="I125" s="143" t="s">
        <v>225</v>
      </c>
      <c r="J125" s="143" t="s">
        <v>226</v>
      </c>
      <c r="K125" s="143" t="s">
        <v>227</v>
      </c>
      <c r="L125" s="218" t="s">
        <v>215</v>
      </c>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219" customHeight="1">
      <c r="C128" s="164"/>
      <c r="D128" s="158"/>
      <c r="E128" s="56" t="str">
        <f>CONCATENATE("Mid-year meeting - ", TEXT($F$10,"dd/mm/yyyy"))</f>
        <v>Mid-year meeting - 17/07/2024</v>
      </c>
      <c r="F128" s="314">
        <v>0.2</v>
      </c>
      <c r="G128" s="315"/>
      <c r="H128" s="314" t="s">
        <v>228</v>
      </c>
      <c r="I128" s="333"/>
      <c r="J128" s="333"/>
      <c r="K128" s="333"/>
      <c r="L128" s="334"/>
      <c r="M128" s="44"/>
      <c r="O128" s="326"/>
    </row>
    <row r="129" spans="3:15" ht="135.94999999999999" customHeight="1">
      <c r="C129" s="164"/>
      <c r="D129" s="158"/>
      <c r="E129" s="56" t="str">
        <f>CONCATENATE("End-of-year meeting - ", TEXT($F$11,"dd/mm/yyyy"))</f>
        <v>End-of-year meeting - 00/01/1900</v>
      </c>
      <c r="F129" s="314"/>
      <c r="G129" s="315"/>
      <c r="H129" s="316"/>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- 17/07/2024</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- 00/01/1900</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522" t="s">
        <v>229</v>
      </c>
      <c r="G135" s="523"/>
      <c r="H135" s="523"/>
      <c r="I135" s="523"/>
      <c r="J135" s="523"/>
      <c r="K135" s="523"/>
      <c r="L135" s="524"/>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44" t="s">
        <v>230</v>
      </c>
      <c r="G137" s="345"/>
      <c r="H137" s="346"/>
      <c r="I137" s="143" t="s">
        <v>231</v>
      </c>
      <c r="J137" s="143" t="s">
        <v>232</v>
      </c>
      <c r="K137" s="143" t="s">
        <v>233</v>
      </c>
      <c r="L137" s="218" t="s">
        <v>215</v>
      </c>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- 17/07/2024</v>
      </c>
      <c r="F140" s="314">
        <v>0.1</v>
      </c>
      <c r="G140" s="315"/>
      <c r="H140" s="330" t="s">
        <v>234</v>
      </c>
      <c r="I140" s="331"/>
      <c r="J140" s="331"/>
      <c r="K140" s="331"/>
      <c r="L140" s="332"/>
      <c r="M140" s="44"/>
      <c r="O140" s="326"/>
    </row>
    <row r="141" spans="3:15" ht="135.94999999999999" customHeight="1">
      <c r="C141" s="164"/>
      <c r="D141" s="158"/>
      <c r="E141" s="56" t="str">
        <f>CONCATENATE("End-of-year meeting - ", TEXT($F$11,"dd/mm/yyyy"))</f>
        <v>End-of-year meeting - 00/01/1900</v>
      </c>
      <c r="F141" s="314"/>
      <c r="G141" s="315"/>
      <c r="H141" s="316"/>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- 17/07/2024</v>
      </c>
      <c r="F144" s="314"/>
      <c r="G144" s="315"/>
      <c r="H144" s="314"/>
      <c r="I144" s="333"/>
      <c r="J144" s="333"/>
      <c r="K144" s="333"/>
      <c r="L144" s="334"/>
      <c r="M144" s="44"/>
      <c r="O144" s="326"/>
    </row>
    <row r="145" spans="3:17" ht="135.94999999999999" customHeight="1">
      <c r="C145" s="164"/>
      <c r="D145" s="158"/>
      <c r="E145" s="129" t="str">
        <f>CONCATENATE("End-of-year meeting - ", TEXT($F$11,"dd/mm/yyyy"))</f>
        <v>End-of-year meeting - 00/01/1900</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- 17/07/2024</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v>0.8</v>
      </c>
      <c r="G155" s="296" t="s">
        <v>235</v>
      </c>
      <c r="H155" s="297"/>
      <c r="I155" s="298"/>
      <c r="J155" s="248" t="s">
        <v>236</v>
      </c>
      <c r="K155" s="248"/>
      <c r="L155" s="299"/>
      <c r="M155" s="44"/>
      <c r="Q155" s="169">
        <f>F157</f>
        <v>0</v>
      </c>
    </row>
    <row r="156" spans="3:17" ht="30" customHeight="1">
      <c r="D156" s="158"/>
      <c r="E156" s="252" t="str">
        <f>CONCATENATE("End-of-year meeting - ", TEXT($F$11,"dd/mm/yyyy"))</f>
        <v>End-of-year meeting - 00/01/1900</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- 17/07/2024</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v>0.8</v>
      </c>
      <c r="G160" s="305" t="s">
        <v>237</v>
      </c>
      <c r="H160" s="306"/>
      <c r="I160" s="307"/>
      <c r="J160" s="308"/>
      <c r="K160" s="309"/>
      <c r="L160" s="310"/>
      <c r="M160" s="44"/>
      <c r="Q160" s="169">
        <f>F162</f>
        <v>0</v>
      </c>
    </row>
    <row r="161" spans="4:17" ht="30" customHeight="1">
      <c r="D161" s="158"/>
      <c r="E161" s="276" t="str">
        <f>CONCATENATE("End-of-year meeting - ", TEXT($F$11,"dd/mm/yyyy"))</f>
        <v>End-of-year meeting - 00/01/1900</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- 17/07/2024</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v>0.9</v>
      </c>
      <c r="G165" s="270" t="s">
        <v>238</v>
      </c>
      <c r="H165" s="271"/>
      <c r="I165" s="272"/>
      <c r="J165" s="273" t="s">
        <v>239</v>
      </c>
      <c r="K165" s="274"/>
      <c r="L165" s="275"/>
      <c r="M165" s="44"/>
      <c r="Q165" s="169">
        <f>AVERAGEIF(F165:F167,"&lt;&gt;0")</f>
        <v>0.9</v>
      </c>
    </row>
    <row r="166" spans="4:17" ht="30" customHeight="1">
      <c r="D166" s="158"/>
      <c r="E166" s="265" t="str">
        <f>CONCATENATE("End-of-year meeting - ", TEXT($F$11,"dd/mm/yyyy"))</f>
        <v>End-of-year meeting - 00/01/1900</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- 17/07/2024</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v>0.9</v>
      </c>
      <c r="G170" s="248" t="s">
        <v>240</v>
      </c>
      <c r="H170" s="248"/>
      <c r="I170" s="248"/>
      <c r="J170" s="249"/>
      <c r="K170" s="249"/>
      <c r="L170" s="255"/>
      <c r="M170" s="44"/>
      <c r="Q170" s="169">
        <f>AVERAGEIF(F170:F172,"&lt;&gt;0")</f>
        <v>0.9</v>
      </c>
    </row>
    <row r="171" spans="4:17" ht="30" customHeight="1">
      <c r="D171" s="158"/>
      <c r="E171" s="252" t="str">
        <f>CONCATENATE("End-of-year meeting - ", TEXT($F$11,"dd/mm/yyyy"))</f>
        <v>End-of-year meeting - 00/01/1900</v>
      </c>
      <c r="F171" s="224" t="s">
        <v>64</v>
      </c>
      <c r="G171" s="257" t="str">
        <f>'CC 2023'!E2</f>
        <v>Employee Name</v>
      </c>
      <c r="H171" s="257"/>
      <c r="I171" s="257"/>
      <c r="J171" s="257" t="str">
        <f>F7</f>
        <v xml:space="preserve">Anael </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f>AVERAGE(Q170,Q165,Q160,Q155)</f>
        <v>0.45</v>
      </c>
    </row>
    <row r="174" spans="4:17" ht="23.25" customHeight="1">
      <c r="D174" s="158"/>
      <c r="E174" s="158"/>
      <c r="F174" s="158"/>
      <c r="G174" s="158"/>
      <c r="H174" s="158"/>
      <c r="I174" s="158"/>
      <c r="J174" s="158"/>
      <c r="K174" s="172"/>
      <c r="L174" s="173"/>
      <c r="M174" s="158"/>
      <c r="Q174" s="174" t="str">
        <f>IF(Q173&lt;0, "Rate between 0 and 100%", IF(Q173&lt;50%,"D",IF(Q173&lt;75%,"C",IF(Q173&lt;90%,"B","A"))))</f>
        <v>D</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- 17/07/2024</v>
      </c>
      <c r="F178" s="176"/>
      <c r="G178" s="248"/>
      <c r="H178" s="248"/>
      <c r="I178" s="248"/>
      <c r="J178" s="249"/>
      <c r="K178" s="249"/>
      <c r="L178" s="250"/>
      <c r="M178" s="44"/>
    </row>
    <row r="179" spans="4:17" ht="111" customHeight="1">
      <c r="D179" s="158"/>
      <c r="E179" s="140" t="str">
        <f>CONCATENATE("End-of-year meeting - ", TEXT($F$11,"dd/mm/yyyy"))</f>
        <v>End-of-year meeting - 00/01/1900</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- 17/07/2024</v>
      </c>
      <c r="F187" s="235"/>
      <c r="G187" s="235"/>
      <c r="H187" s="235"/>
      <c r="I187" s="235"/>
      <c r="J187" s="235"/>
      <c r="K187" s="235"/>
      <c r="L187" s="235"/>
      <c r="M187" s="44"/>
    </row>
    <row r="188" spans="4:17" ht="129.75" customHeight="1">
      <c r="D188" s="158"/>
      <c r="E188" s="142" t="str">
        <f>CONCATENATE("End-of-year meeting - ", TEXT($F$11,"dd/mm/yyyy"))</f>
        <v>End-of-year meeting - 00/01/1900</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Ql75cKdAr61xtIJ1pPj/krPEYxJ+2hR2MW7V6XW4eb4l8HH7LFDLp+Kjzc34QLb/riMQvuT/T1nfVKMXNoRx1Q==" saltValue="c8L/kqNfKOyS4p9jjtGLVQ=="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2082" priority="337" operator="containsText" text="Stop">
      <formula>NOT(ISERROR(SEARCH("Stop",E4)))</formula>
    </cfRule>
    <cfRule type="containsText" dxfId="2081" priority="338" operator="containsText" text="Start">
      <formula>NOT(ISERROR(SEARCH("Start",E4)))</formula>
    </cfRule>
    <cfRule type="containsText" dxfId="2080" priority="336" operator="containsText" text="Continue">
      <formula>NOT(ISERROR(SEARCH("Continue",E4)))</formula>
    </cfRule>
  </conditionalFormatting>
  <conditionalFormatting sqref="E14">
    <cfRule type="containsText" dxfId="2079" priority="456" operator="containsText" text="Continue">
      <formula>NOT(ISERROR(SEARCH("Continue",E14)))</formula>
    </cfRule>
    <cfRule type="containsText" dxfId="2078" priority="457" operator="containsText" text="Stop">
      <formula>NOT(ISERROR(SEARCH("Stop",E14)))</formula>
    </cfRule>
    <cfRule type="containsText" dxfId="2077" priority="458" operator="containsText" text="Start">
      <formula>NOT(ISERROR(SEARCH("Start",E14)))</formula>
    </cfRule>
  </conditionalFormatting>
  <conditionalFormatting sqref="E28 E154 G154 E156 G156">
    <cfRule type="containsText" dxfId="2076" priority="391" operator="containsText" text="N/A">
      <formula>NOT(ISERROR(SEARCH("N/A",E28)))</formula>
    </cfRule>
    <cfRule type="containsText" dxfId="2075" priority="388" operator="containsText" text="Continue">
      <formula>NOT(ISERROR(SEARCH("Continue",E28)))</formula>
    </cfRule>
    <cfRule type="containsText" dxfId="2074" priority="393" operator="containsText" text="Meets">
      <formula>NOT(ISERROR(SEARCH("Meets",E28)))</formula>
    </cfRule>
    <cfRule type="containsText" dxfId="2073" priority="392" operator="containsText" text="Exceeds">
      <formula>NOT(ISERROR(SEARCH("Exceeds",E28)))</formula>
    </cfRule>
    <cfRule type="containsText" dxfId="2072" priority="390" operator="containsText" text="Start">
      <formula>NOT(ISERROR(SEARCH("Start",E28)))</formula>
    </cfRule>
    <cfRule type="containsText" dxfId="2071" priority="389" operator="containsText" text="Stop">
      <formula>NOT(ISERROR(SEARCH("Stop",E28)))</formula>
    </cfRule>
    <cfRule type="containsText" dxfId="2070" priority="394" operator="containsText" text="Under">
      <formula>NOT(ISERROR(SEARCH("Under",E28)))</formula>
    </cfRule>
  </conditionalFormatting>
  <conditionalFormatting sqref="E34">
    <cfRule type="containsText" dxfId="2069" priority="368" operator="containsText" text="Stop">
      <formula>NOT(ISERROR(SEARCH("Stop",E34)))</formula>
    </cfRule>
    <cfRule type="containsText" dxfId="2068" priority="373" operator="containsText" text="Under">
      <formula>NOT(ISERROR(SEARCH("Under",E34)))</formula>
    </cfRule>
    <cfRule type="containsText" dxfId="2067" priority="372" operator="containsText" text="Meets">
      <formula>NOT(ISERROR(SEARCH("Meets",E34)))</formula>
    </cfRule>
    <cfRule type="containsText" dxfId="2066" priority="371" operator="containsText" text="Exceeds">
      <formula>NOT(ISERROR(SEARCH("Exceeds",E34)))</formula>
    </cfRule>
    <cfRule type="containsText" dxfId="2065" priority="370" operator="containsText" text="N/A">
      <formula>NOT(ISERROR(SEARCH("N/A",E34)))</formula>
    </cfRule>
    <cfRule type="containsText" dxfId="2064" priority="369" operator="containsText" text="Start">
      <formula>NOT(ISERROR(SEARCH("Start",E34)))</formula>
    </cfRule>
    <cfRule type="containsText" dxfId="2063" priority="367" operator="containsText" text="Continue">
      <formula>NOT(ISERROR(SEARCH("Continue",E34)))</formula>
    </cfRule>
  </conditionalFormatting>
  <conditionalFormatting sqref="E40">
    <cfRule type="containsText" dxfId="2062" priority="364" operator="containsText" text="Exceeds">
      <formula>NOT(ISERROR(SEARCH("Exceeds",E40)))</formula>
    </cfRule>
    <cfRule type="containsText" dxfId="2061" priority="365" operator="containsText" text="Meets">
      <formula>NOT(ISERROR(SEARCH("Meets",E40)))</formula>
    </cfRule>
    <cfRule type="containsText" dxfId="2060" priority="366" operator="containsText" text="Under">
      <formula>NOT(ISERROR(SEARCH("Under",E40)))</formula>
    </cfRule>
    <cfRule type="containsText" dxfId="2059" priority="360" operator="containsText" text="Continue">
      <formula>NOT(ISERROR(SEARCH("Continue",E40)))</formula>
    </cfRule>
    <cfRule type="containsText" dxfId="2058" priority="362" operator="containsText" text="Start">
      <formula>NOT(ISERROR(SEARCH("Start",E40)))</formula>
    </cfRule>
    <cfRule type="containsText" dxfId="2057" priority="363" operator="containsText" text="N/A">
      <formula>NOT(ISERROR(SEARCH("N/A",E40)))</formula>
    </cfRule>
    <cfRule type="containsText" dxfId="2056" priority="361" operator="containsText" text="Stop">
      <formula>NOT(ISERROR(SEARCH("Stop",E40)))</formula>
    </cfRule>
  </conditionalFormatting>
  <conditionalFormatting sqref="E46">
    <cfRule type="containsText" dxfId="2055" priority="359" operator="containsText" text="Under">
      <formula>NOT(ISERROR(SEARCH("Under",E46)))</formula>
    </cfRule>
    <cfRule type="containsText" dxfId="2054" priority="358" operator="containsText" text="Meets">
      <formula>NOT(ISERROR(SEARCH("Meets",E46)))</formula>
    </cfRule>
    <cfRule type="containsText" dxfId="2053" priority="357" operator="containsText" text="Exceeds">
      <formula>NOT(ISERROR(SEARCH("Exceeds",E46)))</formula>
    </cfRule>
    <cfRule type="containsText" dxfId="2052" priority="356" operator="containsText" text="N/A">
      <formula>NOT(ISERROR(SEARCH("N/A",E46)))</formula>
    </cfRule>
    <cfRule type="containsText" dxfId="2051" priority="355" operator="containsText" text="Start">
      <formula>NOT(ISERROR(SEARCH("Start",E46)))</formula>
    </cfRule>
    <cfRule type="containsText" dxfId="2050" priority="354" operator="containsText" text="Stop">
      <formula>NOT(ISERROR(SEARCH("Stop",E46)))</formula>
    </cfRule>
    <cfRule type="containsText" dxfId="2049" priority="353" operator="containsText" text="Continue">
      <formula>NOT(ISERROR(SEARCH("Continue",E46)))</formula>
    </cfRule>
  </conditionalFormatting>
  <conditionalFormatting sqref="E52">
    <cfRule type="containsText" dxfId="2048" priority="349" operator="containsText" text="N/A">
      <formula>NOT(ISERROR(SEARCH("N/A",E52)))</formula>
    </cfRule>
    <cfRule type="containsText" dxfId="2047" priority="348" operator="containsText" text="Start">
      <formula>NOT(ISERROR(SEARCH("Start",E52)))</formula>
    </cfRule>
    <cfRule type="containsText" dxfId="2046" priority="347" operator="containsText" text="Stop">
      <formula>NOT(ISERROR(SEARCH("Stop",E52)))</formula>
    </cfRule>
    <cfRule type="containsText" dxfId="2045" priority="352" operator="containsText" text="Under">
      <formula>NOT(ISERROR(SEARCH("Under",E52)))</formula>
    </cfRule>
    <cfRule type="containsText" dxfId="2044" priority="351" operator="containsText" text="Meets">
      <formula>NOT(ISERROR(SEARCH("Meets",E52)))</formula>
    </cfRule>
    <cfRule type="containsText" dxfId="2043" priority="346" operator="containsText" text="Continue">
      <formula>NOT(ISERROR(SEARCH("Continue",E52)))</formula>
    </cfRule>
    <cfRule type="containsText" dxfId="2042" priority="350" operator="containsText" text="Exceeds">
      <formula>NOT(ISERROR(SEARCH("Exceeds",E52)))</formula>
    </cfRule>
  </conditionalFormatting>
  <conditionalFormatting sqref="E58">
    <cfRule type="containsText" dxfId="2041" priority="341" operator="containsText" text="Start">
      <formula>NOT(ISERROR(SEARCH("Start",E58)))</formula>
    </cfRule>
    <cfRule type="containsText" dxfId="2040" priority="342" operator="containsText" text="N/A">
      <formula>NOT(ISERROR(SEARCH("N/A",E58)))</formula>
    </cfRule>
    <cfRule type="containsText" dxfId="2039" priority="344" operator="containsText" text="Meets">
      <formula>NOT(ISERROR(SEARCH("Meets",E58)))</formula>
    </cfRule>
    <cfRule type="containsText" dxfId="2038" priority="343" operator="containsText" text="Exceeds">
      <formula>NOT(ISERROR(SEARCH("Exceeds",E58)))</formula>
    </cfRule>
    <cfRule type="containsText" dxfId="2037" priority="345" operator="containsText" text="Under">
      <formula>NOT(ISERROR(SEARCH("Under",E58)))</formula>
    </cfRule>
    <cfRule type="containsText" dxfId="2036" priority="339" operator="containsText" text="Continue">
      <formula>NOT(ISERROR(SEARCH("Continue",E58)))</formula>
    </cfRule>
    <cfRule type="containsText" dxfId="2035" priority="340" operator="containsText" text="Stop">
      <formula>NOT(ISERROR(SEARCH("Stop",E58)))</formula>
    </cfRule>
  </conditionalFormatting>
  <conditionalFormatting sqref="E64">
    <cfRule type="containsText" dxfId="2034" priority="242" operator="containsText" text="Stop">
      <formula>NOT(ISERROR(SEARCH("Stop",E64)))</formula>
    </cfRule>
    <cfRule type="containsText" dxfId="2033" priority="243" operator="containsText" text="Start">
      <formula>NOT(ISERROR(SEARCH("Start",E64)))</formula>
    </cfRule>
    <cfRule type="containsText" dxfId="2032" priority="245" operator="containsText" text="Exceeds">
      <formula>NOT(ISERROR(SEARCH("Exceeds",E64)))</formula>
    </cfRule>
    <cfRule type="containsText" dxfId="2031" priority="246" operator="containsText" text="Meets">
      <formula>NOT(ISERROR(SEARCH("Meets",E64)))</formula>
    </cfRule>
    <cfRule type="containsText" dxfId="2030" priority="247" operator="containsText" text="Under">
      <formula>NOT(ISERROR(SEARCH("Under",E64)))</formula>
    </cfRule>
    <cfRule type="containsText" dxfId="2029" priority="244" operator="containsText" text="N/A">
      <formula>NOT(ISERROR(SEARCH("N/A",E64)))</formula>
    </cfRule>
    <cfRule type="containsText" dxfId="2028" priority="241" operator="containsText" text="Continue">
      <formula>NOT(ISERROR(SEARCH("Continue",E64)))</formula>
    </cfRule>
  </conditionalFormatting>
  <conditionalFormatting sqref="E159 E164">
    <cfRule type="containsText" dxfId="2027" priority="431" operator="containsText" text="Exceeds">
      <formula>NOT(ISERROR(SEARCH("Exceeds",E159)))</formula>
    </cfRule>
    <cfRule type="containsText" dxfId="2026" priority="430" operator="containsText" text="N/A">
      <formula>NOT(ISERROR(SEARCH("N/A",E159)))</formula>
    </cfRule>
    <cfRule type="containsText" dxfId="2025" priority="429" operator="containsText" text="Start">
      <formula>NOT(ISERROR(SEARCH("Start",E159)))</formula>
    </cfRule>
    <cfRule type="containsText" dxfId="2024" priority="428" operator="containsText" text="Stop">
      <formula>NOT(ISERROR(SEARCH("Stop",E159)))</formula>
    </cfRule>
    <cfRule type="containsText" dxfId="2023" priority="427" operator="containsText" text="Continue">
      <formula>NOT(ISERROR(SEARCH("Continue",E159)))</formula>
    </cfRule>
    <cfRule type="containsText" dxfId="2022" priority="432" operator="containsText" text="Meets">
      <formula>NOT(ISERROR(SEARCH("Meets",E159)))</formula>
    </cfRule>
    <cfRule type="containsText" dxfId="2021" priority="433" operator="containsText" text="Under">
      <formula>NOT(ISERROR(SEARCH("Under",E159)))</formula>
    </cfRule>
  </conditionalFormatting>
  <conditionalFormatting sqref="E161 E166">
    <cfRule type="containsText" dxfId="2020" priority="426" operator="containsText" text="Under">
      <formula>NOT(ISERROR(SEARCH("Under",E161)))</formula>
    </cfRule>
    <cfRule type="containsText" dxfId="2019" priority="425" operator="containsText" text="Meets">
      <formula>NOT(ISERROR(SEARCH("Meets",E161)))</formula>
    </cfRule>
    <cfRule type="containsText" dxfId="2018" priority="424" operator="containsText" text="Exceeds">
      <formula>NOT(ISERROR(SEARCH("Exceeds",E161)))</formula>
    </cfRule>
    <cfRule type="containsText" dxfId="2017" priority="423" operator="containsText" text="N/A">
      <formula>NOT(ISERROR(SEARCH("N/A",E161)))</formula>
    </cfRule>
    <cfRule type="containsText" dxfId="2016" priority="422" operator="containsText" text="Start">
      <formula>NOT(ISERROR(SEARCH("Start",E161)))</formula>
    </cfRule>
    <cfRule type="containsText" dxfId="2015" priority="421" operator="containsText" text="Stop">
      <formula>NOT(ISERROR(SEARCH("Stop",E161)))</formula>
    </cfRule>
    <cfRule type="containsText" dxfId="2014" priority="420" operator="containsText" text="Continue">
      <formula>NOT(ISERROR(SEARCH("Continue",E161)))</formula>
    </cfRule>
  </conditionalFormatting>
  <conditionalFormatting sqref="E169">
    <cfRule type="containsText" dxfId="2013" priority="443" operator="containsText" text="Start">
      <formula>NOT(ISERROR(SEARCH("Start",E169)))</formula>
    </cfRule>
    <cfRule type="containsText" dxfId="2012" priority="442" operator="containsText" text="Stop">
      <formula>NOT(ISERROR(SEARCH("Stop",E169)))</formula>
    </cfRule>
    <cfRule type="containsText" dxfId="2011" priority="441" operator="containsText" text="Continue">
      <formula>NOT(ISERROR(SEARCH("Continue",E169)))</formula>
    </cfRule>
    <cfRule type="containsText" dxfId="2010" priority="447" operator="containsText" text="Under">
      <formula>NOT(ISERROR(SEARCH("Under",E169)))</formula>
    </cfRule>
    <cfRule type="containsText" dxfId="2009" priority="446" operator="containsText" text="Meets">
      <formula>NOT(ISERROR(SEARCH("Meets",E169)))</formula>
    </cfRule>
    <cfRule type="containsText" dxfId="2008" priority="445" operator="containsText" text="Exceeds">
      <formula>NOT(ISERROR(SEARCH("Exceeds",E169)))</formula>
    </cfRule>
    <cfRule type="containsText" dxfId="2007" priority="444" operator="containsText" text="N/A">
      <formula>NOT(ISERROR(SEARCH("N/A",E169)))</formula>
    </cfRule>
  </conditionalFormatting>
  <conditionalFormatting sqref="E171">
    <cfRule type="containsText" dxfId="2006" priority="398" operator="containsText" text="N/A">
      <formula>NOT(ISERROR(SEARCH("N/A",E171)))</formula>
    </cfRule>
    <cfRule type="containsText" dxfId="2005" priority="399" operator="containsText" text="Exceeds">
      <formula>NOT(ISERROR(SEARCH("Exceeds",E171)))</formula>
    </cfRule>
    <cfRule type="containsText" dxfId="2004" priority="400" operator="containsText" text="Meets">
      <formula>NOT(ISERROR(SEARCH("Meets",E171)))</formula>
    </cfRule>
    <cfRule type="containsText" dxfId="2003" priority="401" operator="containsText" text="Under">
      <formula>NOT(ISERROR(SEARCH("Under",E171)))</formula>
    </cfRule>
    <cfRule type="containsText" dxfId="2002" priority="395" operator="containsText" text="Continue">
      <formula>NOT(ISERROR(SEARCH("Continue",E171)))</formula>
    </cfRule>
    <cfRule type="containsText" dxfId="2001" priority="396" operator="containsText" text="Stop">
      <formula>NOT(ISERROR(SEARCH("Stop",E171)))</formula>
    </cfRule>
    <cfRule type="containsText" dxfId="2000" priority="397" operator="containsText" text="Start">
      <formula>NOT(ISERROR(SEARCH("Start",E171)))</formula>
    </cfRule>
  </conditionalFormatting>
  <conditionalFormatting sqref="E12:L13">
    <cfRule type="containsText" dxfId="1999" priority="333" operator="containsText" text="Continue">
      <formula>NOT(ISERROR(SEARCH("Continue",E12)))</formula>
    </cfRule>
    <cfRule type="containsText" dxfId="1998" priority="334" operator="containsText" text="Stop">
      <formula>NOT(ISERROR(SEARCH("Stop",E12)))</formula>
    </cfRule>
    <cfRule type="containsText" dxfId="1997"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{F1BC6584-EFF1-43E5-AF41-73E9813CF5CC}</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{D308A892-55A3-4EC2-AE13-260B1737DEAB}</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{91C0C1D8-E7C5-4C09-8042-EE9C63E1BD3E}</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{9A5DF36C-D9EE-49DF-A031-46A7355C99D4}</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{1721BD83-598F-4F51-A56A-1AC61D795152}</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{1A917121-117D-46CE-BACF-2C84EC856F1F}</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{DFDD840B-D0FB-40FD-A752-A767D7CBD9D4}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{791F70D3-2B4D-4413-8A66-C2BBB368C100}</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{8339088B-F026-492E-A5FA-F7F341BA94ED}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{2CB8AA88-7BE0-47DB-B33E-142DA08A73B8}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{C84C9913-EF46-44B9-A8B1-8BCDF2E3BC9A}</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{4337B14A-458A-4FC8-BF5C-49069A4FC385}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{ACE8E384-2171-4A35-8A2B-9B7BD92E3C6D}</x14:id>
        </ext>
      </extLst>
    </cfRule>
  </conditionalFormatting>
  <conditionalFormatting sqref="F157">
    <cfRule type="containsText" dxfId="1996" priority="404" operator="containsText" text="Stop">
      <formula>NOT(ISERROR(SEARCH("Stop",F157)))</formula>
    </cfRule>
    <cfRule type="containsText" dxfId="1995"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{D64DF44B-67DC-4DAD-AC10-2CFF617BCC50}</x14:id>
        </ext>
      </extLst>
    </cfRule>
    <cfRule type="containsText" dxfId="1994" priority="409" operator="containsText" text="Under">
      <formula>NOT(ISERROR(SEARCH("Under",F157)))</formula>
    </cfRule>
    <cfRule type="containsText" dxfId="1993" priority="408" operator="containsText" text="Meets">
      <formula>NOT(ISERROR(SEARCH("Meets",F157)))</formula>
    </cfRule>
    <cfRule type="containsText" dxfId="1992" priority="407" operator="containsText" text="Exceeds">
      <formula>NOT(ISERROR(SEARCH("Exceeds",F157)))</formula>
    </cfRule>
    <cfRule type="containsText" dxfId="1991"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{7520A4A5-22AE-4D4C-BB67-85CE8EB83010}</x14:id>
        </ext>
      </extLst>
    </cfRule>
    <cfRule type="containsText" dxfId="1990" priority="405" operator="containsText" text="Start">
      <formula>NOT(ISERROR(SEARCH("Start",F157)))</formula>
    </cfRule>
  </conditionalFormatting>
  <conditionalFormatting sqref="F162">
    <cfRule type="containsText" dxfId="1989" priority="320" operator="containsText" text="Exceeds">
      <formula>NOT(ISERROR(SEARCH("Exceeds",F162)))</formula>
    </cfRule>
    <cfRule type="containsText" dxfId="1988" priority="321" operator="containsText" text="Meets">
      <formula>NOT(ISERROR(SEARCH("Meets",F162)))</formula>
    </cfRule>
    <cfRule type="containsText" dxfId="1987"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{5C10D21B-130B-41B6-BE1D-F857A08D6CB2}</x14:id>
        </ext>
      </extLst>
    </cfRule>
    <cfRule type="containsText" dxfId="1986" priority="318" operator="containsText" text="Start">
      <formula>NOT(ISERROR(SEARCH("Start",F162)))</formula>
    </cfRule>
    <cfRule type="containsText" dxfId="1985"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{AC8B0B57-D44B-4BF9-94A1-7CC2C3E2823D}</x14:id>
        </ext>
      </extLst>
    </cfRule>
    <cfRule type="containsText" dxfId="1984" priority="319" operator="containsText" text="N/A">
      <formula>NOT(ISERROR(SEARCH("N/A",F162)))</formula>
    </cfRule>
    <cfRule type="containsText" dxfId="1983"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{ED5CCEDB-1545-49BF-8C1A-62659B677999}</x14:id>
        </ext>
      </extLst>
    </cfRule>
    <cfRule type="containsText" dxfId="1982" priority="299" operator="containsText" text="Under">
      <formula>NOT(ISERROR(SEARCH("Under",F167)))</formula>
    </cfRule>
    <cfRule type="containsText" dxfId="1981" priority="298" operator="containsText" text="Meets">
      <formula>NOT(ISERROR(SEARCH("Meets",F167)))</formula>
    </cfRule>
    <cfRule type="containsText" dxfId="1980"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{045A0DC2-854E-409A-B0EE-C6B6BA22E048}</x14:id>
        </ext>
      </extLst>
    </cfRule>
    <cfRule type="containsText" dxfId="1979" priority="293" operator="containsText" text="Continue">
      <formula>NOT(ISERROR(SEARCH("Continue",F167)))</formula>
    </cfRule>
    <cfRule type="containsText" dxfId="1978" priority="295" operator="containsText" text="Start">
      <formula>NOT(ISERROR(SEARCH("Start",F167)))</formula>
    </cfRule>
    <cfRule type="containsText" dxfId="1977" priority="297" operator="containsText" text="Exceeds">
      <formula>NOT(ISERROR(SEARCH("Exceeds",F167)))</formula>
    </cfRule>
    <cfRule type="containsText" dxfId="1976"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{7D833A53-48DB-4924-B932-81BE84C9E793}</x14:id>
        </ext>
      </extLst>
    </cfRule>
    <cfRule type="containsText" dxfId="1975" priority="269" operator="containsText" text="Under">
      <formula>NOT(ISERROR(SEARCH("Under",F172)))</formula>
    </cfRule>
    <cfRule type="containsText" dxfId="1974" priority="268" operator="containsText" text="Meets">
      <formula>NOT(ISERROR(SEARCH("Meets",F172)))</formula>
    </cfRule>
    <cfRule type="containsText" dxfId="1973" priority="267" operator="containsText" text="Exceeds">
      <formula>NOT(ISERROR(SEARCH("Exceeds",F172)))</formula>
    </cfRule>
    <cfRule type="containsText" dxfId="1972"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{2A460C8C-8591-4CDF-9CDD-125840BF36EC}</x14:id>
        </ext>
      </extLst>
    </cfRule>
    <cfRule type="containsText" dxfId="1971" priority="265" operator="containsText" text="Start">
      <formula>NOT(ISERROR(SEARCH("Start",F172)))</formula>
    </cfRule>
    <cfRule type="containsText" dxfId="1970" priority="264" operator="containsText" text="Stop">
      <formula>NOT(ISERROR(SEARCH("Stop",F172)))</formula>
    </cfRule>
    <cfRule type="containsText" dxfId="1969"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{3F3D98C3-5E65-427A-9884-29BDE58CB75C}</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{9A49CDC1-9F75-42DA-A1FD-142CDC5A6C0E}</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{E3BE7522-D6D6-445E-916E-C239500B61D5}</x14:id>
        </ext>
      </extLst>
    </cfRule>
    <cfRule type="containsText" dxfId="1968" priority="412" operator="containsText" text="Continue">
      <formula>NOT(ISERROR(SEARCH("Continue",F155)))</formula>
    </cfRule>
    <cfRule type="containsText" dxfId="1967" priority="413" operator="containsText" text="Stop">
      <formula>NOT(ISERROR(SEARCH("Stop",F155)))</formula>
    </cfRule>
    <cfRule type="containsText" dxfId="1966" priority="414" operator="containsText" text="Start">
      <formula>NOT(ISERROR(SEARCH("Start",F155)))</formula>
    </cfRule>
    <cfRule type="containsText" dxfId="1965" priority="415" operator="containsText" text="N/A">
      <formula>NOT(ISERROR(SEARCH("N/A",F155)))</formula>
    </cfRule>
    <cfRule type="containsText" dxfId="1964" priority="416" operator="containsText" text="Exceeds">
      <formula>NOT(ISERROR(SEARCH("Exceeds",F155)))</formula>
    </cfRule>
    <cfRule type="containsText" dxfId="1963" priority="417" operator="containsText" text="Meets">
      <formula>NOT(ISERROR(SEARCH("Meets",F155)))</formula>
    </cfRule>
    <cfRule type="containsText" dxfId="1962"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{4DBBD331-4BD1-4FF2-81CB-A5740D94B6E6}</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{2C4FF909-A75E-46CE-BCBD-CA8A37804180}</x14:id>
        </ext>
      </extLst>
    </cfRule>
    <cfRule type="containsText" dxfId="1961" priority="331" operator="containsText" text="Under">
      <formula>NOT(ISERROR(SEARCH("Under",F160)))</formula>
    </cfRule>
    <cfRule type="containsText" dxfId="1960" priority="330" operator="containsText" text="Meets">
      <formula>NOT(ISERROR(SEARCH("Meets",F160)))</formula>
    </cfRule>
    <cfRule type="containsText" dxfId="1959" priority="329" operator="containsText" text="Exceeds">
      <formula>NOT(ISERROR(SEARCH("Exceeds",F160)))</formula>
    </cfRule>
    <cfRule type="containsText" dxfId="1958" priority="328" operator="containsText" text="N/A">
      <formula>NOT(ISERROR(SEARCH("N/A",F160)))</formula>
    </cfRule>
    <cfRule type="containsText" dxfId="1957" priority="327" operator="containsText" text="Start">
      <formula>NOT(ISERROR(SEARCH("Start",F160)))</formula>
    </cfRule>
    <cfRule type="containsText" dxfId="1956" priority="326" operator="containsText" text="Stop">
      <formula>NOT(ISERROR(SEARCH("Stop",F160)))</formula>
    </cfRule>
    <cfRule type="containsText" dxfId="1955"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{2494F7C9-8399-4D5C-8B76-8FE9B9824EFD}</x14:id>
        </ext>
      </extLst>
    </cfRule>
  </conditionalFormatting>
  <conditionalFormatting sqref="F165:G165">
    <cfRule type="containsText" dxfId="1954" priority="238" operator="containsText" text="Meets">
      <formula>NOT(ISERROR(SEARCH("Meets",F165)))</formula>
    </cfRule>
    <cfRule type="containsText" dxfId="1953" priority="235" operator="containsText" text="Start">
      <formula>NOT(ISERROR(SEARCH("Start",F165)))</formula>
    </cfRule>
    <cfRule type="containsText" dxfId="1952"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{D071B08E-FA81-4B1D-9622-C4D61FD071B9}</x14:id>
        </ext>
      </extLst>
    </cfRule>
    <cfRule type="containsText" dxfId="1951" priority="233" operator="containsText" text="Continue">
      <formula>NOT(ISERROR(SEARCH("Continue",F165)))</formula>
    </cfRule>
    <cfRule type="containsText" dxfId="1950" priority="236" operator="containsText" text="N/A">
      <formula>NOT(ISERROR(SEARCH("N/A",F165)))</formula>
    </cfRule>
    <cfRule type="containsText" dxfId="1949" priority="234" operator="containsText" text="Stop">
      <formula>NOT(ISERROR(SEARCH("Stop",F165)))</formula>
    </cfRule>
    <cfRule type="containsText" dxfId="1948"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{718EACF8-DA16-4477-BE23-B57E588973E0}</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{E6E5169D-5CA2-4CAC-BEF4-62EE4ED46D67}</x14:id>
        </ext>
      </extLst>
    </cfRule>
    <cfRule type="containsText" dxfId="1947" priority="225" operator="containsText" text="Stop">
      <formula>NOT(ISERROR(SEARCH("Stop",F170)))</formula>
    </cfRule>
    <cfRule type="containsText" dxfId="1946" priority="224" operator="containsText" text="Continue">
      <formula>NOT(ISERROR(SEARCH("Continue",F170)))</formula>
    </cfRule>
    <cfRule type="containsText" dxfId="1945" priority="226" operator="containsText" text="Start">
      <formula>NOT(ISERROR(SEARCH("Start",F170)))</formula>
    </cfRule>
    <cfRule type="containsText" dxfId="1944" priority="227" operator="containsText" text="N/A">
      <formula>NOT(ISERROR(SEARCH("N/A",F170)))</formula>
    </cfRule>
    <cfRule type="containsText" dxfId="1943" priority="228" operator="containsText" text="Exceeds">
      <formula>NOT(ISERROR(SEARCH("Exceeds",F170)))</formula>
    </cfRule>
    <cfRule type="containsText" dxfId="1942"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{BD950648-B2A2-43B1-8738-D32A84FF9AF9}</x14:id>
        </ext>
      </extLst>
    </cfRule>
    <cfRule type="containsText" dxfId="1941"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{C8B6CBE8-8B21-4A47-8E07-75B1616CD9D2}</x14:id>
        </ext>
      </extLst>
    </cfRule>
    <cfRule type="containsText" dxfId="1940" priority="218" operator="containsText" text="N/A">
      <formula>NOT(ISERROR(SEARCH("N/A",F178)))</formula>
    </cfRule>
    <cfRule type="containsText" dxfId="1939"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{5D21A742-2DA6-4D03-9733-DA91F546D5CA}</x14:id>
        </ext>
      </extLst>
    </cfRule>
    <cfRule type="containsText" dxfId="1938" priority="215" operator="containsText" text="Continue">
      <formula>NOT(ISERROR(SEARCH("Continue",F178)))</formula>
    </cfRule>
    <cfRule type="containsText" dxfId="1937" priority="216" operator="containsText" text="Stop">
      <formula>NOT(ISERROR(SEARCH("Stop",F178)))</formula>
    </cfRule>
    <cfRule type="containsText" dxfId="1936" priority="217" operator="containsText" text="Start">
      <formula>NOT(ISERROR(SEARCH("Start",F178)))</formula>
    </cfRule>
    <cfRule type="containsText" dxfId="1935" priority="219" operator="containsText" text="Exceeds">
      <formula>NOT(ISERROR(SEARCH("Exceeds",F178)))</formula>
    </cfRule>
    <cfRule type="containsText" dxfId="1934" priority="220" operator="containsText" text="Meets">
      <formula>NOT(ISERROR(SEARCH("Meets",F178)))</formula>
    </cfRule>
  </conditionalFormatting>
  <conditionalFormatting sqref="G29">
    <cfRule type="containsText" dxfId="1933" priority="385" operator="containsText" text="Exceeds">
      <formula>NOT(ISERROR(SEARCH("Exceeds",G29)))</formula>
    </cfRule>
    <cfRule type="containsText" dxfId="1932" priority="387" operator="containsText" text="Under">
      <formula>NOT(ISERROR(SEARCH("Under",G29)))</formula>
    </cfRule>
    <cfRule type="containsText" dxfId="1931" priority="383" operator="containsText" text="Start">
      <formula>NOT(ISERROR(SEARCH("Start",G29)))</formula>
    </cfRule>
    <cfRule type="containsText" dxfId="1930" priority="382" operator="containsText" text="Stop">
      <formula>NOT(ISERROR(SEARCH("Stop",G29)))</formula>
    </cfRule>
    <cfRule type="containsText" dxfId="1929" priority="381" operator="containsText" text="Continue">
      <formula>NOT(ISERROR(SEARCH("Continue",G29)))</formula>
    </cfRule>
    <cfRule type="containsText" dxfId="1928" priority="386" operator="containsText" text="Meets">
      <formula>NOT(ISERROR(SEARCH("Meets",G29)))</formula>
    </cfRule>
    <cfRule type="containsText" dxfId="1927" priority="384" operator="containsText" text="N/A">
      <formula>NOT(ISERROR(SEARCH("N/A",G29)))</formula>
    </cfRule>
  </conditionalFormatting>
  <conditionalFormatting sqref="G31">
    <cfRule type="containsText" dxfId="1926" priority="34" operator="containsText" text="Meets">
      <formula>NOT(ISERROR(SEARCH("Meets",G31)))</formula>
    </cfRule>
    <cfRule type="containsText" dxfId="1925" priority="33" operator="containsText" text="Exceeds">
      <formula>NOT(ISERROR(SEARCH("Exceeds",G31)))</formula>
    </cfRule>
    <cfRule type="containsText" dxfId="1924" priority="31" operator="containsText" text="Start">
      <formula>NOT(ISERROR(SEARCH("Start",G31)))</formula>
    </cfRule>
    <cfRule type="containsText" dxfId="1923" priority="30" operator="containsText" text="Stop">
      <formula>NOT(ISERROR(SEARCH("Stop",G31)))</formula>
    </cfRule>
    <cfRule type="containsText" dxfId="1922" priority="29" operator="containsText" text="Continue">
      <formula>NOT(ISERROR(SEARCH("Continue",G31)))</formula>
    </cfRule>
    <cfRule type="containsText" dxfId="1921" priority="35" operator="containsText" text="Under">
      <formula>NOT(ISERROR(SEARCH("Under",G31)))</formula>
    </cfRule>
    <cfRule type="containsText" dxfId="1920" priority="32" operator="containsText" text="N/A">
      <formula>NOT(ISERROR(SEARCH("N/A",G31)))</formula>
    </cfRule>
  </conditionalFormatting>
  <conditionalFormatting sqref="G35">
    <cfRule type="containsText" dxfId="1919" priority="97" operator="containsText" text="Exceeds">
      <formula>NOT(ISERROR(SEARCH("Exceeds",G35)))</formula>
    </cfRule>
    <cfRule type="containsText" dxfId="1918" priority="98" operator="containsText" text="Meets">
      <formula>NOT(ISERROR(SEARCH("Meets",G35)))</formula>
    </cfRule>
    <cfRule type="containsText" dxfId="1917" priority="99" operator="containsText" text="Under">
      <formula>NOT(ISERROR(SEARCH("Under",G35)))</formula>
    </cfRule>
    <cfRule type="containsText" dxfId="1916" priority="94" operator="containsText" text="Stop">
      <formula>NOT(ISERROR(SEARCH("Stop",G35)))</formula>
    </cfRule>
    <cfRule type="containsText" dxfId="1915" priority="93" operator="containsText" text="Continue">
      <formula>NOT(ISERROR(SEARCH("Continue",G35)))</formula>
    </cfRule>
    <cfRule type="containsText" dxfId="1914" priority="96" operator="containsText" text="N/A">
      <formula>NOT(ISERROR(SEARCH("N/A",G35)))</formula>
    </cfRule>
    <cfRule type="containsText" dxfId="1913"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{6B504D0D-45ED-4A5B-A062-32BE5DCB7215}</x14:id>
        </ext>
      </extLst>
    </cfRule>
  </conditionalFormatting>
  <conditionalFormatting sqref="G37">
    <cfRule type="containsText" dxfId="1912" priority="25" operator="containsText" text="N/A">
      <formula>NOT(ISERROR(SEARCH("N/A",G37)))</formula>
    </cfRule>
    <cfRule type="containsText" dxfId="1911" priority="26" operator="containsText" text="Exceeds">
      <formula>NOT(ISERROR(SEARCH("Exceeds",G37)))</formula>
    </cfRule>
    <cfRule type="containsText" dxfId="1910" priority="27" operator="containsText" text="Meets">
      <formula>NOT(ISERROR(SEARCH("Meets",G37)))</formula>
    </cfRule>
    <cfRule type="containsText" dxfId="1909" priority="28" operator="containsText" text="Under">
      <formula>NOT(ISERROR(SEARCH("Under",G37)))</formula>
    </cfRule>
    <cfRule type="containsText" dxfId="1908" priority="22" operator="containsText" text="Continue">
      <formula>NOT(ISERROR(SEARCH("Continue",G37)))</formula>
    </cfRule>
    <cfRule type="containsText" dxfId="1907" priority="23" operator="containsText" text="Stop">
      <formula>NOT(ISERROR(SEARCH("Stop",G37)))</formula>
    </cfRule>
    <cfRule type="containsText" dxfId="1906" priority="24" operator="containsText" text="Start">
      <formula>NOT(ISERROR(SEARCH("Start",G37)))</formula>
    </cfRule>
  </conditionalFormatting>
  <conditionalFormatting sqref="G41">
    <cfRule type="containsText" dxfId="1905" priority="85" operator="containsText" text="Continue">
      <formula>NOT(ISERROR(SEARCH("Continue",G41)))</formula>
    </cfRule>
    <cfRule type="containsText" dxfId="1904" priority="86" operator="containsText" text="Stop">
      <formula>NOT(ISERROR(SEARCH("Stop",G41)))</formula>
    </cfRule>
    <cfRule type="containsText" dxfId="1903" priority="87" operator="containsText" text="Start">
      <formula>NOT(ISERROR(SEARCH("Start",G41)))</formula>
    </cfRule>
    <cfRule type="containsText" dxfId="1902" priority="88" operator="containsText" text="N/A">
      <formula>NOT(ISERROR(SEARCH("N/A",G41)))</formula>
    </cfRule>
    <cfRule type="containsText" dxfId="1901" priority="89" operator="containsText" text="Exceeds">
      <formula>NOT(ISERROR(SEARCH("Exceeds",G41)))</formula>
    </cfRule>
    <cfRule type="containsText" dxfId="1900" priority="90" operator="containsText" text="Meets">
      <formula>NOT(ISERROR(SEARCH("Meets",G41)))</formula>
    </cfRule>
    <cfRule type="containsText" dxfId="1899"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{3BF44689-FACC-44A9-B4BF-F1EF98CA1BE3}</x14:id>
        </ext>
      </extLst>
    </cfRule>
  </conditionalFormatting>
  <conditionalFormatting sqref="G43">
    <cfRule type="containsText" dxfId="1898" priority="17" operator="containsText" text="Start">
      <formula>NOT(ISERROR(SEARCH("Start",G43)))</formula>
    </cfRule>
    <cfRule type="containsText" dxfId="1897" priority="16" operator="containsText" text="Stop">
      <formula>NOT(ISERROR(SEARCH("Stop",G43)))</formula>
    </cfRule>
    <cfRule type="containsText" dxfId="1896" priority="20" operator="containsText" text="Meets">
      <formula>NOT(ISERROR(SEARCH("Meets",G43)))</formula>
    </cfRule>
    <cfRule type="containsText" dxfId="1895" priority="15" operator="containsText" text="Continue">
      <formula>NOT(ISERROR(SEARCH("Continue",G43)))</formula>
    </cfRule>
    <cfRule type="containsText" dxfId="1894" priority="19" operator="containsText" text="Exceeds">
      <formula>NOT(ISERROR(SEARCH("Exceeds",G43)))</formula>
    </cfRule>
    <cfRule type="containsText" dxfId="1893" priority="21" operator="containsText" text="Under">
      <formula>NOT(ISERROR(SEARCH("Under",G43)))</formula>
    </cfRule>
    <cfRule type="containsText" dxfId="1892" priority="18" operator="containsText" text="N/A">
      <formula>NOT(ISERROR(SEARCH("N/A",G43)))</formula>
    </cfRule>
  </conditionalFormatting>
  <conditionalFormatting sqref="G47">
    <cfRule type="containsText" dxfId="1891" priority="78" operator="containsText" text="Stop">
      <formula>NOT(ISERROR(SEARCH("Stop",G47)))</formula>
    </cfRule>
    <cfRule type="containsText" dxfId="1890" priority="77" operator="containsText" text="Continue">
      <formula>NOT(ISERROR(SEARCH("Continue",G47)))</formula>
    </cfRule>
    <cfRule type="containsText" dxfId="1889" priority="79" operator="containsText" text="Start">
      <formula>NOT(ISERROR(SEARCH("Start",G47)))</formula>
    </cfRule>
    <cfRule type="containsText" dxfId="1888" priority="80" operator="containsText" text="N/A">
      <formula>NOT(ISERROR(SEARCH("N/A",G47)))</formula>
    </cfRule>
    <cfRule type="containsText" dxfId="1887" priority="81" operator="containsText" text="Exceeds">
      <formula>NOT(ISERROR(SEARCH("Exceeds",G47)))</formula>
    </cfRule>
    <cfRule type="containsText" dxfId="1886" priority="82" operator="containsText" text="Meets">
      <formula>NOT(ISERROR(SEARCH("Meets",G47)))</formula>
    </cfRule>
    <cfRule type="containsText" dxfId="1885"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{2165B865-0850-4FDC-8413-D1808E558E50}</x14:id>
        </ext>
      </extLst>
    </cfRule>
  </conditionalFormatting>
  <conditionalFormatting sqref="G49">
    <cfRule type="containsText" dxfId="1884" priority="14" operator="containsText" text="Under">
      <formula>NOT(ISERROR(SEARCH("Under",G49)))</formula>
    </cfRule>
    <cfRule type="containsText" dxfId="1883" priority="13" operator="containsText" text="Meets">
      <formula>NOT(ISERROR(SEARCH("Meets",G49)))</formula>
    </cfRule>
    <cfRule type="containsText" dxfId="1882" priority="12" operator="containsText" text="Exceeds">
      <formula>NOT(ISERROR(SEARCH("Exceeds",G49)))</formula>
    </cfRule>
    <cfRule type="containsText" dxfId="1881" priority="11" operator="containsText" text="N/A">
      <formula>NOT(ISERROR(SEARCH("N/A",G49)))</formula>
    </cfRule>
    <cfRule type="containsText" dxfId="1880" priority="10" operator="containsText" text="Start">
      <formula>NOT(ISERROR(SEARCH("Start",G49)))</formula>
    </cfRule>
    <cfRule type="containsText" dxfId="1879" priority="9" operator="containsText" text="Stop">
      <formula>NOT(ISERROR(SEARCH("Stop",G49)))</formula>
    </cfRule>
    <cfRule type="containsText" dxfId="1878" priority="8" operator="containsText" text="Continue">
      <formula>NOT(ISERROR(SEARCH("Continue",G49)))</formula>
    </cfRule>
  </conditionalFormatting>
  <conditionalFormatting sqref="G53">
    <cfRule type="containsText" dxfId="1877" priority="73" operator="containsText" text="Exceeds">
      <formula>NOT(ISERROR(SEARCH("Exceeds",G53)))</formula>
    </cfRule>
    <cfRule type="containsText" dxfId="1876" priority="69" operator="containsText" text="Continue">
      <formula>NOT(ISERROR(SEARCH("Continue",G53)))</formula>
    </cfRule>
    <cfRule type="containsText" dxfId="1875" priority="74" operator="containsText" text="Meets">
      <formula>NOT(ISERROR(SEARCH("Meets",G53)))</formula>
    </cfRule>
    <cfRule type="containsText" dxfId="1874" priority="71" operator="containsText" text="Start">
      <formula>NOT(ISERROR(SEARCH("Start",G53)))</formula>
    </cfRule>
    <cfRule type="containsText" dxfId="1873" priority="72" operator="containsText" text="N/A">
      <formula>NOT(ISERROR(SEARCH("N/A",G53)))</formula>
    </cfRule>
    <cfRule type="containsText" dxfId="1872" priority="75" operator="containsText" text="Under">
      <formula>NOT(ISERROR(SEARCH("Under",G53)))</formula>
    </cfRule>
    <cfRule type="containsText" dxfId="1871"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{19FBCC2B-2CDD-417C-89B7-915392BDC7C5}</x14:id>
        </ext>
      </extLst>
    </cfRule>
  </conditionalFormatting>
  <conditionalFormatting sqref="G55">
    <cfRule type="containsText" dxfId="1870" priority="7" operator="containsText" text="Under">
      <formula>NOT(ISERROR(SEARCH("Under",G55)))</formula>
    </cfRule>
    <cfRule type="containsText" dxfId="1869" priority="1" operator="containsText" text="Continue">
      <formula>NOT(ISERROR(SEARCH("Continue",G55)))</formula>
    </cfRule>
    <cfRule type="containsText" dxfId="1868" priority="2" operator="containsText" text="Stop">
      <formula>NOT(ISERROR(SEARCH("Stop",G55)))</formula>
    </cfRule>
    <cfRule type="containsText" dxfId="1867" priority="3" operator="containsText" text="Start">
      <formula>NOT(ISERROR(SEARCH("Start",G55)))</formula>
    </cfRule>
    <cfRule type="containsText" dxfId="1866" priority="4" operator="containsText" text="N/A">
      <formula>NOT(ISERROR(SEARCH("N/A",G55)))</formula>
    </cfRule>
    <cfRule type="containsText" dxfId="1865" priority="5" operator="containsText" text="Exceeds">
      <formula>NOT(ISERROR(SEARCH("Exceeds",G55)))</formula>
    </cfRule>
    <cfRule type="containsText" dxfId="1864" priority="6" operator="containsText" text="Meets">
      <formula>NOT(ISERROR(SEARCH("Meets",G55)))</formula>
    </cfRule>
  </conditionalFormatting>
  <conditionalFormatting sqref="G59">
    <cfRule type="containsText" dxfId="1863" priority="67" operator="containsText" text="Under">
      <formula>NOT(ISERROR(SEARCH("Under",G59)))</formula>
    </cfRule>
    <cfRule type="containsText" dxfId="1862" priority="66" operator="containsText" text="Meets">
      <formula>NOT(ISERROR(SEARCH("Meets",G59)))</formula>
    </cfRule>
    <cfRule type="containsText" dxfId="1861" priority="65" operator="containsText" text="Exceeds">
      <formula>NOT(ISERROR(SEARCH("Exceeds",G59)))</formula>
    </cfRule>
    <cfRule type="containsText" dxfId="1860" priority="61" operator="containsText" text="Continue">
      <formula>NOT(ISERROR(SEARCH("Continue",G59)))</formula>
    </cfRule>
    <cfRule type="containsText" dxfId="1859" priority="62" operator="containsText" text="Stop">
      <formula>NOT(ISERROR(SEARCH("Stop",G59)))</formula>
    </cfRule>
    <cfRule type="containsText" dxfId="1858" priority="63" operator="containsText" text="Start">
      <formula>NOT(ISERROR(SEARCH("Start",G59)))</formula>
    </cfRule>
    <cfRule type="containsText" dxfId="1857"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{9111B758-D2CB-4014-9808-4C23B3382C8D}</x14:id>
        </ext>
      </extLst>
    </cfRule>
  </conditionalFormatting>
  <conditionalFormatting sqref="G61">
    <cfRule type="containsText" dxfId="1856" priority="41" operator="containsText" text="Exceeds">
      <formula>NOT(ISERROR(SEARCH("Exceeds",G61)))</formula>
    </cfRule>
    <cfRule type="containsText" dxfId="1855" priority="42" operator="containsText" text="Meets">
      <formula>NOT(ISERROR(SEARCH("Meets",G61)))</formula>
    </cfRule>
    <cfRule type="containsText" dxfId="1854" priority="43" operator="containsText" text="Under">
      <formula>NOT(ISERROR(SEARCH("Under",G61)))</formula>
    </cfRule>
    <cfRule type="containsText" dxfId="1853" priority="40" operator="containsText" text="N/A">
      <formula>NOT(ISERROR(SEARCH("N/A",G61)))</formula>
    </cfRule>
    <cfRule type="containsText" dxfId="1852" priority="39" operator="containsText" text="Start">
      <formula>NOT(ISERROR(SEARCH("Start",G61)))</formula>
    </cfRule>
    <cfRule type="containsText" dxfId="1851" priority="38" operator="containsText" text="Stop">
      <formula>NOT(ISERROR(SEARCH("Stop",G61)))</formula>
    </cfRule>
    <cfRule type="containsText" dxfId="1850"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{A79747BA-D432-4FC7-B5EB-9AF0BA114EA7}</x14:id>
        </ext>
      </extLst>
    </cfRule>
  </conditionalFormatting>
  <conditionalFormatting sqref="G65">
    <cfRule type="containsText" dxfId="1849" priority="59" operator="containsText" text="Under">
      <formula>NOT(ISERROR(SEARCH("Under",G65)))</formula>
    </cfRule>
    <cfRule type="containsText" dxfId="1848" priority="57" operator="containsText" text="Exceeds">
      <formula>NOT(ISERROR(SEARCH("Exceeds",G65)))</formula>
    </cfRule>
    <cfRule type="containsText" dxfId="1847" priority="56" operator="containsText" text="N/A">
      <formula>NOT(ISERROR(SEARCH("N/A",G65)))</formula>
    </cfRule>
    <cfRule type="containsText" dxfId="1846" priority="53" operator="containsText" text="Continue">
      <formula>NOT(ISERROR(SEARCH("Continue",G65)))</formula>
    </cfRule>
    <cfRule type="containsText" dxfId="1845" priority="54" operator="containsText" text="Stop">
      <formula>NOT(ISERROR(SEARCH("Stop",G65)))</formula>
    </cfRule>
    <cfRule type="containsText" dxfId="1844" priority="58" operator="containsText" text="Meets">
      <formula>NOT(ISERROR(SEARCH("Meets",G65)))</formula>
    </cfRule>
    <cfRule type="containsText" dxfId="1843"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{FB5D7F91-4685-4F04-8EB0-8AF29CE255E4}</x14:id>
        </ext>
      </extLst>
    </cfRule>
  </conditionalFormatting>
  <conditionalFormatting sqref="G67">
    <cfRule type="containsText" dxfId="1842" priority="45" operator="containsText" text="Continue">
      <formula>NOT(ISERROR(SEARCH("Continue",G67)))</formula>
    </cfRule>
    <cfRule type="containsText" dxfId="1841" priority="47" operator="containsText" text="Start">
      <formula>NOT(ISERROR(SEARCH("Start",G67)))</formula>
    </cfRule>
    <cfRule type="containsText" dxfId="1840" priority="48" operator="containsText" text="N/A">
      <formula>NOT(ISERROR(SEARCH("N/A",G67)))</formula>
    </cfRule>
    <cfRule type="containsText" dxfId="1839" priority="49" operator="containsText" text="Exceeds">
      <formula>NOT(ISERROR(SEARCH("Exceeds",G67)))</formula>
    </cfRule>
    <cfRule type="containsText" dxfId="1838" priority="50" operator="containsText" text="Meets">
      <formula>NOT(ISERROR(SEARCH("Meets",G67)))</formula>
    </cfRule>
    <cfRule type="containsText" dxfId="1837" priority="46" operator="containsText" text="Stop">
      <formula>NOT(ISERROR(SEARCH("Stop",G67)))</formula>
    </cfRule>
    <cfRule type="containsText" dxfId="1836"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{8E3475B4-46DB-43BF-B320-528056E8BF4A}</x14:id>
        </ext>
      </extLst>
    </cfRule>
  </conditionalFormatting>
  <conditionalFormatting sqref="G159 G161">
    <cfRule type="containsText" dxfId="1835" priority="308" operator="containsText" text="Continue">
      <formula>NOT(ISERROR(SEARCH("Continue",G159)))</formula>
    </cfRule>
    <cfRule type="containsText" dxfId="1834" priority="309" operator="containsText" text="Stop">
      <formula>NOT(ISERROR(SEARCH("Stop",G159)))</formula>
    </cfRule>
    <cfRule type="containsText" dxfId="1833" priority="310" operator="containsText" text="Start">
      <formula>NOT(ISERROR(SEARCH("Start",G159)))</formula>
    </cfRule>
    <cfRule type="containsText" dxfId="1832" priority="311" operator="containsText" text="N/A">
      <formula>NOT(ISERROR(SEARCH("N/A",G159)))</formula>
    </cfRule>
    <cfRule type="containsText" dxfId="1831" priority="312" operator="containsText" text="Exceeds">
      <formula>NOT(ISERROR(SEARCH("Exceeds",G159)))</formula>
    </cfRule>
    <cfRule type="containsText" dxfId="1830" priority="314" operator="containsText" text="Under">
      <formula>NOT(ISERROR(SEARCH("Under",G159)))</formula>
    </cfRule>
    <cfRule type="containsText" dxfId="1829" priority="313" operator="containsText" text="Meets">
      <formula>NOT(ISERROR(SEARCH("Meets",G159)))</formula>
    </cfRule>
  </conditionalFormatting>
  <conditionalFormatting sqref="G164 G166">
    <cfRule type="containsText" dxfId="1828" priority="291" operator="containsText" text="Under">
      <formula>NOT(ISERROR(SEARCH("Under",G164)))</formula>
    </cfRule>
    <cfRule type="containsText" dxfId="1827" priority="285" operator="containsText" text="Continue">
      <formula>NOT(ISERROR(SEARCH("Continue",G164)))</formula>
    </cfRule>
    <cfRule type="containsText" dxfId="1826" priority="286" operator="containsText" text="Stop">
      <formula>NOT(ISERROR(SEARCH("Stop",G164)))</formula>
    </cfRule>
    <cfRule type="containsText" dxfId="1825" priority="288" operator="containsText" text="N/A">
      <formula>NOT(ISERROR(SEARCH("N/A",G164)))</formula>
    </cfRule>
    <cfRule type="containsText" dxfId="1824" priority="289" operator="containsText" text="Exceeds">
      <formula>NOT(ISERROR(SEARCH("Exceeds",G164)))</formula>
    </cfRule>
    <cfRule type="containsText" dxfId="1823" priority="290" operator="containsText" text="Meets">
      <formula>NOT(ISERROR(SEARCH("Meets",G164)))</formula>
    </cfRule>
    <cfRule type="containsText" dxfId="1822" priority="287" operator="containsText" text="Start">
      <formula>NOT(ISERROR(SEARCH("Start",G164)))</formula>
    </cfRule>
  </conditionalFormatting>
  <conditionalFormatting sqref="G169 G171">
    <cfRule type="containsText" dxfId="1821" priority="258" operator="containsText" text="N/A">
      <formula>NOT(ISERROR(SEARCH("N/A",G169)))</formula>
    </cfRule>
    <cfRule type="containsText" dxfId="1820" priority="259" operator="containsText" text="Exceeds">
      <formula>NOT(ISERROR(SEARCH("Exceeds",G169)))</formula>
    </cfRule>
    <cfRule type="containsText" dxfId="1819" priority="260" operator="containsText" text="Meets">
      <formula>NOT(ISERROR(SEARCH("Meets",G169)))</formula>
    </cfRule>
    <cfRule type="containsText" dxfId="1818" priority="261" operator="containsText" text="Under">
      <formula>NOT(ISERROR(SEARCH("Under",G169)))</formula>
    </cfRule>
    <cfRule type="containsText" dxfId="1817" priority="256" operator="containsText" text="Stop">
      <formula>NOT(ISERROR(SEARCH("Stop",G169)))</formula>
    </cfRule>
    <cfRule type="containsText" dxfId="1816" priority="257" operator="containsText" text="Start">
      <formula>NOT(ISERROR(SEARCH("Start",G169)))</formula>
    </cfRule>
    <cfRule type="containsText" dxfId="1815" priority="255" operator="containsText" text="Continue">
      <formula>NOT(ISERROR(SEARCH("Continue",G169)))</formula>
    </cfRule>
  </conditionalFormatting>
  <conditionalFormatting sqref="J29">
    <cfRule type="containsText" dxfId="1814" priority="374" operator="containsText" text="Continue">
      <formula>NOT(ISERROR(SEARCH("Continue",J29)))</formula>
    </cfRule>
    <cfRule type="containsText" dxfId="1813" priority="379" operator="containsText" text="Meets">
      <formula>NOT(ISERROR(SEARCH("Meets",J29)))</formula>
    </cfRule>
    <cfRule type="containsText" dxfId="1812" priority="380" operator="containsText" text="Under">
      <formula>NOT(ISERROR(SEARCH("Under",J29)))</formula>
    </cfRule>
    <cfRule type="containsText" dxfId="1811" priority="378" operator="containsText" text="Exceeds">
      <formula>NOT(ISERROR(SEARCH("Exceeds",J29)))</formula>
    </cfRule>
    <cfRule type="containsText" dxfId="1810" priority="377" operator="containsText" text="N/A">
      <formula>NOT(ISERROR(SEARCH("N/A",J29)))</formula>
    </cfRule>
    <cfRule type="containsText" dxfId="1809" priority="376" operator="containsText" text="Start">
      <formula>NOT(ISERROR(SEARCH("Start",J29)))</formula>
    </cfRule>
    <cfRule type="containsText" dxfId="1808" priority="375" operator="containsText" text="Stop">
      <formula>NOT(ISERROR(SEARCH("Stop",J29)))</formula>
    </cfRule>
  </conditionalFormatting>
  <conditionalFormatting sqref="J31">
    <cfRule type="containsText" dxfId="1807" priority="208" operator="containsText" text="Stop">
      <formula>NOT(ISERROR(SEARCH("Stop",J31)))</formula>
    </cfRule>
    <cfRule type="containsText" dxfId="1806" priority="212" operator="containsText" text="Meets">
      <formula>NOT(ISERROR(SEARCH("Meets",J31)))</formula>
    </cfRule>
    <cfRule type="containsText" dxfId="1805" priority="211" operator="containsText" text="Exceeds">
      <formula>NOT(ISERROR(SEARCH("Exceeds",J31)))</formula>
    </cfRule>
    <cfRule type="containsText" dxfId="1804" priority="210" operator="containsText" text="N/A">
      <formula>NOT(ISERROR(SEARCH("N/A",J31)))</formula>
    </cfRule>
    <cfRule type="containsText" dxfId="1803" priority="209" operator="containsText" text="Start">
      <formula>NOT(ISERROR(SEARCH("Start",J31)))</formula>
    </cfRule>
    <cfRule type="containsText" dxfId="1802" priority="207" operator="containsText" text="Continue">
      <formula>NOT(ISERROR(SEARCH("Continue",J31)))</formula>
    </cfRule>
    <cfRule type="containsText" dxfId="1801" priority="213" operator="containsText" text="Under">
      <formula>NOT(ISERROR(SEARCH("Under",J31)))</formula>
    </cfRule>
  </conditionalFormatting>
  <conditionalFormatting sqref="J35">
    <cfRule type="containsText" dxfId="1800" priority="205" operator="containsText" text="Under">
      <formula>NOT(ISERROR(SEARCH("Under",J35)))</formula>
    </cfRule>
    <cfRule type="containsText" dxfId="1799" priority="199" operator="containsText" text="Continue">
      <formula>NOT(ISERROR(SEARCH("Continue",J35)))</formula>
    </cfRule>
    <cfRule type="containsText" dxfId="1798" priority="200" operator="containsText" text="Stop">
      <formula>NOT(ISERROR(SEARCH("Stop",J35)))</formula>
    </cfRule>
    <cfRule type="containsText" dxfId="1797" priority="201" operator="containsText" text="Start">
      <formula>NOT(ISERROR(SEARCH("Start",J35)))</formula>
    </cfRule>
    <cfRule type="containsText" dxfId="1796" priority="204" operator="containsText" text="Meets">
      <formula>NOT(ISERROR(SEARCH("Meets",J35)))</formula>
    </cfRule>
    <cfRule type="containsText" dxfId="1795" priority="203" operator="containsText" text="Exceeds">
      <formula>NOT(ISERROR(SEARCH("Exceeds",J35)))</formula>
    </cfRule>
    <cfRule type="containsText" dxfId="1794" priority="202" operator="containsText" text="N/A">
      <formula>NOT(ISERROR(SEARCH("N/A",J35)))</formula>
    </cfRule>
  </conditionalFormatting>
  <conditionalFormatting sqref="J37">
    <cfRule type="containsText" dxfId="1793" priority="195" operator="containsText" text="N/A">
      <formula>NOT(ISERROR(SEARCH("N/A",J37)))</formula>
    </cfRule>
    <cfRule type="containsText" dxfId="1792" priority="196" operator="containsText" text="Exceeds">
      <formula>NOT(ISERROR(SEARCH("Exceeds",J37)))</formula>
    </cfRule>
    <cfRule type="containsText" dxfId="1791" priority="194" operator="containsText" text="Start">
      <formula>NOT(ISERROR(SEARCH("Start",J37)))</formula>
    </cfRule>
    <cfRule type="containsText" dxfId="1790" priority="193" operator="containsText" text="Stop">
      <formula>NOT(ISERROR(SEARCH("Stop",J37)))</formula>
    </cfRule>
    <cfRule type="containsText" dxfId="1789" priority="192" operator="containsText" text="Continue">
      <formula>NOT(ISERROR(SEARCH("Continue",J37)))</formula>
    </cfRule>
    <cfRule type="containsText" dxfId="1788" priority="197" operator="containsText" text="Meets">
      <formula>NOT(ISERROR(SEARCH("Meets",J37)))</formula>
    </cfRule>
    <cfRule type="containsText" dxfId="1787" priority="198" operator="containsText" text="Under">
      <formula>NOT(ISERROR(SEARCH("Under",J37)))</formula>
    </cfRule>
  </conditionalFormatting>
  <conditionalFormatting sqref="J41">
    <cfRule type="containsText" dxfId="1786" priority="189" operator="containsText" text="Meets">
      <formula>NOT(ISERROR(SEARCH("Meets",J41)))</formula>
    </cfRule>
    <cfRule type="containsText" dxfId="1785" priority="186" operator="containsText" text="Start">
      <formula>NOT(ISERROR(SEARCH("Start",J41)))</formula>
    </cfRule>
    <cfRule type="containsText" dxfId="1784" priority="187" operator="containsText" text="N/A">
      <formula>NOT(ISERROR(SEARCH("N/A",J41)))</formula>
    </cfRule>
    <cfRule type="containsText" dxfId="1783" priority="188" operator="containsText" text="Exceeds">
      <formula>NOT(ISERROR(SEARCH("Exceeds",J41)))</formula>
    </cfRule>
    <cfRule type="containsText" dxfId="1782" priority="190" operator="containsText" text="Under">
      <formula>NOT(ISERROR(SEARCH("Under",J41)))</formula>
    </cfRule>
    <cfRule type="containsText" dxfId="1781" priority="184" operator="containsText" text="Continue">
      <formula>NOT(ISERROR(SEARCH("Continue",J41)))</formula>
    </cfRule>
    <cfRule type="containsText" dxfId="1780" priority="185" operator="containsText" text="Stop">
      <formula>NOT(ISERROR(SEARCH("Stop",J41)))</formula>
    </cfRule>
  </conditionalFormatting>
  <conditionalFormatting sqref="J43">
    <cfRule type="containsText" dxfId="1779" priority="179" operator="containsText" text="Start">
      <formula>NOT(ISERROR(SEARCH("Start",J43)))</formula>
    </cfRule>
    <cfRule type="containsText" dxfId="1778" priority="182" operator="containsText" text="Meets">
      <formula>NOT(ISERROR(SEARCH("Meets",J43)))</formula>
    </cfRule>
    <cfRule type="containsText" dxfId="1777" priority="177" operator="containsText" text="Continue">
      <formula>NOT(ISERROR(SEARCH("Continue",J43)))</formula>
    </cfRule>
    <cfRule type="containsText" dxfId="1776" priority="180" operator="containsText" text="N/A">
      <formula>NOT(ISERROR(SEARCH("N/A",J43)))</formula>
    </cfRule>
    <cfRule type="containsText" dxfId="1775" priority="183" operator="containsText" text="Under">
      <formula>NOT(ISERROR(SEARCH("Under",J43)))</formula>
    </cfRule>
    <cfRule type="containsText" dxfId="1774" priority="181" operator="containsText" text="Exceeds">
      <formula>NOT(ISERROR(SEARCH("Exceeds",J43)))</formula>
    </cfRule>
    <cfRule type="containsText" dxfId="1773" priority="178" operator="containsText" text="Stop">
      <formula>NOT(ISERROR(SEARCH("Stop",J43)))</formula>
    </cfRule>
  </conditionalFormatting>
  <conditionalFormatting sqref="J47">
    <cfRule type="containsText" dxfId="1772" priority="173" operator="containsText" text="Exceeds">
      <formula>NOT(ISERROR(SEARCH("Exceeds",J47)))</formula>
    </cfRule>
    <cfRule type="containsText" dxfId="1771" priority="169" operator="containsText" text="Continue">
      <formula>NOT(ISERROR(SEARCH("Continue",J47)))</formula>
    </cfRule>
    <cfRule type="containsText" dxfId="1770" priority="170" operator="containsText" text="Stop">
      <formula>NOT(ISERROR(SEARCH("Stop",J47)))</formula>
    </cfRule>
    <cfRule type="containsText" dxfId="1769" priority="172" operator="containsText" text="N/A">
      <formula>NOT(ISERROR(SEARCH("N/A",J47)))</formula>
    </cfRule>
    <cfRule type="containsText" dxfId="1768" priority="174" operator="containsText" text="Meets">
      <formula>NOT(ISERROR(SEARCH("Meets",J47)))</formula>
    </cfRule>
    <cfRule type="containsText" dxfId="1767" priority="175" operator="containsText" text="Under">
      <formula>NOT(ISERROR(SEARCH("Under",J47)))</formula>
    </cfRule>
    <cfRule type="containsText" dxfId="1766" priority="171" operator="containsText" text="Start">
      <formula>NOT(ISERROR(SEARCH("Start",J47)))</formula>
    </cfRule>
  </conditionalFormatting>
  <conditionalFormatting sqref="J49">
    <cfRule type="containsText" dxfId="1765" priority="168" operator="containsText" text="Under">
      <formula>NOT(ISERROR(SEARCH("Under",J49)))</formula>
    </cfRule>
    <cfRule type="containsText" dxfId="1764" priority="163" operator="containsText" text="Stop">
      <formula>NOT(ISERROR(SEARCH("Stop",J49)))</formula>
    </cfRule>
    <cfRule type="containsText" dxfId="1763" priority="167" operator="containsText" text="Meets">
      <formula>NOT(ISERROR(SEARCH("Meets",J49)))</formula>
    </cfRule>
    <cfRule type="containsText" dxfId="1762" priority="164" operator="containsText" text="Start">
      <formula>NOT(ISERROR(SEARCH("Start",J49)))</formula>
    </cfRule>
    <cfRule type="containsText" dxfId="1761" priority="162" operator="containsText" text="Continue">
      <formula>NOT(ISERROR(SEARCH("Continue",J49)))</formula>
    </cfRule>
    <cfRule type="containsText" dxfId="1760" priority="165" operator="containsText" text="N/A">
      <formula>NOT(ISERROR(SEARCH("N/A",J49)))</formula>
    </cfRule>
    <cfRule type="containsText" dxfId="1759" priority="166" operator="containsText" text="Exceeds">
      <formula>NOT(ISERROR(SEARCH("Exceeds",J49)))</formula>
    </cfRule>
  </conditionalFormatting>
  <conditionalFormatting sqref="J53">
    <cfRule type="containsText" dxfId="1758" priority="154" operator="containsText" text="Continue">
      <formula>NOT(ISERROR(SEARCH("Continue",J53)))</formula>
    </cfRule>
    <cfRule type="containsText" dxfId="1757" priority="155" operator="containsText" text="Stop">
      <formula>NOT(ISERROR(SEARCH("Stop",J53)))</formula>
    </cfRule>
    <cfRule type="containsText" dxfId="1756" priority="156" operator="containsText" text="Start">
      <formula>NOT(ISERROR(SEARCH("Start",J53)))</formula>
    </cfRule>
    <cfRule type="containsText" dxfId="1755" priority="157" operator="containsText" text="N/A">
      <formula>NOT(ISERROR(SEARCH("N/A",J53)))</formula>
    </cfRule>
    <cfRule type="containsText" dxfId="1754" priority="158" operator="containsText" text="Exceeds">
      <formula>NOT(ISERROR(SEARCH("Exceeds",J53)))</formula>
    </cfRule>
    <cfRule type="containsText" dxfId="1753" priority="159" operator="containsText" text="Meets">
      <formula>NOT(ISERROR(SEARCH("Meets",J53)))</formula>
    </cfRule>
    <cfRule type="containsText" dxfId="1752" priority="160" operator="containsText" text="Under">
      <formula>NOT(ISERROR(SEARCH("Under",J53)))</formula>
    </cfRule>
  </conditionalFormatting>
  <conditionalFormatting sqref="J55">
    <cfRule type="containsText" dxfId="1751" priority="147" operator="containsText" text="Continue">
      <formula>NOT(ISERROR(SEARCH("Continue",J55)))</formula>
    </cfRule>
    <cfRule type="containsText" dxfId="1750" priority="151" operator="containsText" text="Exceeds">
      <formula>NOT(ISERROR(SEARCH("Exceeds",J55)))</formula>
    </cfRule>
    <cfRule type="containsText" dxfId="1749" priority="152" operator="containsText" text="Meets">
      <formula>NOT(ISERROR(SEARCH("Meets",J55)))</formula>
    </cfRule>
    <cfRule type="containsText" dxfId="1748" priority="153" operator="containsText" text="Under">
      <formula>NOT(ISERROR(SEARCH("Under",J55)))</formula>
    </cfRule>
    <cfRule type="containsText" dxfId="1747" priority="148" operator="containsText" text="Stop">
      <formula>NOT(ISERROR(SEARCH("Stop",J55)))</formula>
    </cfRule>
    <cfRule type="containsText" dxfId="1746" priority="149" operator="containsText" text="Start">
      <formula>NOT(ISERROR(SEARCH("Start",J55)))</formula>
    </cfRule>
    <cfRule type="containsText" dxfId="1745" priority="150" operator="containsText" text="N/A">
      <formula>NOT(ISERROR(SEARCH("N/A",J55)))</formula>
    </cfRule>
  </conditionalFormatting>
  <conditionalFormatting sqref="J59">
    <cfRule type="containsText" dxfId="1744" priority="139" operator="containsText" text="Continue">
      <formula>NOT(ISERROR(SEARCH("Continue",J59)))</formula>
    </cfRule>
    <cfRule type="containsText" dxfId="1743" priority="140" operator="containsText" text="Stop">
      <formula>NOT(ISERROR(SEARCH("Stop",J59)))</formula>
    </cfRule>
    <cfRule type="containsText" dxfId="1742" priority="141" operator="containsText" text="Start">
      <formula>NOT(ISERROR(SEARCH("Start",J59)))</formula>
    </cfRule>
    <cfRule type="containsText" dxfId="1741" priority="142" operator="containsText" text="N/A">
      <formula>NOT(ISERROR(SEARCH("N/A",J59)))</formula>
    </cfRule>
    <cfRule type="containsText" dxfId="1740" priority="143" operator="containsText" text="Exceeds">
      <formula>NOT(ISERROR(SEARCH("Exceeds",J59)))</formula>
    </cfRule>
    <cfRule type="containsText" dxfId="1739" priority="144" operator="containsText" text="Meets">
      <formula>NOT(ISERROR(SEARCH("Meets",J59)))</formula>
    </cfRule>
    <cfRule type="containsText" dxfId="1738" priority="145" operator="containsText" text="Under">
      <formula>NOT(ISERROR(SEARCH("Under",J59)))</formula>
    </cfRule>
  </conditionalFormatting>
  <conditionalFormatting sqref="J61">
    <cfRule type="containsText" dxfId="1737" priority="134" operator="containsText" text="Start">
      <formula>NOT(ISERROR(SEARCH("Start",J61)))</formula>
    </cfRule>
    <cfRule type="containsText" dxfId="1736" priority="133" operator="containsText" text="Stop">
      <formula>NOT(ISERROR(SEARCH("Stop",J61)))</formula>
    </cfRule>
    <cfRule type="containsText" dxfId="1735" priority="135" operator="containsText" text="N/A">
      <formula>NOT(ISERROR(SEARCH("N/A",J61)))</formula>
    </cfRule>
    <cfRule type="containsText" dxfId="1734" priority="132" operator="containsText" text="Continue">
      <formula>NOT(ISERROR(SEARCH("Continue",J61)))</formula>
    </cfRule>
    <cfRule type="containsText" dxfId="1733" priority="136" operator="containsText" text="Exceeds">
      <formula>NOT(ISERROR(SEARCH("Exceeds",J61)))</formula>
    </cfRule>
    <cfRule type="containsText" dxfId="1732" priority="137" operator="containsText" text="Meets">
      <formula>NOT(ISERROR(SEARCH("Meets",J61)))</formula>
    </cfRule>
    <cfRule type="containsText" dxfId="1731" priority="138" operator="containsText" text="Under">
      <formula>NOT(ISERROR(SEARCH("Under",J61)))</formula>
    </cfRule>
  </conditionalFormatting>
  <conditionalFormatting sqref="J65">
    <cfRule type="containsText" dxfId="1730" priority="127" operator="containsText" text="N/A">
      <formula>NOT(ISERROR(SEARCH("N/A",J65)))</formula>
    </cfRule>
    <cfRule type="containsText" dxfId="1729" priority="126" operator="containsText" text="Start">
      <formula>NOT(ISERROR(SEARCH("Start",J65)))</formula>
    </cfRule>
    <cfRule type="containsText" dxfId="1728" priority="125" operator="containsText" text="Stop">
      <formula>NOT(ISERROR(SEARCH("Stop",J65)))</formula>
    </cfRule>
    <cfRule type="containsText" dxfId="1727" priority="124" operator="containsText" text="Continue">
      <formula>NOT(ISERROR(SEARCH("Continue",J65)))</formula>
    </cfRule>
    <cfRule type="containsText" dxfId="1726" priority="130" operator="containsText" text="Under">
      <formula>NOT(ISERROR(SEARCH("Under",J65)))</formula>
    </cfRule>
    <cfRule type="containsText" dxfId="1725" priority="129" operator="containsText" text="Meets">
      <formula>NOT(ISERROR(SEARCH("Meets",J65)))</formula>
    </cfRule>
    <cfRule type="containsText" dxfId="1724" priority="128" operator="containsText" text="Exceeds">
      <formula>NOT(ISERROR(SEARCH("Exceeds",J65)))</formula>
    </cfRule>
  </conditionalFormatting>
  <conditionalFormatting sqref="J67">
    <cfRule type="containsText" dxfId="1723" priority="121" operator="containsText" text="Exceeds">
      <formula>NOT(ISERROR(SEARCH("Exceeds",J67)))</formula>
    </cfRule>
    <cfRule type="containsText" dxfId="1722" priority="120" operator="containsText" text="N/A">
      <formula>NOT(ISERROR(SEARCH("N/A",J67)))</formula>
    </cfRule>
    <cfRule type="containsText" dxfId="1721" priority="119" operator="containsText" text="Start">
      <formula>NOT(ISERROR(SEARCH("Start",J67)))</formula>
    </cfRule>
    <cfRule type="containsText" dxfId="1720" priority="118" operator="containsText" text="Stop">
      <formula>NOT(ISERROR(SEARCH("Stop",J67)))</formula>
    </cfRule>
    <cfRule type="containsText" dxfId="1719" priority="117" operator="containsText" text="Continue">
      <formula>NOT(ISERROR(SEARCH("Continue",J67)))</formula>
    </cfRule>
    <cfRule type="containsText" dxfId="1718" priority="123" operator="containsText" text="Under">
      <formula>NOT(ISERROR(SEARCH("Under",J67)))</formula>
    </cfRule>
    <cfRule type="containsText" dxfId="1717" priority="122" operator="containsText" text="Meets">
      <formula>NOT(ISERROR(SEARCH("Meets",J67)))</formula>
    </cfRule>
  </conditionalFormatting>
  <conditionalFormatting sqref="J154:J156">
    <cfRule type="containsText" dxfId="1716" priority="106" operator="containsText" text="Under">
      <formula>NOT(ISERROR(SEARCH("Under",J154)))</formula>
    </cfRule>
    <cfRule type="containsText" dxfId="1715" priority="105" operator="containsText" text="Meets">
      <formula>NOT(ISERROR(SEARCH("Meets",J154)))</formula>
    </cfRule>
    <cfRule type="containsText" dxfId="1714" priority="104" operator="containsText" text="Exceeds">
      <formula>NOT(ISERROR(SEARCH("Exceeds",J154)))</formula>
    </cfRule>
    <cfRule type="containsText" dxfId="1713" priority="103" operator="containsText" text="N/A">
      <formula>NOT(ISERROR(SEARCH("N/A",J154)))</formula>
    </cfRule>
    <cfRule type="containsText" dxfId="1712" priority="102" operator="containsText" text="Start">
      <formula>NOT(ISERROR(SEARCH("Start",J154)))</formula>
    </cfRule>
    <cfRule type="containsText" dxfId="1711" priority="101" operator="containsText" text="Stop">
      <formula>NOT(ISERROR(SEARCH("Stop",J154)))</formula>
    </cfRule>
    <cfRule type="containsText" dxfId="1710"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{DEC23FE8-FA19-4982-B753-8D421C7A5B7F}</x14:id>
        </ext>
      </extLst>
    </cfRule>
    <cfRule type="dataBar" priority="107">
      <dataBar>
        <cfvo type="num" val="0"/>
        <cfvo type="num" val="1"/>
        <color theme="0" tint="-0.249977111117893"/>
      </dataBar>
      <extLst>
        <ext xmlns:x14="http://schemas.microsoft.com/office/spreadsheetml/2009/9/main" uri="{B025F937-C7B1-47D3-B67F-A62EFF666E3E}">
          <x14:id>{F3F82BB7-B195-47F2-8FE6-D16E3A59C64A}</x14:id>
        </ext>
      </extLst>
    </cfRule>
  </conditionalFormatting>
  <conditionalFormatting sqref="J159 J164">
    <cfRule type="containsText" dxfId="1709" priority="435" operator="containsText" text="Stop">
      <formula>NOT(ISERROR(SEARCH("Stop",J159)))</formula>
    </cfRule>
    <cfRule type="containsText" dxfId="1708" priority="437" operator="containsText" text="N/A">
      <formula>NOT(ISERROR(SEARCH("N/A",J159)))</formula>
    </cfRule>
    <cfRule type="containsText" dxfId="1707" priority="436" operator="containsText" text="Start">
      <formula>NOT(ISERROR(SEARCH("Start",J159)))</formula>
    </cfRule>
    <cfRule type="containsText" dxfId="1706" priority="438" operator="containsText" text="Exceeds">
      <formula>NOT(ISERROR(SEARCH("Exceeds",J159)))</formula>
    </cfRule>
    <cfRule type="containsText" dxfId="1705" priority="439" operator="containsText" text="Meets">
      <formula>NOT(ISERROR(SEARCH("Meets",J159)))</formula>
    </cfRule>
    <cfRule type="containsText" dxfId="1704" priority="440" operator="containsText" text="Under">
      <formula>NOT(ISERROR(SEARCH("Under",J159)))</formula>
    </cfRule>
    <cfRule type="containsText" dxfId="1703" priority="434" operator="containsText" text="Continue">
      <formula>NOT(ISERROR(SEARCH("Continue",J159)))</formula>
    </cfRule>
  </conditionalFormatting>
  <conditionalFormatting sqref="J161">
    <cfRule type="containsText" dxfId="1702" priority="306" operator="containsText" text="Meets">
      <formula>NOT(ISERROR(SEARCH("Meets",J161)))</formula>
    </cfRule>
    <cfRule type="containsText" dxfId="1701" priority="305" operator="containsText" text="Exceeds">
      <formula>NOT(ISERROR(SEARCH("Exceeds",J161)))</formula>
    </cfRule>
    <cfRule type="containsText" dxfId="1700" priority="304" operator="containsText" text="N/A">
      <formula>NOT(ISERROR(SEARCH("N/A",J161)))</formula>
    </cfRule>
    <cfRule type="containsText" dxfId="1699" priority="303" operator="containsText" text="Start">
      <formula>NOT(ISERROR(SEARCH("Start",J161)))</formula>
    </cfRule>
    <cfRule type="containsText" dxfId="1698" priority="302" operator="containsText" text="Stop">
      <formula>NOT(ISERROR(SEARCH("Stop",J161)))</formula>
    </cfRule>
    <cfRule type="containsText" dxfId="1697" priority="301" operator="containsText" text="Continue">
      <formula>NOT(ISERROR(SEARCH("Continue",J161)))</formula>
    </cfRule>
    <cfRule type="containsText" dxfId="1696" priority="307" operator="containsText" text="Under">
      <formula>NOT(ISERROR(SEARCH("Under",J161)))</formula>
    </cfRule>
  </conditionalFormatting>
  <conditionalFormatting sqref="J166">
    <cfRule type="containsText" dxfId="1695" priority="282" operator="containsText" text="Exceeds">
      <formula>NOT(ISERROR(SEARCH("Exceeds",J166)))</formula>
    </cfRule>
    <cfRule type="containsText" dxfId="1694" priority="284" operator="containsText" text="Under">
      <formula>NOT(ISERROR(SEARCH("Under",J166)))</formula>
    </cfRule>
    <cfRule type="containsText" dxfId="1693" priority="281" operator="containsText" text="N/A">
      <formula>NOT(ISERROR(SEARCH("N/A",J166)))</formula>
    </cfRule>
    <cfRule type="containsText" dxfId="1692" priority="280" operator="containsText" text="Start">
      <formula>NOT(ISERROR(SEARCH("Start",J166)))</formula>
    </cfRule>
    <cfRule type="containsText" dxfId="1691" priority="279" operator="containsText" text="Stop">
      <formula>NOT(ISERROR(SEARCH("Stop",J166)))</formula>
    </cfRule>
    <cfRule type="containsText" dxfId="1690" priority="278" operator="containsText" text="Continue">
      <formula>NOT(ISERROR(SEARCH("Continue",J166)))</formula>
    </cfRule>
    <cfRule type="containsText" dxfId="1689" priority="283" operator="containsText" text="Meets">
      <formula>NOT(ISERROR(SEARCH("Meets",J166)))</formula>
    </cfRule>
  </conditionalFormatting>
  <conditionalFormatting sqref="J169">
    <cfRule type="containsText" dxfId="1688" priority="273" operator="containsText" text="Start">
      <formula>NOT(ISERROR(SEARCH("Start",J169)))</formula>
    </cfRule>
    <cfRule type="containsText" dxfId="1687" priority="272" operator="containsText" text="Stop">
      <formula>NOT(ISERROR(SEARCH("Stop",J169)))</formula>
    </cfRule>
    <cfRule type="containsText" dxfId="1686" priority="276" operator="containsText" text="Meets">
      <formula>NOT(ISERROR(SEARCH("Meets",J169)))</formula>
    </cfRule>
    <cfRule type="containsText" dxfId="1685" priority="271" operator="containsText" text="Continue">
      <formula>NOT(ISERROR(SEARCH("Continue",J169)))</formula>
    </cfRule>
    <cfRule type="containsText" dxfId="1684" priority="277" operator="containsText" text="Under">
      <formula>NOT(ISERROR(SEARCH("Under",J169)))</formula>
    </cfRule>
    <cfRule type="containsText" dxfId="1683" priority="274" operator="containsText" text="N/A">
      <formula>NOT(ISERROR(SEARCH("N/A",J169)))</formula>
    </cfRule>
    <cfRule type="containsText" dxfId="1682" priority="275" operator="containsText" text="Exceeds">
      <formula>NOT(ISERROR(SEARCH("Exceeds",J169)))</formula>
    </cfRule>
  </conditionalFormatting>
  <conditionalFormatting sqref="J171">
    <cfRule type="containsText" dxfId="1681" priority="248" operator="containsText" text="Continue">
      <formula>NOT(ISERROR(SEARCH("Continue",J171)))</formula>
    </cfRule>
    <cfRule type="containsText" dxfId="1680" priority="249" operator="containsText" text="Stop">
      <formula>NOT(ISERROR(SEARCH("Stop",J171)))</formula>
    </cfRule>
    <cfRule type="containsText" dxfId="1679" priority="251" operator="containsText" text="N/A">
      <formula>NOT(ISERROR(SEARCH("N/A",J171)))</formula>
    </cfRule>
    <cfRule type="containsText" dxfId="1678" priority="252" operator="containsText" text="Exceeds">
      <formula>NOT(ISERROR(SEARCH("Exceeds",J171)))</formula>
    </cfRule>
    <cfRule type="containsText" dxfId="1677" priority="250" operator="containsText" text="Start">
      <formula>NOT(ISERROR(SEARCH("Start",J171)))</formula>
    </cfRule>
    <cfRule type="containsText" dxfId="1676" priority="253" operator="containsText" text="Meets">
      <formula>NOT(ISERROR(SEARCH("Meets",J171)))</formula>
    </cfRule>
    <cfRule type="containsText" dxfId="1675" priority="254" operator="containsText" text="Under">
      <formula>NOT(ISERROR(SEARCH("Under",J171)))</formula>
    </cfRule>
  </conditionalFormatting>
  <conditionalFormatting sqref="M62 M68">
    <cfRule type="containsText" dxfId="1674" priority="448" operator="containsText" text="N/A">
      <formula>NOT(ISERROR(SEARCH("N/A",M62)))</formula>
    </cfRule>
    <cfRule type="containsText" dxfId="1673" priority="449" operator="containsText" text="Exceeds">
      <formula>NOT(ISERROR(SEARCH("Exceeds",M62)))</formula>
    </cfRule>
    <cfRule type="containsText" dxfId="1672" priority="450" operator="containsText" text="Meets">
      <formula>NOT(ISERROR(SEARCH("Meets",M62)))</formula>
    </cfRule>
    <cfRule type="containsText" dxfId="1671" priority="451" operator="containsText" text="Under">
      <formula>NOT(ISERROR(SEARCH("Under",M62)))</formula>
    </cfRule>
  </conditionalFormatting>
  <conditionalFormatting sqref="Q14:Q16">
    <cfRule type="containsText" dxfId="1670" priority="453" operator="containsText" text="Exceeds">
      <formula>NOT(ISERROR(SEARCH("Exceeds",Q14)))</formula>
    </cfRule>
    <cfRule type="containsText" dxfId="1669" priority="454" operator="containsText" text="Meets">
      <formula>NOT(ISERROR(SEARCH("Meets",Q14)))</formula>
    </cfRule>
    <cfRule type="containsText" dxfId="1668" priority="455" operator="containsText" text="Under">
      <formula>NOT(ISERROR(SEARCH("Under",Q14)))</formula>
    </cfRule>
    <cfRule type="containsText" dxfId="1667" priority="452" operator="containsText" text="N/A">
      <formula>NOT(ISERROR(SEARCH("N/A",Q14)))</formula>
    </cfRule>
  </conditionalFormatting>
  <dataValidations count="8">
    <dataValidation type="list" allowBlank="1" showInputMessage="1" showErrorMessage="1" sqref="J73:J80" xr:uid="{B151917B-134E-4CDF-9ADB-1F25DD1E2E5D}">
      <formula1>"Yes, No"</formula1>
    </dataValidation>
    <dataValidation type="list" allowBlank="1" showInputMessage="1" showErrorMessage="1" sqref="G73:G80" xr:uid="{E38CADAE-84BF-46BA-B1FF-65A70994A206}">
      <formula1>"Online self-paced, Online, Hybrid, In person, Peer learning"</formula1>
    </dataValidation>
    <dataValidation type="list" allowBlank="1" showInputMessage="1" showErrorMessage="1" sqref="F178:F179" xr:uid="{E1863689-71B9-490D-9B67-21AAB050F079}">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C7DA65AF-1920-46B0-B3DD-A1E59D88C79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BAEDBFB5-2DD5-4524-B8E4-61E00B1B31C2}"/>
    <dataValidation allowBlank="1" showInputMessage="1" showErrorMessage="1" prompt="Cells I9 through BL9 contain the day number of the month for the Month represented in the cell block above each date cell and are auto calculated._x000a_Do not modify these cells._x000a_" sqref="A8:C8" xr:uid="{560C3F2F-84E9-4F88-94DA-ACFFD0A2E97D}"/>
    <dataValidation allowBlank="1" showInputMessage="1" showErrorMessage="1" prompt="Enter Company Name in cell B4._x000a_A legend is in cells I4 through AC4.  The Legend label is in cell G4." sqref="A2:C2" xr:uid="{A3E058ED-F7E3-4848-A720-2A7CA04D381D}"/>
    <dataValidation type="list" allowBlank="1" showInputMessage="1" showErrorMessage="1" sqref="L73:L80" xr:uid="{19260475-799E-4FA9-9329-51A73B0A4F82}">
      <formula1>"0, 1, 2, 3, 4, 5, 6, 7, 8, 9, 10"</formula1>
    </dataValidation>
  </dataValidations>
  <hyperlinks>
    <hyperlink ref="G85:H85" r:id="rId1" location=":~:text=use%20the%20method.-,Examples%20of%20SMART%20Goals,-We%20will%C2%A0create" display="Examples of SMART Goals" xr:uid="{1907C9FF-3AE4-44C7-9265-0DE52E1EAD13}"/>
    <hyperlink ref="G85" r:id="rId2" location=":~:text=Examples%20of%20S.M.A.R.T.%20Goals" display="https://www.forbes.com/advisor/business/smart-goals/#:~:text=Examples%20of%20S.M.A.R.T.%20Goals" xr:uid="{8E03887F-C315-4B93-B6BB-626BC712B780}"/>
    <hyperlink ref="I85" r:id="rId3" location=":~:text=use%20the%20method.-,Examples%20of%20SMART%20Goals,-We%20will%C2%A0create" display="Examples of SMART Goals" xr:uid="{5E72723E-2E49-45F3-B6CF-13A30D16E65E}"/>
  </hyperlinks>
  <printOptions horizontalCentered="1"/>
  <pageMargins left="0.23622047244094491" right="0.23622047244094491" top="0.39370078740157483" bottom="0.39370078740157483" header="0.39370078740157483" footer="0.31496062992125984"/>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F1BC6584-EFF1-43E5-AF41-73E9813CF5CC}">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D308A892-55A3-4EC2-AE13-260B1737DEAB}">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1C0C1D8-E7C5-4C09-8042-EE9C63E1BD3E}">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5DF36C-D9EE-49DF-A031-46A7355C99D4}">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1721BD83-598F-4F51-A56A-1AC61D795152}">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A917121-117D-46CE-BACF-2C84EC856F1F}">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DFDD840B-D0FB-40FD-A752-A767D7CBD9D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791F70D3-2B4D-4413-8A66-C2BBB368C100}">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8339088B-F026-492E-A5FA-F7F341BA94E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CB8AA88-7BE0-47DB-B33E-142DA08A7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C84C9913-EF46-44B9-A8B1-8BCDF2E3BC9A}">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337B14A-458A-4FC8-BF5C-49069A4FC38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CE8E384-2171-4A35-8A2B-9B7BD92E3C6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D64DF44B-67DC-4DAD-AC10-2CFF617BCC50}">
            <x14:dataBar minLength="0" maxLength="100" gradient="0">
              <x14:cfvo type="num">
                <xm:f>0</xm:f>
              </x14:cfvo>
              <x14:cfvo type="num">
                <xm:f>1</xm:f>
              </x14:cfvo>
              <x14:negativeFillColor rgb="FFFF0000"/>
              <x14:axisColor rgb="FF000000"/>
            </x14:dataBar>
          </x14:cfRule>
          <x14:cfRule type="dataBar" id="{7520A4A5-22AE-4D4C-BB67-85CE8EB8301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5C10D21B-130B-41B6-BE1D-F857A08D6CB2}">
            <x14:dataBar minLength="0" maxLength="100" gradient="0">
              <x14:cfvo type="num">
                <xm:f>0</xm:f>
              </x14:cfvo>
              <x14:cfvo type="num">
                <xm:f>1</xm:f>
              </x14:cfvo>
              <x14:negativeFillColor rgb="FFFF0000"/>
              <x14:axisColor rgb="FF000000"/>
            </x14:dataBar>
          </x14:cfRule>
          <x14:cfRule type="dataBar" id="{AC8B0B57-D44B-4BF9-94A1-7CC2C3E2823D}">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ED5CCEDB-1545-49BF-8C1A-62659B677999}">
            <x14:dataBar minLength="0" maxLength="100" gradient="0">
              <x14:cfvo type="num">
                <xm:f>0</xm:f>
              </x14:cfvo>
              <x14:cfvo type="num">
                <xm:f>1</xm:f>
              </x14:cfvo>
              <x14:negativeFillColor rgb="FFFF0000"/>
              <x14:axisColor rgb="FF000000"/>
            </x14:dataBar>
          </x14:cfRule>
          <x14:cfRule type="dataBar" id="{045A0DC2-854E-409A-B0EE-C6B6BA22E048}">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7D833A53-48DB-4924-B932-81BE84C9E793}">
            <x14:dataBar minLength="0" maxLength="100" gradient="0">
              <x14:cfvo type="num">
                <xm:f>0</xm:f>
              </x14:cfvo>
              <x14:cfvo type="num">
                <xm:f>1</xm:f>
              </x14:cfvo>
              <x14:negativeFillColor rgb="FFFF0000"/>
              <x14:axisColor rgb="FF000000"/>
            </x14:dataBar>
          </x14:cfRule>
          <x14:cfRule type="dataBar" id="{2A460C8C-8591-4CDF-9CDD-125840BF36EC}">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3F3D98C3-5E65-427A-9884-29BDE58CB75C}">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9A49CDC1-9F75-42DA-A1FD-142CDC5A6C0E}">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E3BE7522-D6D6-445E-916E-C239500B61D5}">
            <x14:dataBar minLength="0" maxLength="100" gradient="0">
              <x14:cfvo type="num">
                <xm:f>0</xm:f>
              </x14:cfvo>
              <x14:cfvo type="num">
                <xm:f>1</xm:f>
              </x14:cfvo>
              <x14:negativeFillColor rgb="FFFF0000"/>
              <x14:axisColor rgb="FF000000"/>
            </x14:dataBar>
          </x14:cfRule>
          <x14:cfRule type="dataBar" id="{4DBBD331-4BD1-4FF2-81CB-A5740D94B6E6}">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2C4FF909-A75E-46CE-BCBD-CA8A37804180}">
            <x14:dataBar minLength="0" maxLength="100" gradient="0">
              <x14:cfvo type="num">
                <xm:f>0</xm:f>
              </x14:cfvo>
              <x14:cfvo type="num">
                <xm:f>1</xm:f>
              </x14:cfvo>
              <x14:negativeFillColor rgb="FFFF0000"/>
              <x14:axisColor rgb="FF000000"/>
            </x14:dataBar>
          </x14:cfRule>
          <x14:cfRule type="dataBar" id="{2494F7C9-8399-4D5C-8B76-8FE9B9824EFD}">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D071B08E-FA81-4B1D-9622-C4D61FD071B9}">
            <x14:dataBar minLength="0" maxLength="100" gradient="0">
              <x14:cfvo type="num">
                <xm:f>0</xm:f>
              </x14:cfvo>
              <x14:cfvo type="num">
                <xm:f>1</xm:f>
              </x14:cfvo>
              <x14:negativeFillColor rgb="FFFF0000"/>
              <x14:axisColor rgb="FF000000"/>
            </x14:dataBar>
          </x14:cfRule>
          <x14:cfRule type="dataBar" id="{718EACF8-DA16-4477-BE23-B57E588973E0}">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E6E5169D-5CA2-4CAC-BEF4-62EE4ED46D67}">
            <x14:dataBar minLength="0" maxLength="100" gradient="0">
              <x14:cfvo type="num">
                <xm:f>0</xm:f>
              </x14:cfvo>
              <x14:cfvo type="num">
                <xm:f>1</xm:f>
              </x14:cfvo>
              <x14:negativeFillColor rgb="FFFF0000"/>
              <x14:axisColor rgb="FF000000"/>
            </x14:dataBar>
          </x14:cfRule>
          <x14:cfRule type="dataBar" id="{BD950648-B2A2-43B1-8738-D32A84FF9AF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C8B6CBE8-8B21-4A47-8E07-75B1616CD9D2}">
            <x14:dataBar minLength="0" maxLength="100" gradient="0">
              <x14:cfvo type="num">
                <xm:f>0</xm:f>
              </x14:cfvo>
              <x14:cfvo type="num">
                <xm:f>1</xm:f>
              </x14:cfvo>
              <x14:negativeFillColor rgb="FFFF0000"/>
              <x14:axisColor rgb="FF000000"/>
            </x14:dataBar>
          </x14:cfRule>
          <x14:cfRule type="dataBar" id="{5D21A742-2DA6-4D03-9733-DA91F546D5C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6B504D0D-45ED-4A5B-A062-32BE5DCB7215}">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3BF44689-FACC-44A9-B4BF-F1EF98CA1BE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165B865-0850-4FDC-8413-D1808E558E50}">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9FBCC2B-2CDD-417C-89B7-915392BDC7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9111B758-D2CB-4014-9808-4C23B3382C8D}">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A79747BA-D432-4FC7-B5EB-9AF0BA114EA7}">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FB5D7F91-4685-4F04-8EB0-8AF29CE255E4}">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8E3475B4-46DB-43BF-B320-528056E8BF4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DEC23FE8-FA19-4982-B753-8D421C7A5B7F}">
            <x14:dataBar minLength="0" maxLength="100" gradient="0">
              <x14:cfvo type="num">
                <xm:f>0</xm:f>
              </x14:cfvo>
              <x14:cfvo type="num">
                <xm:f>1</xm:f>
              </x14:cfvo>
              <x14:negativeFillColor rgb="FFFF0000"/>
              <x14:axisColor rgb="FF000000"/>
            </x14:dataBar>
          </x14:cfRule>
          <x14:cfRule type="dataBar" id="{F3F82BB7-B195-47F2-8FE6-D16E3A59C64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01DB-3FBF-4463-9401-673078E40422}">
  <sheetPr>
    <pageSetUpPr autoPageBreaks="0" fitToPage="1"/>
  </sheetPr>
  <dimension ref="A1:Q191"/>
  <sheetViews>
    <sheetView topLeftCell="A162" zoomScale="40" zoomScaleNormal="4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2" t="str">
        <f>'CC 2023'!E2</f>
        <v>Employee Name</v>
      </c>
      <c r="F2" s="542"/>
      <c r="G2" s="542"/>
      <c r="H2" s="542"/>
      <c r="I2" s="150"/>
      <c r="J2" s="150"/>
      <c r="K2" s="133"/>
      <c r="L2" s="144" t="e">
        <f>CONCATENATE(G146,"/",Q174)</f>
        <v>#DIV/0!</v>
      </c>
      <c r="M2" s="151"/>
      <c r="O2" s="149"/>
    </row>
    <row r="3" spans="1:17" s="148" customFormat="1" ht="23.25" customHeight="1">
      <c r="A3" s="100"/>
      <c r="B3" s="100"/>
      <c r="C3" s="101"/>
      <c r="D3" s="107"/>
      <c r="E3" s="152">
        <v>2024</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t="str">
        <f>'CC 2024'!F6</f>
        <v xml:space="preserve">Full Stack Developer </v>
      </c>
      <c r="G6" s="399"/>
      <c r="H6" s="399"/>
      <c r="I6" s="399"/>
      <c r="J6" s="399"/>
      <c r="K6" s="399"/>
      <c r="L6" s="400"/>
      <c r="M6" s="154"/>
      <c r="O6" s="124"/>
    </row>
    <row r="7" spans="1:17" s="148" customFormat="1" ht="50.45" customHeight="1">
      <c r="A7" s="100"/>
      <c r="B7" s="100"/>
      <c r="C7" s="101"/>
      <c r="D7" s="107"/>
      <c r="E7" s="105" t="s">
        <v>3</v>
      </c>
      <c r="F7" s="401" t="str">
        <f>'CC 2024'!F7</f>
        <v xml:space="preserve">Anael </v>
      </c>
      <c r="G7" s="402"/>
      <c r="H7" s="402"/>
      <c r="I7" s="402"/>
      <c r="J7" s="402"/>
      <c r="K7" s="402"/>
      <c r="L7" s="403"/>
      <c r="M7" s="154"/>
      <c r="O7" s="124"/>
    </row>
    <row r="8" spans="1:17" s="148" customFormat="1" ht="50.45" customHeight="1" thickBot="1">
      <c r="A8" s="100"/>
      <c r="B8" s="100"/>
      <c r="C8" s="101"/>
      <c r="D8" s="103"/>
      <c r="E8" s="106" t="s">
        <v>4</v>
      </c>
      <c r="F8" s="404">
        <f>'CC 2024'!F8</f>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t="s">
        <v>241</v>
      </c>
      <c r="G10" s="408"/>
      <c r="H10" s="408"/>
      <c r="I10" s="408"/>
      <c r="J10" s="408"/>
      <c r="K10" s="408"/>
      <c r="L10" s="409"/>
      <c r="M10" s="151"/>
      <c r="O10" s="149"/>
      <c r="Q10" s="124"/>
    </row>
    <row r="11" spans="1:17" s="148" customFormat="1" ht="50.45" customHeight="1" thickBot="1">
      <c r="C11" s="155"/>
      <c r="D11" s="156"/>
      <c r="E11" s="106" t="s">
        <v>6</v>
      </c>
      <c r="F11" s="410" t="s">
        <v>241</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t="str">
        <f>'CC 2024'!F28</f>
        <v>Technology – Spring Boot, Java ,  MySQL , Graph DB , Docker, Groovy, Node.js , Angular , SQL, Unix , shell scripts</v>
      </c>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t="str">
        <f>'CC 2024'!F34</f>
        <v>Tools  - Grafana, GitLab, Jenkins , Confluence , OTRS , JIRA, OpenNMS , MariaDb , Postgres DB</v>
      </c>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t="str">
        <f>'CC 2024'!F40</f>
        <v>Integration – Pentahu</v>
      </c>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tr">
        <f>'CC 2024'!F46</f>
        <v>Potential Tech Stacks: Python (API app, AI related); Vector DB, such as Chroma DB.</v>
      </c>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f>'CC 2024'!F52</f>
        <v>0</v>
      </c>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f>'CC 2024'!F58</f>
        <v>0</v>
      </c>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f>'CC 2024'!F64</f>
        <v>0</v>
      </c>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525" t="str">
        <f>'CC 2024'!F87</f>
        <v>Support container architecture</v>
      </c>
      <c r="G87" s="358"/>
      <c r="H87" s="358"/>
      <c r="I87" s="358"/>
      <c r="J87" s="358"/>
      <c r="K87" s="358"/>
      <c r="L87" s="359"/>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t="str">
        <f>'CC 2024'!F89</f>
        <v xml:space="preserve">Be proficient on troubleshooting the newly migrated servers onto containers. </v>
      </c>
      <c r="G89" s="345"/>
      <c r="H89" s="346"/>
      <c r="I89" s="143" t="str">
        <f>'CC 2024'!I89</f>
        <v>Be able to fix issues</v>
      </c>
      <c r="J89" s="143" t="str">
        <f>'CC 2024'!J89</f>
        <v>With Akshat knowledge transfer</v>
      </c>
      <c r="K89" s="143" t="str">
        <f>'CC 2024'!K89</f>
        <v>We need a ressource able to maintain this when Akshat has left.</v>
      </c>
      <c r="L89" s="75" t="str">
        <f>'CC 2024'!L89</f>
        <v>By 31/05/2024</v>
      </c>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c r="C97" s="164"/>
      <c r="D97" s="158"/>
      <c r="E97" s="126" t="str">
        <f>CONCATENATE("End-of-year meeting - ", TEXT($F$11,"dd/mm/yyyy"))</f>
        <v>End-of-year meeting - TBD</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338" t="str">
        <f>'CC 2024'!F99</f>
        <v>Self Serivce front end for Engineering team to manage cable capacity</v>
      </c>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5" t="str">
        <f>'CC 2024'!F101</f>
        <v>As for Service Delivery team, where the goal is to allow them to handle services lifecycle, here we want to allow Engineering team to manage the capacity on NRMS: Add capacity themselves after an upgrade, etc...</v>
      </c>
      <c r="G101" s="345"/>
      <c r="H101" s="346"/>
      <c r="I101" s="143" t="str">
        <f>'CC 2024'!I101</f>
        <v>Based on actual usage from engineering team.</v>
      </c>
      <c r="J101" s="143" t="str">
        <f>'CC 2024'!J101</f>
        <v>With support of engineering team</v>
      </c>
      <c r="K101" s="143" t="str">
        <f>'CC 2024'!K101</f>
        <v>To save time of IT-DEV team so that they can focus on other topics</v>
      </c>
      <c r="L101" s="75" t="str">
        <f>'CC 2024'!L101</f>
        <v>Q4 2024</v>
      </c>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8" t="str">
        <f>'CC 2024'!F111</f>
        <v>Allow Service delivery team to provision new services on stats portal &amp; NRMS</v>
      </c>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t="str">
        <f>'CC 2024'!F113</f>
        <v xml:space="preserve">Each time we onboard or remove a circuit/customer, IT-Dev is involved to manually create the entries in Stats portal, NRMS and Customer Portal. I'd like this process to be handled by Service Delivery team. </v>
      </c>
      <c r="G113" s="345"/>
      <c r="H113" s="346"/>
      <c r="I113" s="143" t="str">
        <f>'CC 2024'!I113</f>
        <v xml:space="preserve">100% successfull usage by Service Delivery team </v>
      </c>
      <c r="J113" s="143" t="str">
        <f>'CC 2024'!J113</f>
        <v xml:space="preserve">by designing and implementing tool </v>
      </c>
      <c r="K113" s="143" t="str">
        <f>'CC 2024'!K113</f>
        <v>To reduce load on IT-DEV and allow SD to be autonomous</v>
      </c>
      <c r="L113" s="75" t="str">
        <f>'CC 2024'!L113</f>
        <v>Q4 2024</v>
      </c>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25" t="str">
        <f>'CC 2024'!F123</f>
        <v>Investigate how a chatbot / AI can help NOC operations</v>
      </c>
      <c r="G123" s="358"/>
      <c r="H123" s="358"/>
      <c r="I123" s="358"/>
      <c r="J123" s="358"/>
      <c r="K123" s="358"/>
      <c r="L123" s="359"/>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t="str">
        <f>'CC 2024'!F125</f>
        <v>Based on the ticket information, NRMS data, Stats portal data, identify and suggest how AI/Chatbot can help daily operations of the NOC / Service Delivery</v>
      </c>
      <c r="G125" s="345"/>
      <c r="H125" s="346"/>
      <c r="I125" s="143" t="str">
        <f>'CC 2024'!I125</f>
        <v>prototype delivered to Anael / roadmap ready to be implemented in 2025</v>
      </c>
      <c r="J125" s="143" t="str">
        <f>'CC 2024'!J125</f>
        <v xml:space="preserve">thanks to Exploration / gather Akshat researchs </v>
      </c>
      <c r="K125" s="143" t="str">
        <f>'CC 2024'!K125</f>
        <v>To facilitate NOC / Service delivery gathering of information</v>
      </c>
      <c r="L125" s="75" t="str">
        <f>'CC 2024'!L125</f>
        <v>Q4 2024</v>
      </c>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338" t="str">
        <f>'CC 2024'!F135</f>
        <v xml:space="preserve">Applications to be upgraded to eliminate critical security concerns or vulerabilities </v>
      </c>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55" t="str">
        <f>'CC 2024'!F137</f>
        <v>In house, we have a number of applications that are still utilized many depreciated dependencies and versions. There seem to be critical security and vulerabile issues. As a developer, I would like to eliminate all critical issues as many as possible. In addtion, upgrade applications to the latest stable versions.</v>
      </c>
      <c r="G137" s="345"/>
      <c r="H137" s="346"/>
      <c r="I137" s="143" t="str">
        <f>'CC 2024'!I137</f>
        <v>Based on SNYK</v>
      </c>
      <c r="J137" s="143" t="str">
        <f>'CC 2024'!J137</f>
        <v>With sharing load inside IT DEV team</v>
      </c>
      <c r="K137" s="143" t="str">
        <f>'CC 2024'!K137</f>
        <v>Eliminate critical issues as many as possible. Continue to manage stable and healthy applications.</v>
      </c>
      <c r="L137" s="75" t="str">
        <f>'CC 2024'!L137</f>
        <v>Q4 2024</v>
      </c>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c r="C145" s="164"/>
      <c r="D145" s="158"/>
      <c r="E145" s="129" t="str">
        <f>CONCATENATE("End-of-year meeting - ", TEXT($F$11,"dd/mm/yyyy"))</f>
        <v>End-of-year meeting - TBD</v>
      </c>
      <c r="F145" s="543"/>
      <c r="G145" s="544"/>
      <c r="H145" s="545"/>
      <c r="I145" s="546"/>
      <c r="J145" s="546"/>
      <c r="K145" s="546"/>
      <c r="L145" s="547"/>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wVnl6M6ynIUTLHeiCZXhskfLHhfys6b9y4fNFrigkxO19FrDCTnlVUvuhQWv8I5ndoluhrtvoXKb9dNDmTgOxg==" saltValue="HjGu1w4L1HfoL9EsU76KsQ=="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1666" priority="337" operator="containsText" text="Stop">
      <formula>NOT(ISERROR(SEARCH("Stop",E4)))</formula>
    </cfRule>
    <cfRule type="containsText" dxfId="1665" priority="338" operator="containsText" text="Start">
      <formula>NOT(ISERROR(SEARCH("Start",E4)))</formula>
    </cfRule>
    <cfRule type="containsText" dxfId="1664" priority="336" operator="containsText" text="Continue">
      <formula>NOT(ISERROR(SEARCH("Continue",E4)))</formula>
    </cfRule>
  </conditionalFormatting>
  <conditionalFormatting sqref="E14">
    <cfRule type="containsText" dxfId="1663" priority="456" operator="containsText" text="Continue">
      <formula>NOT(ISERROR(SEARCH("Continue",E14)))</formula>
    </cfRule>
    <cfRule type="containsText" dxfId="1662" priority="457" operator="containsText" text="Stop">
      <formula>NOT(ISERROR(SEARCH("Stop",E14)))</formula>
    </cfRule>
    <cfRule type="containsText" dxfId="1661" priority="458" operator="containsText" text="Start">
      <formula>NOT(ISERROR(SEARCH("Start",E14)))</formula>
    </cfRule>
  </conditionalFormatting>
  <conditionalFormatting sqref="E28 E154 G154 E156 G156">
    <cfRule type="containsText" dxfId="1660" priority="391" operator="containsText" text="N/A">
      <formula>NOT(ISERROR(SEARCH("N/A",E28)))</formula>
    </cfRule>
    <cfRule type="containsText" dxfId="1659" priority="388" operator="containsText" text="Continue">
      <formula>NOT(ISERROR(SEARCH("Continue",E28)))</formula>
    </cfRule>
    <cfRule type="containsText" dxfId="1658" priority="393" operator="containsText" text="Meets">
      <formula>NOT(ISERROR(SEARCH("Meets",E28)))</formula>
    </cfRule>
    <cfRule type="containsText" dxfId="1657" priority="392" operator="containsText" text="Exceeds">
      <formula>NOT(ISERROR(SEARCH("Exceeds",E28)))</formula>
    </cfRule>
    <cfRule type="containsText" dxfId="1656" priority="390" operator="containsText" text="Start">
      <formula>NOT(ISERROR(SEARCH("Start",E28)))</formula>
    </cfRule>
    <cfRule type="containsText" dxfId="1655" priority="389" operator="containsText" text="Stop">
      <formula>NOT(ISERROR(SEARCH("Stop",E28)))</formula>
    </cfRule>
    <cfRule type="containsText" dxfId="1654" priority="394" operator="containsText" text="Under">
      <formula>NOT(ISERROR(SEARCH("Under",E28)))</formula>
    </cfRule>
  </conditionalFormatting>
  <conditionalFormatting sqref="E34">
    <cfRule type="containsText" dxfId="1653" priority="368" operator="containsText" text="Stop">
      <formula>NOT(ISERROR(SEARCH("Stop",E34)))</formula>
    </cfRule>
    <cfRule type="containsText" dxfId="1652" priority="373" operator="containsText" text="Under">
      <formula>NOT(ISERROR(SEARCH("Under",E34)))</formula>
    </cfRule>
    <cfRule type="containsText" dxfId="1651" priority="372" operator="containsText" text="Meets">
      <formula>NOT(ISERROR(SEARCH("Meets",E34)))</formula>
    </cfRule>
    <cfRule type="containsText" dxfId="1650" priority="371" operator="containsText" text="Exceeds">
      <formula>NOT(ISERROR(SEARCH("Exceeds",E34)))</formula>
    </cfRule>
    <cfRule type="containsText" dxfId="1649" priority="370" operator="containsText" text="N/A">
      <formula>NOT(ISERROR(SEARCH("N/A",E34)))</formula>
    </cfRule>
    <cfRule type="containsText" dxfId="1648" priority="369" operator="containsText" text="Start">
      <formula>NOT(ISERROR(SEARCH("Start",E34)))</formula>
    </cfRule>
    <cfRule type="containsText" dxfId="1647" priority="367" operator="containsText" text="Continue">
      <formula>NOT(ISERROR(SEARCH("Continue",E34)))</formula>
    </cfRule>
  </conditionalFormatting>
  <conditionalFormatting sqref="E40">
    <cfRule type="containsText" dxfId="1646" priority="364" operator="containsText" text="Exceeds">
      <formula>NOT(ISERROR(SEARCH("Exceeds",E40)))</formula>
    </cfRule>
    <cfRule type="containsText" dxfId="1645" priority="365" operator="containsText" text="Meets">
      <formula>NOT(ISERROR(SEARCH("Meets",E40)))</formula>
    </cfRule>
    <cfRule type="containsText" dxfId="1644" priority="366" operator="containsText" text="Under">
      <formula>NOT(ISERROR(SEARCH("Under",E40)))</formula>
    </cfRule>
    <cfRule type="containsText" dxfId="1643" priority="360" operator="containsText" text="Continue">
      <formula>NOT(ISERROR(SEARCH("Continue",E40)))</formula>
    </cfRule>
    <cfRule type="containsText" dxfId="1642" priority="362" operator="containsText" text="Start">
      <formula>NOT(ISERROR(SEARCH("Start",E40)))</formula>
    </cfRule>
    <cfRule type="containsText" dxfId="1641" priority="363" operator="containsText" text="N/A">
      <formula>NOT(ISERROR(SEARCH("N/A",E40)))</formula>
    </cfRule>
    <cfRule type="containsText" dxfId="1640" priority="361" operator="containsText" text="Stop">
      <formula>NOT(ISERROR(SEARCH("Stop",E40)))</formula>
    </cfRule>
  </conditionalFormatting>
  <conditionalFormatting sqref="E46">
    <cfRule type="containsText" dxfId="1639" priority="359" operator="containsText" text="Under">
      <formula>NOT(ISERROR(SEARCH("Under",E46)))</formula>
    </cfRule>
    <cfRule type="containsText" dxfId="1638" priority="358" operator="containsText" text="Meets">
      <formula>NOT(ISERROR(SEARCH("Meets",E46)))</formula>
    </cfRule>
    <cfRule type="containsText" dxfId="1637" priority="357" operator="containsText" text="Exceeds">
      <formula>NOT(ISERROR(SEARCH("Exceeds",E46)))</formula>
    </cfRule>
    <cfRule type="containsText" dxfId="1636" priority="356" operator="containsText" text="N/A">
      <formula>NOT(ISERROR(SEARCH("N/A",E46)))</formula>
    </cfRule>
    <cfRule type="containsText" dxfId="1635" priority="355" operator="containsText" text="Start">
      <formula>NOT(ISERROR(SEARCH("Start",E46)))</formula>
    </cfRule>
    <cfRule type="containsText" dxfId="1634" priority="354" operator="containsText" text="Stop">
      <formula>NOT(ISERROR(SEARCH("Stop",E46)))</formula>
    </cfRule>
    <cfRule type="containsText" dxfId="1633" priority="353" operator="containsText" text="Continue">
      <formula>NOT(ISERROR(SEARCH("Continue",E46)))</formula>
    </cfRule>
  </conditionalFormatting>
  <conditionalFormatting sqref="E52">
    <cfRule type="containsText" dxfId="1632" priority="349" operator="containsText" text="N/A">
      <formula>NOT(ISERROR(SEARCH("N/A",E52)))</formula>
    </cfRule>
    <cfRule type="containsText" dxfId="1631" priority="348" operator="containsText" text="Start">
      <formula>NOT(ISERROR(SEARCH("Start",E52)))</formula>
    </cfRule>
    <cfRule type="containsText" dxfId="1630" priority="347" operator="containsText" text="Stop">
      <formula>NOT(ISERROR(SEARCH("Stop",E52)))</formula>
    </cfRule>
    <cfRule type="containsText" dxfId="1629" priority="352" operator="containsText" text="Under">
      <formula>NOT(ISERROR(SEARCH("Under",E52)))</formula>
    </cfRule>
    <cfRule type="containsText" dxfId="1628" priority="351" operator="containsText" text="Meets">
      <formula>NOT(ISERROR(SEARCH("Meets",E52)))</formula>
    </cfRule>
    <cfRule type="containsText" dxfId="1627" priority="346" operator="containsText" text="Continue">
      <formula>NOT(ISERROR(SEARCH("Continue",E52)))</formula>
    </cfRule>
    <cfRule type="containsText" dxfId="1626" priority="350" operator="containsText" text="Exceeds">
      <formula>NOT(ISERROR(SEARCH("Exceeds",E52)))</formula>
    </cfRule>
  </conditionalFormatting>
  <conditionalFormatting sqref="E58">
    <cfRule type="containsText" dxfId="1625" priority="341" operator="containsText" text="Start">
      <formula>NOT(ISERROR(SEARCH("Start",E58)))</formula>
    </cfRule>
    <cfRule type="containsText" dxfId="1624" priority="342" operator="containsText" text="N/A">
      <formula>NOT(ISERROR(SEARCH("N/A",E58)))</formula>
    </cfRule>
    <cfRule type="containsText" dxfId="1623" priority="344" operator="containsText" text="Meets">
      <formula>NOT(ISERROR(SEARCH("Meets",E58)))</formula>
    </cfRule>
    <cfRule type="containsText" dxfId="1622" priority="343" operator="containsText" text="Exceeds">
      <formula>NOT(ISERROR(SEARCH("Exceeds",E58)))</formula>
    </cfRule>
    <cfRule type="containsText" dxfId="1621" priority="345" operator="containsText" text="Under">
      <formula>NOT(ISERROR(SEARCH("Under",E58)))</formula>
    </cfRule>
    <cfRule type="containsText" dxfId="1620" priority="339" operator="containsText" text="Continue">
      <formula>NOT(ISERROR(SEARCH("Continue",E58)))</formula>
    </cfRule>
    <cfRule type="containsText" dxfId="1619" priority="340" operator="containsText" text="Stop">
      <formula>NOT(ISERROR(SEARCH("Stop",E58)))</formula>
    </cfRule>
  </conditionalFormatting>
  <conditionalFormatting sqref="E64">
    <cfRule type="containsText" dxfId="1618" priority="242" operator="containsText" text="Stop">
      <formula>NOT(ISERROR(SEARCH("Stop",E64)))</formula>
    </cfRule>
    <cfRule type="containsText" dxfId="1617" priority="243" operator="containsText" text="Start">
      <formula>NOT(ISERROR(SEARCH("Start",E64)))</formula>
    </cfRule>
    <cfRule type="containsText" dxfId="1616" priority="245" operator="containsText" text="Exceeds">
      <formula>NOT(ISERROR(SEARCH("Exceeds",E64)))</formula>
    </cfRule>
    <cfRule type="containsText" dxfId="1615" priority="246" operator="containsText" text="Meets">
      <formula>NOT(ISERROR(SEARCH("Meets",E64)))</formula>
    </cfRule>
    <cfRule type="containsText" dxfId="1614" priority="247" operator="containsText" text="Under">
      <formula>NOT(ISERROR(SEARCH("Under",E64)))</formula>
    </cfRule>
    <cfRule type="containsText" dxfId="1613" priority="244" operator="containsText" text="N/A">
      <formula>NOT(ISERROR(SEARCH("N/A",E64)))</formula>
    </cfRule>
    <cfRule type="containsText" dxfId="1612" priority="241" operator="containsText" text="Continue">
      <formula>NOT(ISERROR(SEARCH("Continue",E64)))</formula>
    </cfRule>
  </conditionalFormatting>
  <conditionalFormatting sqref="E159 E164">
    <cfRule type="containsText" dxfId="1611" priority="431" operator="containsText" text="Exceeds">
      <formula>NOT(ISERROR(SEARCH("Exceeds",E159)))</formula>
    </cfRule>
    <cfRule type="containsText" dxfId="1610" priority="430" operator="containsText" text="N/A">
      <formula>NOT(ISERROR(SEARCH("N/A",E159)))</formula>
    </cfRule>
    <cfRule type="containsText" dxfId="1609" priority="429" operator="containsText" text="Start">
      <formula>NOT(ISERROR(SEARCH("Start",E159)))</formula>
    </cfRule>
    <cfRule type="containsText" dxfId="1608" priority="428" operator="containsText" text="Stop">
      <formula>NOT(ISERROR(SEARCH("Stop",E159)))</formula>
    </cfRule>
    <cfRule type="containsText" dxfId="1607" priority="427" operator="containsText" text="Continue">
      <formula>NOT(ISERROR(SEARCH("Continue",E159)))</formula>
    </cfRule>
    <cfRule type="containsText" dxfId="1606" priority="432" operator="containsText" text="Meets">
      <formula>NOT(ISERROR(SEARCH("Meets",E159)))</formula>
    </cfRule>
    <cfRule type="containsText" dxfId="1605" priority="433" operator="containsText" text="Under">
      <formula>NOT(ISERROR(SEARCH("Under",E159)))</formula>
    </cfRule>
  </conditionalFormatting>
  <conditionalFormatting sqref="E161 E166">
    <cfRule type="containsText" dxfId="1604" priority="426" operator="containsText" text="Under">
      <formula>NOT(ISERROR(SEARCH("Under",E161)))</formula>
    </cfRule>
    <cfRule type="containsText" dxfId="1603" priority="425" operator="containsText" text="Meets">
      <formula>NOT(ISERROR(SEARCH("Meets",E161)))</formula>
    </cfRule>
    <cfRule type="containsText" dxfId="1602" priority="424" operator="containsText" text="Exceeds">
      <formula>NOT(ISERROR(SEARCH("Exceeds",E161)))</formula>
    </cfRule>
    <cfRule type="containsText" dxfId="1601" priority="423" operator="containsText" text="N/A">
      <formula>NOT(ISERROR(SEARCH("N/A",E161)))</formula>
    </cfRule>
    <cfRule type="containsText" dxfId="1600" priority="422" operator="containsText" text="Start">
      <formula>NOT(ISERROR(SEARCH("Start",E161)))</formula>
    </cfRule>
    <cfRule type="containsText" dxfId="1599" priority="421" operator="containsText" text="Stop">
      <formula>NOT(ISERROR(SEARCH("Stop",E161)))</formula>
    </cfRule>
    <cfRule type="containsText" dxfId="1598" priority="420" operator="containsText" text="Continue">
      <formula>NOT(ISERROR(SEARCH("Continue",E161)))</formula>
    </cfRule>
  </conditionalFormatting>
  <conditionalFormatting sqref="E169">
    <cfRule type="containsText" dxfId="1597" priority="443" operator="containsText" text="Start">
      <formula>NOT(ISERROR(SEARCH("Start",E169)))</formula>
    </cfRule>
    <cfRule type="containsText" dxfId="1596" priority="442" operator="containsText" text="Stop">
      <formula>NOT(ISERROR(SEARCH("Stop",E169)))</formula>
    </cfRule>
    <cfRule type="containsText" dxfId="1595" priority="441" operator="containsText" text="Continue">
      <formula>NOT(ISERROR(SEARCH("Continue",E169)))</formula>
    </cfRule>
    <cfRule type="containsText" dxfId="1594" priority="447" operator="containsText" text="Under">
      <formula>NOT(ISERROR(SEARCH("Under",E169)))</formula>
    </cfRule>
    <cfRule type="containsText" dxfId="1593" priority="446" operator="containsText" text="Meets">
      <formula>NOT(ISERROR(SEARCH("Meets",E169)))</formula>
    </cfRule>
    <cfRule type="containsText" dxfId="1592" priority="445" operator="containsText" text="Exceeds">
      <formula>NOT(ISERROR(SEARCH("Exceeds",E169)))</formula>
    </cfRule>
    <cfRule type="containsText" dxfId="1591" priority="444" operator="containsText" text="N/A">
      <formula>NOT(ISERROR(SEARCH("N/A",E169)))</formula>
    </cfRule>
  </conditionalFormatting>
  <conditionalFormatting sqref="E171">
    <cfRule type="containsText" dxfId="1590" priority="398" operator="containsText" text="N/A">
      <formula>NOT(ISERROR(SEARCH("N/A",E171)))</formula>
    </cfRule>
    <cfRule type="containsText" dxfId="1589" priority="399" operator="containsText" text="Exceeds">
      <formula>NOT(ISERROR(SEARCH("Exceeds",E171)))</formula>
    </cfRule>
    <cfRule type="containsText" dxfId="1588" priority="400" operator="containsText" text="Meets">
      <formula>NOT(ISERROR(SEARCH("Meets",E171)))</formula>
    </cfRule>
    <cfRule type="containsText" dxfId="1587" priority="401" operator="containsText" text="Under">
      <formula>NOT(ISERROR(SEARCH("Under",E171)))</formula>
    </cfRule>
    <cfRule type="containsText" dxfId="1586" priority="395" operator="containsText" text="Continue">
      <formula>NOT(ISERROR(SEARCH("Continue",E171)))</formula>
    </cfRule>
    <cfRule type="containsText" dxfId="1585" priority="396" operator="containsText" text="Stop">
      <formula>NOT(ISERROR(SEARCH("Stop",E171)))</formula>
    </cfRule>
    <cfRule type="containsText" dxfId="1584" priority="397" operator="containsText" text="Start">
      <formula>NOT(ISERROR(SEARCH("Start",E171)))</formula>
    </cfRule>
  </conditionalFormatting>
  <conditionalFormatting sqref="E12:L13">
    <cfRule type="containsText" dxfId="1583" priority="333" operator="containsText" text="Continue">
      <formula>NOT(ISERROR(SEARCH("Continue",E12)))</formula>
    </cfRule>
    <cfRule type="containsText" dxfId="1582" priority="334" operator="containsText" text="Stop">
      <formula>NOT(ISERROR(SEARCH("Stop",E12)))</formula>
    </cfRule>
    <cfRule type="containsText" dxfId="1581"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{55634CDB-541E-41D4-91D8-C04E49ADF116}</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{68777929-9CA3-4E00-88C8-1B0296B893D7}</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{E58FF74C-6544-472F-B115-28C04581F012}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{DE72D105-AB36-48AB-BEDF-0946A12EBAA9}</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{08DC31CF-C913-44A9-9336-7E331692124E}</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{ABFAE3E0-CA12-4E54-9012-09E537CF9C4B}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{CCA23D02-AC10-4DD7-A36D-5D2672A60484}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{677B7E12-719E-4B3F-8777-C513D128CD0D}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{4B69377B-814F-4F35-8E6C-33EC7E0868D0}</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{1747C670-D13D-4E87-A318-6DB219C79652}</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{58DC2E3C-70BA-4E49-9D9A-81DA71BCA67C}</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{20BEFE14-65A0-4CEC-9CA0-2AB50D6F5E3B}</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{FA9027CC-A546-4D2E-9A28-0A0D069E9FBD}</x14:id>
        </ext>
      </extLst>
    </cfRule>
  </conditionalFormatting>
  <conditionalFormatting sqref="F157">
    <cfRule type="containsText" dxfId="1580" priority="404" operator="containsText" text="Stop">
      <formula>NOT(ISERROR(SEARCH("Stop",F157)))</formula>
    </cfRule>
    <cfRule type="containsText" dxfId="1579"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{3955F601-22AF-47DE-B39B-DCE4C91E6551}</x14:id>
        </ext>
      </extLst>
    </cfRule>
    <cfRule type="containsText" dxfId="1578" priority="409" operator="containsText" text="Under">
      <formula>NOT(ISERROR(SEARCH("Under",F157)))</formula>
    </cfRule>
    <cfRule type="containsText" dxfId="1577" priority="408" operator="containsText" text="Meets">
      <formula>NOT(ISERROR(SEARCH("Meets",F157)))</formula>
    </cfRule>
    <cfRule type="containsText" dxfId="1576" priority="407" operator="containsText" text="Exceeds">
      <formula>NOT(ISERROR(SEARCH("Exceeds",F157)))</formula>
    </cfRule>
    <cfRule type="containsText" dxfId="1575"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{D71AC4A4-E250-44A5-90A4-EB3F8A153F15}</x14:id>
        </ext>
      </extLst>
    </cfRule>
    <cfRule type="containsText" dxfId="1574" priority="405" operator="containsText" text="Start">
      <formula>NOT(ISERROR(SEARCH("Start",F157)))</formula>
    </cfRule>
  </conditionalFormatting>
  <conditionalFormatting sqref="F162">
    <cfRule type="containsText" dxfId="1573" priority="320" operator="containsText" text="Exceeds">
      <formula>NOT(ISERROR(SEARCH("Exceeds",F162)))</formula>
    </cfRule>
    <cfRule type="containsText" dxfId="1572" priority="321" operator="containsText" text="Meets">
      <formula>NOT(ISERROR(SEARCH("Meets",F162)))</formula>
    </cfRule>
    <cfRule type="containsText" dxfId="1571"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{027CEF64-81EF-422C-A6C5-DFFCCD1AACDA}</x14:id>
        </ext>
      </extLst>
    </cfRule>
    <cfRule type="containsText" dxfId="1570" priority="318" operator="containsText" text="Start">
      <formula>NOT(ISERROR(SEARCH("Start",F162)))</formula>
    </cfRule>
    <cfRule type="containsText" dxfId="1569"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{0523F2F3-8E8B-48F3-9F6D-DEB20D33167A}</x14:id>
        </ext>
      </extLst>
    </cfRule>
    <cfRule type="containsText" dxfId="1568" priority="319" operator="containsText" text="N/A">
      <formula>NOT(ISERROR(SEARCH("N/A",F162)))</formula>
    </cfRule>
    <cfRule type="containsText" dxfId="1567"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{C213BCD6-652E-43C6-96DA-416FEDF67339}</x14:id>
        </ext>
      </extLst>
    </cfRule>
    <cfRule type="containsText" dxfId="1566" priority="299" operator="containsText" text="Under">
      <formula>NOT(ISERROR(SEARCH("Under",F167)))</formula>
    </cfRule>
    <cfRule type="containsText" dxfId="1565" priority="298" operator="containsText" text="Meets">
      <formula>NOT(ISERROR(SEARCH("Meets",F167)))</formula>
    </cfRule>
    <cfRule type="containsText" dxfId="1564"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{FBEF74DE-EE70-4F2A-B65C-5AA274A996BF}</x14:id>
        </ext>
      </extLst>
    </cfRule>
    <cfRule type="containsText" dxfId="1563" priority="293" operator="containsText" text="Continue">
      <formula>NOT(ISERROR(SEARCH("Continue",F167)))</formula>
    </cfRule>
    <cfRule type="containsText" dxfId="1562" priority="295" operator="containsText" text="Start">
      <formula>NOT(ISERROR(SEARCH("Start",F167)))</formula>
    </cfRule>
    <cfRule type="containsText" dxfId="1561" priority="297" operator="containsText" text="Exceeds">
      <formula>NOT(ISERROR(SEARCH("Exceeds",F167)))</formula>
    </cfRule>
    <cfRule type="containsText" dxfId="1560"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{2E6C2990-00D9-4BB1-A266-6D34F79A2835}</x14:id>
        </ext>
      </extLst>
    </cfRule>
    <cfRule type="containsText" dxfId="1559" priority="269" operator="containsText" text="Under">
      <formula>NOT(ISERROR(SEARCH("Under",F172)))</formula>
    </cfRule>
    <cfRule type="containsText" dxfId="1558" priority="268" operator="containsText" text="Meets">
      <formula>NOT(ISERROR(SEARCH("Meets",F172)))</formula>
    </cfRule>
    <cfRule type="containsText" dxfId="1557" priority="267" operator="containsText" text="Exceeds">
      <formula>NOT(ISERROR(SEARCH("Exceeds",F172)))</formula>
    </cfRule>
    <cfRule type="containsText" dxfId="1556"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{3F043EDC-EFAD-48F6-9A16-6C3FD5C72E5E}</x14:id>
        </ext>
      </extLst>
    </cfRule>
    <cfRule type="containsText" dxfId="1555" priority="265" operator="containsText" text="Start">
      <formula>NOT(ISERROR(SEARCH("Start",F172)))</formula>
    </cfRule>
    <cfRule type="containsText" dxfId="1554" priority="264" operator="containsText" text="Stop">
      <formula>NOT(ISERROR(SEARCH("Stop",F172)))</formula>
    </cfRule>
    <cfRule type="containsText" dxfId="1553"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{EDED589E-CBA2-4367-9F07-65AA428D857D}</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{DF5D4C78-3555-4529-A13C-B1CF24FA084A}</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{693C60D4-A2B9-4AD2-9AB1-D7EF672E8B62}</x14:id>
        </ext>
      </extLst>
    </cfRule>
    <cfRule type="containsText" dxfId="1552" priority="412" operator="containsText" text="Continue">
      <formula>NOT(ISERROR(SEARCH("Continue",F155)))</formula>
    </cfRule>
    <cfRule type="containsText" dxfId="1551" priority="413" operator="containsText" text="Stop">
      <formula>NOT(ISERROR(SEARCH("Stop",F155)))</formula>
    </cfRule>
    <cfRule type="containsText" dxfId="1550" priority="414" operator="containsText" text="Start">
      <formula>NOT(ISERROR(SEARCH("Start",F155)))</formula>
    </cfRule>
    <cfRule type="containsText" dxfId="1549" priority="415" operator="containsText" text="N/A">
      <formula>NOT(ISERROR(SEARCH("N/A",F155)))</formula>
    </cfRule>
    <cfRule type="containsText" dxfId="1548" priority="416" operator="containsText" text="Exceeds">
      <formula>NOT(ISERROR(SEARCH("Exceeds",F155)))</formula>
    </cfRule>
    <cfRule type="containsText" dxfId="1547" priority="417" operator="containsText" text="Meets">
      <formula>NOT(ISERROR(SEARCH("Meets",F155)))</formula>
    </cfRule>
    <cfRule type="containsText" dxfId="1546"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{CB49FDB1-AAA2-4865-AEAB-EC22AB7CDC94}</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{E4A8953A-00C4-4936-898D-CBB4FA437FF3}</x14:id>
        </ext>
      </extLst>
    </cfRule>
    <cfRule type="containsText" dxfId="1545" priority="331" operator="containsText" text="Under">
      <formula>NOT(ISERROR(SEARCH("Under",F160)))</formula>
    </cfRule>
    <cfRule type="containsText" dxfId="1544" priority="330" operator="containsText" text="Meets">
      <formula>NOT(ISERROR(SEARCH("Meets",F160)))</formula>
    </cfRule>
    <cfRule type="containsText" dxfId="1543" priority="329" operator="containsText" text="Exceeds">
      <formula>NOT(ISERROR(SEARCH("Exceeds",F160)))</formula>
    </cfRule>
    <cfRule type="containsText" dxfId="1542" priority="328" operator="containsText" text="N/A">
      <formula>NOT(ISERROR(SEARCH("N/A",F160)))</formula>
    </cfRule>
    <cfRule type="containsText" dxfId="1541" priority="327" operator="containsText" text="Start">
      <formula>NOT(ISERROR(SEARCH("Start",F160)))</formula>
    </cfRule>
    <cfRule type="containsText" dxfId="1540" priority="326" operator="containsText" text="Stop">
      <formula>NOT(ISERROR(SEARCH("Stop",F160)))</formula>
    </cfRule>
    <cfRule type="containsText" dxfId="1539"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{B87851C1-92C5-4995-AA40-5F973C21F087}</x14:id>
        </ext>
      </extLst>
    </cfRule>
  </conditionalFormatting>
  <conditionalFormatting sqref="F165:G165">
    <cfRule type="containsText" dxfId="1538" priority="238" operator="containsText" text="Meets">
      <formula>NOT(ISERROR(SEARCH("Meets",F165)))</formula>
    </cfRule>
    <cfRule type="containsText" dxfId="1537" priority="235" operator="containsText" text="Start">
      <formula>NOT(ISERROR(SEARCH("Start",F165)))</formula>
    </cfRule>
    <cfRule type="containsText" dxfId="1536"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{EB77D0C3-899C-44C5-847D-14E6D6BC0AB0}</x14:id>
        </ext>
      </extLst>
    </cfRule>
    <cfRule type="containsText" dxfId="1535" priority="233" operator="containsText" text="Continue">
      <formula>NOT(ISERROR(SEARCH("Continue",F165)))</formula>
    </cfRule>
    <cfRule type="containsText" dxfId="1534" priority="236" operator="containsText" text="N/A">
      <formula>NOT(ISERROR(SEARCH("N/A",F165)))</formula>
    </cfRule>
    <cfRule type="containsText" dxfId="1533" priority="234" operator="containsText" text="Stop">
      <formula>NOT(ISERROR(SEARCH("Stop",F165)))</formula>
    </cfRule>
    <cfRule type="containsText" dxfId="1532"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{61373046-B30F-4762-8A2A-2B4DCEF36FD5}</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{8BE174E0-73B4-4A73-8975-701F8016C2F2}</x14:id>
        </ext>
      </extLst>
    </cfRule>
    <cfRule type="containsText" dxfId="1531" priority="225" operator="containsText" text="Stop">
      <formula>NOT(ISERROR(SEARCH("Stop",F170)))</formula>
    </cfRule>
    <cfRule type="containsText" dxfId="1530" priority="224" operator="containsText" text="Continue">
      <formula>NOT(ISERROR(SEARCH("Continue",F170)))</formula>
    </cfRule>
    <cfRule type="containsText" dxfId="1529" priority="226" operator="containsText" text="Start">
      <formula>NOT(ISERROR(SEARCH("Start",F170)))</formula>
    </cfRule>
    <cfRule type="containsText" dxfId="1528" priority="227" operator="containsText" text="N/A">
      <formula>NOT(ISERROR(SEARCH("N/A",F170)))</formula>
    </cfRule>
    <cfRule type="containsText" dxfId="1527" priority="228" operator="containsText" text="Exceeds">
      <formula>NOT(ISERROR(SEARCH("Exceeds",F170)))</formula>
    </cfRule>
    <cfRule type="containsText" dxfId="1526"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{EFFA4B78-6631-4A7E-B5E0-3D41F0A04D69}</x14:id>
        </ext>
      </extLst>
    </cfRule>
    <cfRule type="containsText" dxfId="1525"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{42C3B146-44E9-4061-9F47-67D0178239D5}</x14:id>
        </ext>
      </extLst>
    </cfRule>
    <cfRule type="containsText" dxfId="1524" priority="218" operator="containsText" text="N/A">
      <formula>NOT(ISERROR(SEARCH("N/A",F178)))</formula>
    </cfRule>
    <cfRule type="containsText" dxfId="1523"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{EA5E9B4C-A78D-496E-B7DB-27D77D6535ED}</x14:id>
        </ext>
      </extLst>
    </cfRule>
    <cfRule type="containsText" dxfId="1522" priority="215" operator="containsText" text="Continue">
      <formula>NOT(ISERROR(SEARCH("Continue",F178)))</formula>
    </cfRule>
    <cfRule type="containsText" dxfId="1521" priority="216" operator="containsText" text="Stop">
      <formula>NOT(ISERROR(SEARCH("Stop",F178)))</formula>
    </cfRule>
    <cfRule type="containsText" dxfId="1520" priority="217" operator="containsText" text="Start">
      <formula>NOT(ISERROR(SEARCH("Start",F178)))</formula>
    </cfRule>
    <cfRule type="containsText" dxfId="1519" priority="219" operator="containsText" text="Exceeds">
      <formula>NOT(ISERROR(SEARCH("Exceeds",F178)))</formula>
    </cfRule>
    <cfRule type="containsText" dxfId="1518" priority="220" operator="containsText" text="Meets">
      <formula>NOT(ISERROR(SEARCH("Meets",F178)))</formula>
    </cfRule>
  </conditionalFormatting>
  <conditionalFormatting sqref="G29">
    <cfRule type="containsText" dxfId="1517" priority="385" operator="containsText" text="Exceeds">
      <formula>NOT(ISERROR(SEARCH("Exceeds",G29)))</formula>
    </cfRule>
    <cfRule type="containsText" dxfId="1516" priority="387" operator="containsText" text="Under">
      <formula>NOT(ISERROR(SEARCH("Under",G29)))</formula>
    </cfRule>
    <cfRule type="containsText" dxfId="1515" priority="383" operator="containsText" text="Start">
      <formula>NOT(ISERROR(SEARCH("Start",G29)))</formula>
    </cfRule>
    <cfRule type="containsText" dxfId="1514" priority="382" operator="containsText" text="Stop">
      <formula>NOT(ISERROR(SEARCH("Stop",G29)))</formula>
    </cfRule>
    <cfRule type="containsText" dxfId="1513" priority="381" operator="containsText" text="Continue">
      <formula>NOT(ISERROR(SEARCH("Continue",G29)))</formula>
    </cfRule>
    <cfRule type="containsText" dxfId="1512" priority="386" operator="containsText" text="Meets">
      <formula>NOT(ISERROR(SEARCH("Meets",G29)))</formula>
    </cfRule>
    <cfRule type="containsText" dxfId="1511" priority="384" operator="containsText" text="N/A">
      <formula>NOT(ISERROR(SEARCH("N/A",G29)))</formula>
    </cfRule>
  </conditionalFormatting>
  <conditionalFormatting sqref="G31">
    <cfRule type="containsText" dxfId="1510" priority="34" operator="containsText" text="Meets">
      <formula>NOT(ISERROR(SEARCH("Meets",G31)))</formula>
    </cfRule>
    <cfRule type="containsText" dxfId="1509" priority="33" operator="containsText" text="Exceeds">
      <formula>NOT(ISERROR(SEARCH("Exceeds",G31)))</formula>
    </cfRule>
    <cfRule type="containsText" dxfId="1508" priority="31" operator="containsText" text="Start">
      <formula>NOT(ISERROR(SEARCH("Start",G31)))</formula>
    </cfRule>
    <cfRule type="containsText" dxfId="1507" priority="30" operator="containsText" text="Stop">
      <formula>NOT(ISERROR(SEARCH("Stop",G31)))</formula>
    </cfRule>
    <cfRule type="containsText" dxfId="1506" priority="29" operator="containsText" text="Continue">
      <formula>NOT(ISERROR(SEARCH("Continue",G31)))</formula>
    </cfRule>
    <cfRule type="containsText" dxfId="1505" priority="35" operator="containsText" text="Under">
      <formula>NOT(ISERROR(SEARCH("Under",G31)))</formula>
    </cfRule>
    <cfRule type="containsText" dxfId="1504" priority="32" operator="containsText" text="N/A">
      <formula>NOT(ISERROR(SEARCH("N/A",G31)))</formula>
    </cfRule>
  </conditionalFormatting>
  <conditionalFormatting sqref="G35">
    <cfRule type="containsText" dxfId="1503" priority="97" operator="containsText" text="Exceeds">
      <formula>NOT(ISERROR(SEARCH("Exceeds",G35)))</formula>
    </cfRule>
    <cfRule type="containsText" dxfId="1502" priority="98" operator="containsText" text="Meets">
      <formula>NOT(ISERROR(SEARCH("Meets",G35)))</formula>
    </cfRule>
    <cfRule type="containsText" dxfId="1501" priority="99" operator="containsText" text="Under">
      <formula>NOT(ISERROR(SEARCH("Under",G35)))</formula>
    </cfRule>
    <cfRule type="containsText" dxfId="1500" priority="94" operator="containsText" text="Stop">
      <formula>NOT(ISERROR(SEARCH("Stop",G35)))</formula>
    </cfRule>
    <cfRule type="containsText" dxfId="1499" priority="93" operator="containsText" text="Continue">
      <formula>NOT(ISERROR(SEARCH("Continue",G35)))</formula>
    </cfRule>
    <cfRule type="containsText" dxfId="1498" priority="96" operator="containsText" text="N/A">
      <formula>NOT(ISERROR(SEARCH("N/A",G35)))</formula>
    </cfRule>
    <cfRule type="containsText" dxfId="1497"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{3670346A-1086-45AD-BAB7-BA340BD61EA7}</x14:id>
        </ext>
      </extLst>
    </cfRule>
  </conditionalFormatting>
  <conditionalFormatting sqref="G37">
    <cfRule type="containsText" dxfId="1496" priority="25" operator="containsText" text="N/A">
      <formula>NOT(ISERROR(SEARCH("N/A",G37)))</formula>
    </cfRule>
    <cfRule type="containsText" dxfId="1495" priority="26" operator="containsText" text="Exceeds">
      <formula>NOT(ISERROR(SEARCH("Exceeds",G37)))</formula>
    </cfRule>
    <cfRule type="containsText" dxfId="1494" priority="27" operator="containsText" text="Meets">
      <formula>NOT(ISERROR(SEARCH("Meets",G37)))</formula>
    </cfRule>
    <cfRule type="containsText" dxfId="1493" priority="28" operator="containsText" text="Under">
      <formula>NOT(ISERROR(SEARCH("Under",G37)))</formula>
    </cfRule>
    <cfRule type="containsText" dxfId="1492" priority="22" operator="containsText" text="Continue">
      <formula>NOT(ISERROR(SEARCH("Continue",G37)))</formula>
    </cfRule>
    <cfRule type="containsText" dxfId="1491" priority="23" operator="containsText" text="Stop">
      <formula>NOT(ISERROR(SEARCH("Stop",G37)))</formula>
    </cfRule>
    <cfRule type="containsText" dxfId="1490" priority="24" operator="containsText" text="Start">
      <formula>NOT(ISERROR(SEARCH("Start",G37)))</formula>
    </cfRule>
  </conditionalFormatting>
  <conditionalFormatting sqref="G41">
    <cfRule type="containsText" dxfId="1489" priority="85" operator="containsText" text="Continue">
      <formula>NOT(ISERROR(SEARCH("Continue",G41)))</formula>
    </cfRule>
    <cfRule type="containsText" dxfId="1488" priority="86" operator="containsText" text="Stop">
      <formula>NOT(ISERROR(SEARCH("Stop",G41)))</formula>
    </cfRule>
    <cfRule type="containsText" dxfId="1487" priority="87" operator="containsText" text="Start">
      <formula>NOT(ISERROR(SEARCH("Start",G41)))</formula>
    </cfRule>
    <cfRule type="containsText" dxfId="1486" priority="88" operator="containsText" text="N/A">
      <formula>NOT(ISERROR(SEARCH("N/A",G41)))</formula>
    </cfRule>
    <cfRule type="containsText" dxfId="1485" priority="89" operator="containsText" text="Exceeds">
      <formula>NOT(ISERROR(SEARCH("Exceeds",G41)))</formula>
    </cfRule>
    <cfRule type="containsText" dxfId="1484" priority="90" operator="containsText" text="Meets">
      <formula>NOT(ISERROR(SEARCH("Meets",G41)))</formula>
    </cfRule>
    <cfRule type="containsText" dxfId="1483"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{203529EB-A735-4278-BA17-60D5A15F0203}</x14:id>
        </ext>
      </extLst>
    </cfRule>
  </conditionalFormatting>
  <conditionalFormatting sqref="G43">
    <cfRule type="containsText" dxfId="1482" priority="17" operator="containsText" text="Start">
      <formula>NOT(ISERROR(SEARCH("Start",G43)))</formula>
    </cfRule>
    <cfRule type="containsText" dxfId="1481" priority="16" operator="containsText" text="Stop">
      <formula>NOT(ISERROR(SEARCH("Stop",G43)))</formula>
    </cfRule>
    <cfRule type="containsText" dxfId="1480" priority="20" operator="containsText" text="Meets">
      <formula>NOT(ISERROR(SEARCH("Meets",G43)))</formula>
    </cfRule>
    <cfRule type="containsText" dxfId="1479" priority="15" operator="containsText" text="Continue">
      <formula>NOT(ISERROR(SEARCH("Continue",G43)))</formula>
    </cfRule>
    <cfRule type="containsText" dxfId="1478" priority="19" operator="containsText" text="Exceeds">
      <formula>NOT(ISERROR(SEARCH("Exceeds",G43)))</formula>
    </cfRule>
    <cfRule type="containsText" dxfId="1477" priority="21" operator="containsText" text="Under">
      <formula>NOT(ISERROR(SEARCH("Under",G43)))</formula>
    </cfRule>
    <cfRule type="containsText" dxfId="1476" priority="18" operator="containsText" text="N/A">
      <formula>NOT(ISERROR(SEARCH("N/A",G43)))</formula>
    </cfRule>
  </conditionalFormatting>
  <conditionalFormatting sqref="G47">
    <cfRule type="containsText" dxfId="1475" priority="78" operator="containsText" text="Stop">
      <formula>NOT(ISERROR(SEARCH("Stop",G47)))</formula>
    </cfRule>
    <cfRule type="containsText" dxfId="1474" priority="77" operator="containsText" text="Continue">
      <formula>NOT(ISERROR(SEARCH("Continue",G47)))</formula>
    </cfRule>
    <cfRule type="containsText" dxfId="1473" priority="79" operator="containsText" text="Start">
      <formula>NOT(ISERROR(SEARCH("Start",G47)))</formula>
    </cfRule>
    <cfRule type="containsText" dxfId="1472" priority="80" operator="containsText" text="N/A">
      <formula>NOT(ISERROR(SEARCH("N/A",G47)))</formula>
    </cfRule>
    <cfRule type="containsText" dxfId="1471" priority="81" operator="containsText" text="Exceeds">
      <formula>NOT(ISERROR(SEARCH("Exceeds",G47)))</formula>
    </cfRule>
    <cfRule type="containsText" dxfId="1470" priority="82" operator="containsText" text="Meets">
      <formula>NOT(ISERROR(SEARCH("Meets",G47)))</formula>
    </cfRule>
    <cfRule type="containsText" dxfId="1469"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{759AC34C-90EC-44A6-9B3D-BA2D5411A866}</x14:id>
        </ext>
      </extLst>
    </cfRule>
  </conditionalFormatting>
  <conditionalFormatting sqref="G49">
    <cfRule type="containsText" dxfId="1468" priority="14" operator="containsText" text="Under">
      <formula>NOT(ISERROR(SEARCH("Under",G49)))</formula>
    </cfRule>
    <cfRule type="containsText" dxfId="1467" priority="13" operator="containsText" text="Meets">
      <formula>NOT(ISERROR(SEARCH("Meets",G49)))</formula>
    </cfRule>
    <cfRule type="containsText" dxfId="1466" priority="12" operator="containsText" text="Exceeds">
      <formula>NOT(ISERROR(SEARCH("Exceeds",G49)))</formula>
    </cfRule>
    <cfRule type="containsText" dxfId="1465" priority="11" operator="containsText" text="N/A">
      <formula>NOT(ISERROR(SEARCH("N/A",G49)))</formula>
    </cfRule>
    <cfRule type="containsText" dxfId="1464" priority="10" operator="containsText" text="Start">
      <formula>NOT(ISERROR(SEARCH("Start",G49)))</formula>
    </cfRule>
    <cfRule type="containsText" dxfId="1463" priority="9" operator="containsText" text="Stop">
      <formula>NOT(ISERROR(SEARCH("Stop",G49)))</formula>
    </cfRule>
    <cfRule type="containsText" dxfId="1462" priority="8" operator="containsText" text="Continue">
      <formula>NOT(ISERROR(SEARCH("Continue",G49)))</formula>
    </cfRule>
  </conditionalFormatting>
  <conditionalFormatting sqref="G53">
    <cfRule type="containsText" dxfId="1461" priority="73" operator="containsText" text="Exceeds">
      <formula>NOT(ISERROR(SEARCH("Exceeds",G53)))</formula>
    </cfRule>
    <cfRule type="containsText" dxfId="1460" priority="69" operator="containsText" text="Continue">
      <formula>NOT(ISERROR(SEARCH("Continue",G53)))</formula>
    </cfRule>
    <cfRule type="containsText" dxfId="1459" priority="74" operator="containsText" text="Meets">
      <formula>NOT(ISERROR(SEARCH("Meets",G53)))</formula>
    </cfRule>
    <cfRule type="containsText" dxfId="1458" priority="71" operator="containsText" text="Start">
      <formula>NOT(ISERROR(SEARCH("Start",G53)))</formula>
    </cfRule>
    <cfRule type="containsText" dxfId="1457" priority="72" operator="containsText" text="N/A">
      <formula>NOT(ISERROR(SEARCH("N/A",G53)))</formula>
    </cfRule>
    <cfRule type="containsText" dxfId="1456" priority="75" operator="containsText" text="Under">
      <formula>NOT(ISERROR(SEARCH("Under",G53)))</formula>
    </cfRule>
    <cfRule type="containsText" dxfId="1455"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{1BA8E541-404D-4E75-821D-FD358D2BFFC5}</x14:id>
        </ext>
      </extLst>
    </cfRule>
  </conditionalFormatting>
  <conditionalFormatting sqref="G55">
    <cfRule type="containsText" dxfId="1454" priority="7" operator="containsText" text="Under">
      <formula>NOT(ISERROR(SEARCH("Under",G55)))</formula>
    </cfRule>
    <cfRule type="containsText" dxfId="1453" priority="1" operator="containsText" text="Continue">
      <formula>NOT(ISERROR(SEARCH("Continue",G55)))</formula>
    </cfRule>
    <cfRule type="containsText" dxfId="1452" priority="2" operator="containsText" text="Stop">
      <formula>NOT(ISERROR(SEARCH("Stop",G55)))</formula>
    </cfRule>
    <cfRule type="containsText" dxfId="1451" priority="3" operator="containsText" text="Start">
      <formula>NOT(ISERROR(SEARCH("Start",G55)))</formula>
    </cfRule>
    <cfRule type="containsText" dxfId="1450" priority="4" operator="containsText" text="N/A">
      <formula>NOT(ISERROR(SEARCH("N/A",G55)))</formula>
    </cfRule>
    <cfRule type="containsText" dxfId="1449" priority="5" operator="containsText" text="Exceeds">
      <formula>NOT(ISERROR(SEARCH("Exceeds",G55)))</formula>
    </cfRule>
    <cfRule type="containsText" dxfId="1448" priority="6" operator="containsText" text="Meets">
      <formula>NOT(ISERROR(SEARCH("Meets",G55)))</formula>
    </cfRule>
  </conditionalFormatting>
  <conditionalFormatting sqref="G59">
    <cfRule type="containsText" dxfId="1447" priority="67" operator="containsText" text="Under">
      <formula>NOT(ISERROR(SEARCH("Under",G59)))</formula>
    </cfRule>
    <cfRule type="containsText" dxfId="1446" priority="66" operator="containsText" text="Meets">
      <formula>NOT(ISERROR(SEARCH("Meets",G59)))</formula>
    </cfRule>
    <cfRule type="containsText" dxfId="1445" priority="65" operator="containsText" text="Exceeds">
      <formula>NOT(ISERROR(SEARCH("Exceeds",G59)))</formula>
    </cfRule>
    <cfRule type="containsText" dxfId="1444" priority="61" operator="containsText" text="Continue">
      <formula>NOT(ISERROR(SEARCH("Continue",G59)))</formula>
    </cfRule>
    <cfRule type="containsText" dxfId="1443" priority="62" operator="containsText" text="Stop">
      <formula>NOT(ISERROR(SEARCH("Stop",G59)))</formula>
    </cfRule>
    <cfRule type="containsText" dxfId="1442" priority="63" operator="containsText" text="Start">
      <formula>NOT(ISERROR(SEARCH("Start",G59)))</formula>
    </cfRule>
    <cfRule type="containsText" dxfId="1441"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{18DC937D-0EF8-4EEA-B2A4-56D0A9D1FC12}</x14:id>
        </ext>
      </extLst>
    </cfRule>
  </conditionalFormatting>
  <conditionalFormatting sqref="G61">
    <cfRule type="containsText" dxfId="1440" priority="41" operator="containsText" text="Exceeds">
      <formula>NOT(ISERROR(SEARCH("Exceeds",G61)))</formula>
    </cfRule>
    <cfRule type="containsText" dxfId="1439" priority="42" operator="containsText" text="Meets">
      <formula>NOT(ISERROR(SEARCH("Meets",G61)))</formula>
    </cfRule>
    <cfRule type="containsText" dxfId="1438" priority="43" operator="containsText" text="Under">
      <formula>NOT(ISERROR(SEARCH("Under",G61)))</formula>
    </cfRule>
    <cfRule type="containsText" dxfId="1437" priority="40" operator="containsText" text="N/A">
      <formula>NOT(ISERROR(SEARCH("N/A",G61)))</formula>
    </cfRule>
    <cfRule type="containsText" dxfId="1436" priority="39" operator="containsText" text="Start">
      <formula>NOT(ISERROR(SEARCH("Start",G61)))</formula>
    </cfRule>
    <cfRule type="containsText" dxfId="1435" priority="38" operator="containsText" text="Stop">
      <formula>NOT(ISERROR(SEARCH("Stop",G61)))</formula>
    </cfRule>
    <cfRule type="containsText" dxfId="1434"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{D16A4399-6496-4FC0-AD91-7E26250316CB}</x14:id>
        </ext>
      </extLst>
    </cfRule>
  </conditionalFormatting>
  <conditionalFormatting sqref="G65">
    <cfRule type="containsText" dxfId="1433" priority="59" operator="containsText" text="Under">
      <formula>NOT(ISERROR(SEARCH("Under",G65)))</formula>
    </cfRule>
    <cfRule type="containsText" dxfId="1432" priority="57" operator="containsText" text="Exceeds">
      <formula>NOT(ISERROR(SEARCH("Exceeds",G65)))</formula>
    </cfRule>
    <cfRule type="containsText" dxfId="1431" priority="56" operator="containsText" text="N/A">
      <formula>NOT(ISERROR(SEARCH("N/A",G65)))</formula>
    </cfRule>
    <cfRule type="containsText" dxfId="1430" priority="53" operator="containsText" text="Continue">
      <formula>NOT(ISERROR(SEARCH("Continue",G65)))</formula>
    </cfRule>
    <cfRule type="containsText" dxfId="1429" priority="54" operator="containsText" text="Stop">
      <formula>NOT(ISERROR(SEARCH("Stop",G65)))</formula>
    </cfRule>
    <cfRule type="containsText" dxfId="1428" priority="58" operator="containsText" text="Meets">
      <formula>NOT(ISERROR(SEARCH("Meets",G65)))</formula>
    </cfRule>
    <cfRule type="containsText" dxfId="1427"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{3E261B66-41A7-48AF-9298-AE32D7629DD1}</x14:id>
        </ext>
      </extLst>
    </cfRule>
  </conditionalFormatting>
  <conditionalFormatting sqref="G67">
    <cfRule type="containsText" dxfId="1426" priority="45" operator="containsText" text="Continue">
      <formula>NOT(ISERROR(SEARCH("Continue",G67)))</formula>
    </cfRule>
    <cfRule type="containsText" dxfId="1425" priority="47" operator="containsText" text="Start">
      <formula>NOT(ISERROR(SEARCH("Start",G67)))</formula>
    </cfRule>
    <cfRule type="containsText" dxfId="1424" priority="48" operator="containsText" text="N/A">
      <formula>NOT(ISERROR(SEARCH("N/A",G67)))</formula>
    </cfRule>
    <cfRule type="containsText" dxfId="1423" priority="49" operator="containsText" text="Exceeds">
      <formula>NOT(ISERROR(SEARCH("Exceeds",G67)))</formula>
    </cfRule>
    <cfRule type="containsText" dxfId="1422" priority="50" operator="containsText" text="Meets">
      <formula>NOT(ISERROR(SEARCH("Meets",G67)))</formula>
    </cfRule>
    <cfRule type="containsText" dxfId="1421" priority="46" operator="containsText" text="Stop">
      <formula>NOT(ISERROR(SEARCH("Stop",G67)))</formula>
    </cfRule>
    <cfRule type="containsText" dxfId="1420"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{4B00B579-2F64-46BD-BC28-C72F1F1D6B61}</x14:id>
        </ext>
      </extLst>
    </cfRule>
  </conditionalFormatting>
  <conditionalFormatting sqref="G159 G161">
    <cfRule type="containsText" dxfId="1419" priority="308" operator="containsText" text="Continue">
      <formula>NOT(ISERROR(SEARCH("Continue",G159)))</formula>
    </cfRule>
    <cfRule type="containsText" dxfId="1418" priority="309" operator="containsText" text="Stop">
      <formula>NOT(ISERROR(SEARCH("Stop",G159)))</formula>
    </cfRule>
    <cfRule type="containsText" dxfId="1417" priority="310" operator="containsText" text="Start">
      <formula>NOT(ISERROR(SEARCH("Start",G159)))</formula>
    </cfRule>
    <cfRule type="containsText" dxfId="1416" priority="311" operator="containsText" text="N/A">
      <formula>NOT(ISERROR(SEARCH("N/A",G159)))</formula>
    </cfRule>
    <cfRule type="containsText" dxfId="1415" priority="312" operator="containsText" text="Exceeds">
      <formula>NOT(ISERROR(SEARCH("Exceeds",G159)))</formula>
    </cfRule>
    <cfRule type="containsText" dxfId="1414" priority="314" operator="containsText" text="Under">
      <formula>NOT(ISERROR(SEARCH("Under",G159)))</formula>
    </cfRule>
    <cfRule type="containsText" dxfId="1413" priority="313" operator="containsText" text="Meets">
      <formula>NOT(ISERROR(SEARCH("Meets",G159)))</formula>
    </cfRule>
  </conditionalFormatting>
  <conditionalFormatting sqref="G164 G166">
    <cfRule type="containsText" dxfId="1412" priority="291" operator="containsText" text="Under">
      <formula>NOT(ISERROR(SEARCH("Under",G164)))</formula>
    </cfRule>
    <cfRule type="containsText" dxfId="1411" priority="285" operator="containsText" text="Continue">
      <formula>NOT(ISERROR(SEARCH("Continue",G164)))</formula>
    </cfRule>
    <cfRule type="containsText" dxfId="1410" priority="286" operator="containsText" text="Stop">
      <formula>NOT(ISERROR(SEARCH("Stop",G164)))</formula>
    </cfRule>
    <cfRule type="containsText" dxfId="1409" priority="288" operator="containsText" text="N/A">
      <formula>NOT(ISERROR(SEARCH("N/A",G164)))</formula>
    </cfRule>
    <cfRule type="containsText" dxfId="1408" priority="289" operator="containsText" text="Exceeds">
      <formula>NOT(ISERROR(SEARCH("Exceeds",G164)))</formula>
    </cfRule>
    <cfRule type="containsText" dxfId="1407" priority="290" operator="containsText" text="Meets">
      <formula>NOT(ISERROR(SEARCH("Meets",G164)))</formula>
    </cfRule>
    <cfRule type="containsText" dxfId="1406" priority="287" operator="containsText" text="Start">
      <formula>NOT(ISERROR(SEARCH("Start",G164)))</formula>
    </cfRule>
  </conditionalFormatting>
  <conditionalFormatting sqref="G169 G171">
    <cfRule type="containsText" dxfId="1405" priority="258" operator="containsText" text="N/A">
      <formula>NOT(ISERROR(SEARCH("N/A",G169)))</formula>
    </cfRule>
    <cfRule type="containsText" dxfId="1404" priority="259" operator="containsText" text="Exceeds">
      <formula>NOT(ISERROR(SEARCH("Exceeds",G169)))</formula>
    </cfRule>
    <cfRule type="containsText" dxfId="1403" priority="260" operator="containsText" text="Meets">
      <formula>NOT(ISERROR(SEARCH("Meets",G169)))</formula>
    </cfRule>
    <cfRule type="containsText" dxfId="1402" priority="261" operator="containsText" text="Under">
      <formula>NOT(ISERROR(SEARCH("Under",G169)))</formula>
    </cfRule>
    <cfRule type="containsText" dxfId="1401" priority="256" operator="containsText" text="Stop">
      <formula>NOT(ISERROR(SEARCH("Stop",G169)))</formula>
    </cfRule>
    <cfRule type="containsText" dxfId="1400" priority="257" operator="containsText" text="Start">
      <formula>NOT(ISERROR(SEARCH("Start",G169)))</formula>
    </cfRule>
    <cfRule type="containsText" dxfId="1399" priority="255" operator="containsText" text="Continue">
      <formula>NOT(ISERROR(SEARCH("Continue",G169)))</formula>
    </cfRule>
  </conditionalFormatting>
  <conditionalFormatting sqref="J29">
    <cfRule type="containsText" dxfId="1398" priority="374" operator="containsText" text="Continue">
      <formula>NOT(ISERROR(SEARCH("Continue",J29)))</formula>
    </cfRule>
    <cfRule type="containsText" dxfId="1397" priority="379" operator="containsText" text="Meets">
      <formula>NOT(ISERROR(SEARCH("Meets",J29)))</formula>
    </cfRule>
    <cfRule type="containsText" dxfId="1396" priority="380" operator="containsText" text="Under">
      <formula>NOT(ISERROR(SEARCH("Under",J29)))</formula>
    </cfRule>
    <cfRule type="containsText" dxfId="1395" priority="378" operator="containsText" text="Exceeds">
      <formula>NOT(ISERROR(SEARCH("Exceeds",J29)))</formula>
    </cfRule>
    <cfRule type="containsText" dxfId="1394" priority="377" operator="containsText" text="N/A">
      <formula>NOT(ISERROR(SEARCH("N/A",J29)))</formula>
    </cfRule>
    <cfRule type="containsText" dxfId="1393" priority="376" operator="containsText" text="Start">
      <formula>NOT(ISERROR(SEARCH("Start",J29)))</formula>
    </cfRule>
    <cfRule type="containsText" dxfId="1392" priority="375" operator="containsText" text="Stop">
      <formula>NOT(ISERROR(SEARCH("Stop",J29)))</formula>
    </cfRule>
  </conditionalFormatting>
  <conditionalFormatting sqref="J31">
    <cfRule type="containsText" dxfId="1391" priority="208" operator="containsText" text="Stop">
      <formula>NOT(ISERROR(SEARCH("Stop",J31)))</formula>
    </cfRule>
    <cfRule type="containsText" dxfId="1390" priority="212" operator="containsText" text="Meets">
      <formula>NOT(ISERROR(SEARCH("Meets",J31)))</formula>
    </cfRule>
    <cfRule type="containsText" dxfId="1389" priority="211" operator="containsText" text="Exceeds">
      <formula>NOT(ISERROR(SEARCH("Exceeds",J31)))</formula>
    </cfRule>
    <cfRule type="containsText" dxfId="1388" priority="210" operator="containsText" text="N/A">
      <formula>NOT(ISERROR(SEARCH("N/A",J31)))</formula>
    </cfRule>
    <cfRule type="containsText" dxfId="1387" priority="209" operator="containsText" text="Start">
      <formula>NOT(ISERROR(SEARCH("Start",J31)))</formula>
    </cfRule>
    <cfRule type="containsText" dxfId="1386" priority="207" operator="containsText" text="Continue">
      <formula>NOT(ISERROR(SEARCH("Continue",J31)))</formula>
    </cfRule>
    <cfRule type="containsText" dxfId="1385" priority="213" operator="containsText" text="Under">
      <formula>NOT(ISERROR(SEARCH("Under",J31)))</formula>
    </cfRule>
  </conditionalFormatting>
  <conditionalFormatting sqref="J35">
    <cfRule type="containsText" dxfId="1384" priority="205" operator="containsText" text="Under">
      <formula>NOT(ISERROR(SEARCH("Under",J35)))</formula>
    </cfRule>
    <cfRule type="containsText" dxfId="1383" priority="199" operator="containsText" text="Continue">
      <formula>NOT(ISERROR(SEARCH("Continue",J35)))</formula>
    </cfRule>
    <cfRule type="containsText" dxfId="1382" priority="200" operator="containsText" text="Stop">
      <formula>NOT(ISERROR(SEARCH("Stop",J35)))</formula>
    </cfRule>
    <cfRule type="containsText" dxfId="1381" priority="201" operator="containsText" text="Start">
      <formula>NOT(ISERROR(SEARCH("Start",J35)))</formula>
    </cfRule>
    <cfRule type="containsText" dxfId="1380" priority="204" operator="containsText" text="Meets">
      <formula>NOT(ISERROR(SEARCH("Meets",J35)))</formula>
    </cfRule>
    <cfRule type="containsText" dxfId="1379" priority="203" operator="containsText" text="Exceeds">
      <formula>NOT(ISERROR(SEARCH("Exceeds",J35)))</formula>
    </cfRule>
    <cfRule type="containsText" dxfId="1378" priority="202" operator="containsText" text="N/A">
      <formula>NOT(ISERROR(SEARCH("N/A",J35)))</formula>
    </cfRule>
  </conditionalFormatting>
  <conditionalFormatting sqref="J37">
    <cfRule type="containsText" dxfId="1377" priority="195" operator="containsText" text="N/A">
      <formula>NOT(ISERROR(SEARCH("N/A",J37)))</formula>
    </cfRule>
    <cfRule type="containsText" dxfId="1376" priority="196" operator="containsText" text="Exceeds">
      <formula>NOT(ISERROR(SEARCH("Exceeds",J37)))</formula>
    </cfRule>
    <cfRule type="containsText" dxfId="1375" priority="194" operator="containsText" text="Start">
      <formula>NOT(ISERROR(SEARCH("Start",J37)))</formula>
    </cfRule>
    <cfRule type="containsText" dxfId="1374" priority="193" operator="containsText" text="Stop">
      <formula>NOT(ISERROR(SEARCH("Stop",J37)))</formula>
    </cfRule>
    <cfRule type="containsText" dxfId="1373" priority="192" operator="containsText" text="Continue">
      <formula>NOT(ISERROR(SEARCH("Continue",J37)))</formula>
    </cfRule>
    <cfRule type="containsText" dxfId="1372" priority="197" operator="containsText" text="Meets">
      <formula>NOT(ISERROR(SEARCH("Meets",J37)))</formula>
    </cfRule>
    <cfRule type="containsText" dxfId="1371" priority="198" operator="containsText" text="Under">
      <formula>NOT(ISERROR(SEARCH("Under",J37)))</formula>
    </cfRule>
  </conditionalFormatting>
  <conditionalFormatting sqref="J41">
    <cfRule type="containsText" dxfId="1370" priority="189" operator="containsText" text="Meets">
      <formula>NOT(ISERROR(SEARCH("Meets",J41)))</formula>
    </cfRule>
    <cfRule type="containsText" dxfId="1369" priority="186" operator="containsText" text="Start">
      <formula>NOT(ISERROR(SEARCH("Start",J41)))</formula>
    </cfRule>
    <cfRule type="containsText" dxfId="1368" priority="187" operator="containsText" text="N/A">
      <formula>NOT(ISERROR(SEARCH("N/A",J41)))</formula>
    </cfRule>
    <cfRule type="containsText" dxfId="1367" priority="188" operator="containsText" text="Exceeds">
      <formula>NOT(ISERROR(SEARCH("Exceeds",J41)))</formula>
    </cfRule>
    <cfRule type="containsText" dxfId="1366" priority="190" operator="containsText" text="Under">
      <formula>NOT(ISERROR(SEARCH("Under",J41)))</formula>
    </cfRule>
    <cfRule type="containsText" dxfId="1365" priority="184" operator="containsText" text="Continue">
      <formula>NOT(ISERROR(SEARCH("Continue",J41)))</formula>
    </cfRule>
    <cfRule type="containsText" dxfId="1364" priority="185" operator="containsText" text="Stop">
      <formula>NOT(ISERROR(SEARCH("Stop",J41)))</formula>
    </cfRule>
  </conditionalFormatting>
  <conditionalFormatting sqref="J43">
    <cfRule type="containsText" dxfId="1363" priority="179" operator="containsText" text="Start">
      <formula>NOT(ISERROR(SEARCH("Start",J43)))</formula>
    </cfRule>
    <cfRule type="containsText" dxfId="1362" priority="182" operator="containsText" text="Meets">
      <formula>NOT(ISERROR(SEARCH("Meets",J43)))</formula>
    </cfRule>
    <cfRule type="containsText" dxfId="1361" priority="177" operator="containsText" text="Continue">
      <formula>NOT(ISERROR(SEARCH("Continue",J43)))</formula>
    </cfRule>
    <cfRule type="containsText" dxfId="1360" priority="180" operator="containsText" text="N/A">
      <formula>NOT(ISERROR(SEARCH("N/A",J43)))</formula>
    </cfRule>
    <cfRule type="containsText" dxfId="1359" priority="183" operator="containsText" text="Under">
      <formula>NOT(ISERROR(SEARCH("Under",J43)))</formula>
    </cfRule>
    <cfRule type="containsText" dxfId="1358" priority="181" operator="containsText" text="Exceeds">
      <formula>NOT(ISERROR(SEARCH("Exceeds",J43)))</formula>
    </cfRule>
    <cfRule type="containsText" dxfId="1357" priority="178" operator="containsText" text="Stop">
      <formula>NOT(ISERROR(SEARCH("Stop",J43)))</formula>
    </cfRule>
  </conditionalFormatting>
  <conditionalFormatting sqref="J47">
    <cfRule type="containsText" dxfId="1356" priority="173" operator="containsText" text="Exceeds">
      <formula>NOT(ISERROR(SEARCH("Exceeds",J47)))</formula>
    </cfRule>
    <cfRule type="containsText" dxfId="1355" priority="169" operator="containsText" text="Continue">
      <formula>NOT(ISERROR(SEARCH("Continue",J47)))</formula>
    </cfRule>
    <cfRule type="containsText" dxfId="1354" priority="170" operator="containsText" text="Stop">
      <formula>NOT(ISERROR(SEARCH("Stop",J47)))</formula>
    </cfRule>
    <cfRule type="containsText" dxfId="1353" priority="172" operator="containsText" text="N/A">
      <formula>NOT(ISERROR(SEARCH("N/A",J47)))</formula>
    </cfRule>
    <cfRule type="containsText" dxfId="1352" priority="174" operator="containsText" text="Meets">
      <formula>NOT(ISERROR(SEARCH("Meets",J47)))</formula>
    </cfRule>
    <cfRule type="containsText" dxfId="1351" priority="175" operator="containsText" text="Under">
      <formula>NOT(ISERROR(SEARCH("Under",J47)))</formula>
    </cfRule>
    <cfRule type="containsText" dxfId="1350" priority="171" operator="containsText" text="Start">
      <formula>NOT(ISERROR(SEARCH("Start",J47)))</formula>
    </cfRule>
  </conditionalFormatting>
  <conditionalFormatting sqref="J49">
    <cfRule type="containsText" dxfId="1349" priority="168" operator="containsText" text="Under">
      <formula>NOT(ISERROR(SEARCH("Under",J49)))</formula>
    </cfRule>
    <cfRule type="containsText" dxfId="1348" priority="163" operator="containsText" text="Stop">
      <formula>NOT(ISERROR(SEARCH("Stop",J49)))</formula>
    </cfRule>
    <cfRule type="containsText" dxfId="1347" priority="167" operator="containsText" text="Meets">
      <formula>NOT(ISERROR(SEARCH("Meets",J49)))</formula>
    </cfRule>
    <cfRule type="containsText" dxfId="1346" priority="164" operator="containsText" text="Start">
      <formula>NOT(ISERROR(SEARCH("Start",J49)))</formula>
    </cfRule>
    <cfRule type="containsText" dxfId="1345" priority="162" operator="containsText" text="Continue">
      <formula>NOT(ISERROR(SEARCH("Continue",J49)))</formula>
    </cfRule>
    <cfRule type="containsText" dxfId="1344" priority="165" operator="containsText" text="N/A">
      <formula>NOT(ISERROR(SEARCH("N/A",J49)))</formula>
    </cfRule>
    <cfRule type="containsText" dxfId="1343" priority="166" operator="containsText" text="Exceeds">
      <formula>NOT(ISERROR(SEARCH("Exceeds",J49)))</formula>
    </cfRule>
  </conditionalFormatting>
  <conditionalFormatting sqref="J53">
    <cfRule type="containsText" dxfId="1342" priority="154" operator="containsText" text="Continue">
      <formula>NOT(ISERROR(SEARCH("Continue",J53)))</formula>
    </cfRule>
    <cfRule type="containsText" dxfId="1341" priority="155" operator="containsText" text="Stop">
      <formula>NOT(ISERROR(SEARCH("Stop",J53)))</formula>
    </cfRule>
    <cfRule type="containsText" dxfId="1340" priority="156" operator="containsText" text="Start">
      <formula>NOT(ISERROR(SEARCH("Start",J53)))</formula>
    </cfRule>
    <cfRule type="containsText" dxfId="1339" priority="157" operator="containsText" text="N/A">
      <formula>NOT(ISERROR(SEARCH("N/A",J53)))</formula>
    </cfRule>
    <cfRule type="containsText" dxfId="1338" priority="158" operator="containsText" text="Exceeds">
      <formula>NOT(ISERROR(SEARCH("Exceeds",J53)))</formula>
    </cfRule>
    <cfRule type="containsText" dxfId="1337" priority="159" operator="containsText" text="Meets">
      <formula>NOT(ISERROR(SEARCH("Meets",J53)))</formula>
    </cfRule>
    <cfRule type="containsText" dxfId="1336" priority="160" operator="containsText" text="Under">
      <formula>NOT(ISERROR(SEARCH("Under",J53)))</formula>
    </cfRule>
  </conditionalFormatting>
  <conditionalFormatting sqref="J55">
    <cfRule type="containsText" dxfId="1335" priority="147" operator="containsText" text="Continue">
      <formula>NOT(ISERROR(SEARCH("Continue",J55)))</formula>
    </cfRule>
    <cfRule type="containsText" dxfId="1334" priority="151" operator="containsText" text="Exceeds">
      <formula>NOT(ISERROR(SEARCH("Exceeds",J55)))</formula>
    </cfRule>
    <cfRule type="containsText" dxfId="1333" priority="152" operator="containsText" text="Meets">
      <formula>NOT(ISERROR(SEARCH("Meets",J55)))</formula>
    </cfRule>
    <cfRule type="containsText" dxfId="1332" priority="153" operator="containsText" text="Under">
      <formula>NOT(ISERROR(SEARCH("Under",J55)))</formula>
    </cfRule>
    <cfRule type="containsText" dxfId="1331" priority="148" operator="containsText" text="Stop">
      <formula>NOT(ISERROR(SEARCH("Stop",J55)))</formula>
    </cfRule>
    <cfRule type="containsText" dxfId="1330" priority="149" operator="containsText" text="Start">
      <formula>NOT(ISERROR(SEARCH("Start",J55)))</formula>
    </cfRule>
    <cfRule type="containsText" dxfId="1329" priority="150" operator="containsText" text="N/A">
      <formula>NOT(ISERROR(SEARCH("N/A",J55)))</formula>
    </cfRule>
  </conditionalFormatting>
  <conditionalFormatting sqref="J59">
    <cfRule type="containsText" dxfId="1328" priority="139" operator="containsText" text="Continue">
      <formula>NOT(ISERROR(SEARCH("Continue",J59)))</formula>
    </cfRule>
    <cfRule type="containsText" dxfId="1327" priority="140" operator="containsText" text="Stop">
      <formula>NOT(ISERROR(SEARCH("Stop",J59)))</formula>
    </cfRule>
    <cfRule type="containsText" dxfId="1326" priority="141" operator="containsText" text="Start">
      <formula>NOT(ISERROR(SEARCH("Start",J59)))</formula>
    </cfRule>
    <cfRule type="containsText" dxfId="1325" priority="142" operator="containsText" text="N/A">
      <formula>NOT(ISERROR(SEARCH("N/A",J59)))</formula>
    </cfRule>
    <cfRule type="containsText" dxfId="1324" priority="143" operator="containsText" text="Exceeds">
      <formula>NOT(ISERROR(SEARCH("Exceeds",J59)))</formula>
    </cfRule>
    <cfRule type="containsText" dxfId="1323" priority="144" operator="containsText" text="Meets">
      <formula>NOT(ISERROR(SEARCH("Meets",J59)))</formula>
    </cfRule>
    <cfRule type="containsText" dxfId="1322" priority="145" operator="containsText" text="Under">
      <formula>NOT(ISERROR(SEARCH("Under",J59)))</formula>
    </cfRule>
  </conditionalFormatting>
  <conditionalFormatting sqref="J61">
    <cfRule type="containsText" dxfId="1321" priority="134" operator="containsText" text="Start">
      <formula>NOT(ISERROR(SEARCH("Start",J61)))</formula>
    </cfRule>
    <cfRule type="containsText" dxfId="1320" priority="133" operator="containsText" text="Stop">
      <formula>NOT(ISERROR(SEARCH("Stop",J61)))</formula>
    </cfRule>
    <cfRule type="containsText" dxfId="1319" priority="135" operator="containsText" text="N/A">
      <formula>NOT(ISERROR(SEARCH("N/A",J61)))</formula>
    </cfRule>
    <cfRule type="containsText" dxfId="1318" priority="132" operator="containsText" text="Continue">
      <formula>NOT(ISERROR(SEARCH("Continue",J61)))</formula>
    </cfRule>
    <cfRule type="containsText" dxfId="1317" priority="136" operator="containsText" text="Exceeds">
      <formula>NOT(ISERROR(SEARCH("Exceeds",J61)))</formula>
    </cfRule>
    <cfRule type="containsText" dxfId="1316" priority="137" operator="containsText" text="Meets">
      <formula>NOT(ISERROR(SEARCH("Meets",J61)))</formula>
    </cfRule>
    <cfRule type="containsText" dxfId="1315" priority="138" operator="containsText" text="Under">
      <formula>NOT(ISERROR(SEARCH("Under",J61)))</formula>
    </cfRule>
  </conditionalFormatting>
  <conditionalFormatting sqref="J65">
    <cfRule type="containsText" dxfId="1314" priority="127" operator="containsText" text="N/A">
      <formula>NOT(ISERROR(SEARCH("N/A",J65)))</formula>
    </cfRule>
    <cfRule type="containsText" dxfId="1313" priority="126" operator="containsText" text="Start">
      <formula>NOT(ISERROR(SEARCH("Start",J65)))</formula>
    </cfRule>
    <cfRule type="containsText" dxfId="1312" priority="125" operator="containsText" text="Stop">
      <formula>NOT(ISERROR(SEARCH("Stop",J65)))</formula>
    </cfRule>
    <cfRule type="containsText" dxfId="1311" priority="124" operator="containsText" text="Continue">
      <formula>NOT(ISERROR(SEARCH("Continue",J65)))</formula>
    </cfRule>
    <cfRule type="containsText" dxfId="1310" priority="130" operator="containsText" text="Under">
      <formula>NOT(ISERROR(SEARCH("Under",J65)))</formula>
    </cfRule>
    <cfRule type="containsText" dxfId="1309" priority="129" operator="containsText" text="Meets">
      <formula>NOT(ISERROR(SEARCH("Meets",J65)))</formula>
    </cfRule>
    <cfRule type="containsText" dxfId="1308" priority="128" operator="containsText" text="Exceeds">
      <formula>NOT(ISERROR(SEARCH("Exceeds",J65)))</formula>
    </cfRule>
  </conditionalFormatting>
  <conditionalFormatting sqref="J67">
    <cfRule type="containsText" dxfId="1307" priority="121" operator="containsText" text="Exceeds">
      <formula>NOT(ISERROR(SEARCH("Exceeds",J67)))</formula>
    </cfRule>
    <cfRule type="containsText" dxfId="1306" priority="120" operator="containsText" text="N/A">
      <formula>NOT(ISERROR(SEARCH("N/A",J67)))</formula>
    </cfRule>
    <cfRule type="containsText" dxfId="1305" priority="119" operator="containsText" text="Start">
      <formula>NOT(ISERROR(SEARCH("Start",J67)))</formula>
    </cfRule>
    <cfRule type="containsText" dxfId="1304" priority="118" operator="containsText" text="Stop">
      <formula>NOT(ISERROR(SEARCH("Stop",J67)))</formula>
    </cfRule>
    <cfRule type="containsText" dxfId="1303" priority="117" operator="containsText" text="Continue">
      <formula>NOT(ISERROR(SEARCH("Continue",J67)))</formula>
    </cfRule>
    <cfRule type="containsText" dxfId="1302" priority="123" operator="containsText" text="Under">
      <formula>NOT(ISERROR(SEARCH("Under",J67)))</formula>
    </cfRule>
    <cfRule type="containsText" dxfId="1301" priority="122" operator="containsText" text="Meets">
      <formula>NOT(ISERROR(SEARCH("Meets",J67)))</formula>
    </cfRule>
  </conditionalFormatting>
  <conditionalFormatting sqref="J154:J156">
    <cfRule type="containsText" dxfId="1300" priority="106" operator="containsText" text="Under">
      <formula>NOT(ISERROR(SEARCH("Under",J154)))</formula>
    </cfRule>
    <cfRule type="containsText" dxfId="1299" priority="105" operator="containsText" text="Meets">
      <formula>NOT(ISERROR(SEARCH("Meets",J154)))</formula>
    </cfRule>
    <cfRule type="containsText" dxfId="1298" priority="104" operator="containsText" text="Exceeds">
      <formula>NOT(ISERROR(SEARCH("Exceeds",J154)))</formula>
    </cfRule>
    <cfRule type="containsText" dxfId="1297" priority="103" operator="containsText" text="N/A">
      <formula>NOT(ISERROR(SEARCH("N/A",J154)))</formula>
    </cfRule>
    <cfRule type="containsText" dxfId="1296" priority="102" operator="containsText" text="Start">
      <formula>NOT(ISERROR(SEARCH("Start",J154)))</formula>
    </cfRule>
    <cfRule type="containsText" dxfId="1295" priority="101" operator="containsText" text="Stop">
      <formula>NOT(ISERROR(SEARCH("Stop",J154)))</formula>
    </cfRule>
    <cfRule type="containsText" dxfId="1294"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{7A7F8394-671F-4AE9-A6C3-18F50377D718}</x14:id>
        </ext>
      </extLst>
    </cfRule>
    <cfRule type="dataBar" priority="107">
      <dataBar>
        <cfvo type="num" val="0"/>
        <cfvo type="num" val="1"/>
        <color theme="0" tint="-0.249977111117893"/>
      </dataBar>
      <extLst>
        <ext xmlns:x14="http://schemas.microsoft.com/office/spreadsheetml/2009/9/main" uri="{B025F937-C7B1-47D3-B67F-A62EFF666E3E}">
          <x14:id>{664091C6-6C5E-46D4-A3E7-FABA8534A045}</x14:id>
        </ext>
      </extLst>
    </cfRule>
  </conditionalFormatting>
  <conditionalFormatting sqref="J159 J164">
    <cfRule type="containsText" dxfId="1293" priority="435" operator="containsText" text="Stop">
      <formula>NOT(ISERROR(SEARCH("Stop",J159)))</formula>
    </cfRule>
    <cfRule type="containsText" dxfId="1292" priority="437" operator="containsText" text="N/A">
      <formula>NOT(ISERROR(SEARCH("N/A",J159)))</formula>
    </cfRule>
    <cfRule type="containsText" dxfId="1291" priority="436" operator="containsText" text="Start">
      <formula>NOT(ISERROR(SEARCH("Start",J159)))</formula>
    </cfRule>
    <cfRule type="containsText" dxfId="1290" priority="438" operator="containsText" text="Exceeds">
      <formula>NOT(ISERROR(SEARCH("Exceeds",J159)))</formula>
    </cfRule>
    <cfRule type="containsText" dxfId="1289" priority="439" operator="containsText" text="Meets">
      <formula>NOT(ISERROR(SEARCH("Meets",J159)))</formula>
    </cfRule>
    <cfRule type="containsText" dxfId="1288" priority="440" operator="containsText" text="Under">
      <formula>NOT(ISERROR(SEARCH("Under",J159)))</formula>
    </cfRule>
    <cfRule type="containsText" dxfId="1287" priority="434" operator="containsText" text="Continue">
      <formula>NOT(ISERROR(SEARCH("Continue",J159)))</formula>
    </cfRule>
  </conditionalFormatting>
  <conditionalFormatting sqref="J161">
    <cfRule type="containsText" dxfId="1286" priority="306" operator="containsText" text="Meets">
      <formula>NOT(ISERROR(SEARCH("Meets",J161)))</formula>
    </cfRule>
    <cfRule type="containsText" dxfId="1285" priority="305" operator="containsText" text="Exceeds">
      <formula>NOT(ISERROR(SEARCH("Exceeds",J161)))</formula>
    </cfRule>
    <cfRule type="containsText" dxfId="1284" priority="304" operator="containsText" text="N/A">
      <formula>NOT(ISERROR(SEARCH("N/A",J161)))</formula>
    </cfRule>
    <cfRule type="containsText" dxfId="1283" priority="303" operator="containsText" text="Start">
      <formula>NOT(ISERROR(SEARCH("Start",J161)))</formula>
    </cfRule>
    <cfRule type="containsText" dxfId="1282" priority="302" operator="containsText" text="Stop">
      <formula>NOT(ISERROR(SEARCH("Stop",J161)))</formula>
    </cfRule>
    <cfRule type="containsText" dxfId="1281" priority="301" operator="containsText" text="Continue">
      <formula>NOT(ISERROR(SEARCH("Continue",J161)))</formula>
    </cfRule>
    <cfRule type="containsText" dxfId="1280" priority="307" operator="containsText" text="Under">
      <formula>NOT(ISERROR(SEARCH("Under",J161)))</formula>
    </cfRule>
  </conditionalFormatting>
  <conditionalFormatting sqref="J166">
    <cfRule type="containsText" dxfId="1279" priority="282" operator="containsText" text="Exceeds">
      <formula>NOT(ISERROR(SEARCH("Exceeds",J166)))</formula>
    </cfRule>
    <cfRule type="containsText" dxfId="1278" priority="284" operator="containsText" text="Under">
      <formula>NOT(ISERROR(SEARCH("Under",J166)))</formula>
    </cfRule>
    <cfRule type="containsText" dxfId="1277" priority="281" operator="containsText" text="N/A">
      <formula>NOT(ISERROR(SEARCH("N/A",J166)))</formula>
    </cfRule>
    <cfRule type="containsText" dxfId="1276" priority="280" operator="containsText" text="Start">
      <formula>NOT(ISERROR(SEARCH("Start",J166)))</formula>
    </cfRule>
    <cfRule type="containsText" dxfId="1275" priority="279" operator="containsText" text="Stop">
      <formula>NOT(ISERROR(SEARCH("Stop",J166)))</formula>
    </cfRule>
    <cfRule type="containsText" dxfId="1274" priority="278" operator="containsText" text="Continue">
      <formula>NOT(ISERROR(SEARCH("Continue",J166)))</formula>
    </cfRule>
    <cfRule type="containsText" dxfId="1273" priority="283" operator="containsText" text="Meets">
      <formula>NOT(ISERROR(SEARCH("Meets",J166)))</formula>
    </cfRule>
  </conditionalFormatting>
  <conditionalFormatting sqref="J169">
    <cfRule type="containsText" dxfId="1272" priority="273" operator="containsText" text="Start">
      <formula>NOT(ISERROR(SEARCH("Start",J169)))</formula>
    </cfRule>
    <cfRule type="containsText" dxfId="1271" priority="272" operator="containsText" text="Stop">
      <formula>NOT(ISERROR(SEARCH("Stop",J169)))</formula>
    </cfRule>
    <cfRule type="containsText" dxfId="1270" priority="276" operator="containsText" text="Meets">
      <formula>NOT(ISERROR(SEARCH("Meets",J169)))</formula>
    </cfRule>
    <cfRule type="containsText" dxfId="1269" priority="271" operator="containsText" text="Continue">
      <formula>NOT(ISERROR(SEARCH("Continue",J169)))</formula>
    </cfRule>
    <cfRule type="containsText" dxfId="1268" priority="277" operator="containsText" text="Under">
      <formula>NOT(ISERROR(SEARCH("Under",J169)))</formula>
    </cfRule>
    <cfRule type="containsText" dxfId="1267" priority="274" operator="containsText" text="N/A">
      <formula>NOT(ISERROR(SEARCH("N/A",J169)))</formula>
    </cfRule>
    <cfRule type="containsText" dxfId="1266" priority="275" operator="containsText" text="Exceeds">
      <formula>NOT(ISERROR(SEARCH("Exceeds",J169)))</formula>
    </cfRule>
  </conditionalFormatting>
  <conditionalFormatting sqref="J171">
    <cfRule type="containsText" dxfId="1265" priority="248" operator="containsText" text="Continue">
      <formula>NOT(ISERROR(SEARCH("Continue",J171)))</formula>
    </cfRule>
    <cfRule type="containsText" dxfId="1264" priority="249" operator="containsText" text="Stop">
      <formula>NOT(ISERROR(SEARCH("Stop",J171)))</formula>
    </cfRule>
    <cfRule type="containsText" dxfId="1263" priority="251" operator="containsText" text="N/A">
      <formula>NOT(ISERROR(SEARCH("N/A",J171)))</formula>
    </cfRule>
    <cfRule type="containsText" dxfId="1262" priority="252" operator="containsText" text="Exceeds">
      <formula>NOT(ISERROR(SEARCH("Exceeds",J171)))</formula>
    </cfRule>
    <cfRule type="containsText" dxfId="1261" priority="250" operator="containsText" text="Start">
      <formula>NOT(ISERROR(SEARCH("Start",J171)))</formula>
    </cfRule>
    <cfRule type="containsText" dxfId="1260" priority="253" operator="containsText" text="Meets">
      <formula>NOT(ISERROR(SEARCH("Meets",J171)))</formula>
    </cfRule>
    <cfRule type="containsText" dxfId="1259" priority="254" operator="containsText" text="Under">
      <formula>NOT(ISERROR(SEARCH("Under",J171)))</formula>
    </cfRule>
  </conditionalFormatting>
  <conditionalFormatting sqref="M62 M68">
    <cfRule type="containsText" dxfId="1258" priority="448" operator="containsText" text="N/A">
      <formula>NOT(ISERROR(SEARCH("N/A",M62)))</formula>
    </cfRule>
    <cfRule type="containsText" dxfId="1257" priority="449" operator="containsText" text="Exceeds">
      <formula>NOT(ISERROR(SEARCH("Exceeds",M62)))</formula>
    </cfRule>
    <cfRule type="containsText" dxfId="1256" priority="450" operator="containsText" text="Meets">
      <formula>NOT(ISERROR(SEARCH("Meets",M62)))</formula>
    </cfRule>
    <cfRule type="containsText" dxfId="1255" priority="451" operator="containsText" text="Under">
      <formula>NOT(ISERROR(SEARCH("Under",M62)))</formula>
    </cfRule>
  </conditionalFormatting>
  <conditionalFormatting sqref="Q14:Q16">
    <cfRule type="containsText" dxfId="1254" priority="453" operator="containsText" text="Exceeds">
      <formula>NOT(ISERROR(SEARCH("Exceeds",Q14)))</formula>
    </cfRule>
    <cfRule type="containsText" dxfId="1253" priority="454" operator="containsText" text="Meets">
      <formula>NOT(ISERROR(SEARCH("Meets",Q14)))</formula>
    </cfRule>
    <cfRule type="containsText" dxfId="1252" priority="455" operator="containsText" text="Under">
      <formula>NOT(ISERROR(SEARCH("Under",Q14)))</formula>
    </cfRule>
    <cfRule type="containsText" dxfId="1251" priority="452" operator="containsText" text="N/A">
      <formula>NOT(ISERROR(SEARCH("N/A",Q14)))</formula>
    </cfRule>
  </conditionalFormatting>
  <dataValidations count="8">
    <dataValidation type="list" allowBlank="1" showInputMessage="1" showErrorMessage="1" sqref="L73:L80" xr:uid="{40E908BA-5F33-4FE4-B204-2F761277F008}">
      <formula1>"0, 1, 2, 3, 4, 5, 6, 7, 8, 9, 10"</formula1>
    </dataValidation>
    <dataValidation allowBlank="1" showInputMessage="1" showErrorMessage="1" prompt="Enter Company Name in cell B4._x000a_A legend is in cells I4 through AC4.  The Legend label is in cell G4." sqref="A2:C2" xr:uid="{25C1CFDE-5522-4E5F-AB32-1DB1A415B997}"/>
    <dataValidation allowBlank="1" showInputMessage="1" showErrorMessage="1" prompt="Cells I9 through BL9 contain the day number of the month for the Month represented in the cell block above each date cell and are auto calculated._x000a_Do not modify these cells._x000a_" sqref="A8:C8" xr:uid="{48D5878B-C798-4E98-AACD-5E35108F8D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894D1C5-6B3A-487C-961A-3CD6292EF1B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F50A858-4C91-44DD-87FE-A7EF8D262B70}"/>
    <dataValidation type="list" allowBlank="1" showInputMessage="1" showErrorMessage="1" sqref="F178:F179" xr:uid="{AE9E692A-3349-4FDC-8B19-23982259E9DF}">
      <formula1>"Ready for next, Happy for now"</formula1>
    </dataValidation>
    <dataValidation type="list" allowBlank="1" showInputMessage="1" showErrorMessage="1" sqref="G73:G80" xr:uid="{872B80C3-9F60-471B-9D9C-7B5C97DCFF0C}">
      <formula1>"Online self-paced, Online, Hybrid, In person, Peer learning"</formula1>
    </dataValidation>
    <dataValidation type="list" allowBlank="1" showInputMessage="1" showErrorMessage="1" sqref="J73:J80" xr:uid="{D9EB4F20-B1CA-4F7A-A543-93B48313E03D}">
      <formula1>"Yes, No"</formula1>
    </dataValidation>
  </dataValidations>
  <hyperlinks>
    <hyperlink ref="G85:H85" r:id="rId1" location=":~:text=use%20the%20method.-,Examples%20of%20SMART%20Goals,-We%20will%C2%A0create" display="Examples of SMART Goals" xr:uid="{CB6B4D94-7290-4E90-AB23-FBD41048C82E}"/>
    <hyperlink ref="G85" r:id="rId2" location=":~:text=Examples%20of%20S.M.A.R.T.%20Goals" display="https://www.forbes.com/advisor/business/smart-goals/#:~:text=Examples%20of%20S.M.A.R.T.%20Goals" xr:uid="{BF178A48-DAC7-42CB-9361-EF8326D094E3}"/>
    <hyperlink ref="I85" r:id="rId3" location=":~:text=use%20the%20method.-,Examples%20of%20SMART%20Goals,-We%20will%C2%A0create" display="Examples of SMART Goals" xr:uid="{53710F86-7A35-4277-909C-DEE4446740BB}"/>
  </hyperlinks>
  <printOptions horizontalCentered="1"/>
  <pageMargins left="0.23622047244094491" right="0.23622047244094491" top="0.39370078740157483" bottom="0.39370078740157483" header="0.39370078740157483" footer="0.31496062992125984"/>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55634CDB-541E-41D4-91D8-C04E49ADF116}">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68777929-9CA3-4E00-88C8-1B0296B893D7}">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E58FF74C-6544-472F-B115-28C04581F01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DE72D105-AB36-48AB-BEDF-0946A12EBAA9}">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8DC31CF-C913-44A9-9336-7E331692124E}">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ABFAE3E0-CA12-4E54-9012-09E537CF9C4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CCA23D02-AC10-4DD7-A36D-5D2672A6048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77B7E12-719E-4B3F-8777-C513D128CD0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4B69377B-814F-4F35-8E6C-33EC7E0868D0}">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1747C670-D13D-4E87-A318-6DB219C79652}">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58DC2E3C-70BA-4E49-9D9A-81DA71BCA67C}">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20BEFE14-65A0-4CEC-9CA0-2AB50D6F5E3B}">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FA9027CC-A546-4D2E-9A28-0A0D069E9FB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955F601-22AF-47DE-B39B-DCE4C91E6551}">
            <x14:dataBar minLength="0" maxLength="100" gradient="0">
              <x14:cfvo type="num">
                <xm:f>0</xm:f>
              </x14:cfvo>
              <x14:cfvo type="num">
                <xm:f>1</xm:f>
              </x14:cfvo>
              <x14:negativeFillColor rgb="FFFF0000"/>
              <x14:axisColor rgb="FF000000"/>
            </x14:dataBar>
          </x14:cfRule>
          <x14:cfRule type="dataBar" id="{D71AC4A4-E250-44A5-90A4-EB3F8A153F15}">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027CEF64-81EF-422C-A6C5-DFFCCD1AACDA}">
            <x14:dataBar minLength="0" maxLength="100" gradient="0">
              <x14:cfvo type="num">
                <xm:f>0</xm:f>
              </x14:cfvo>
              <x14:cfvo type="num">
                <xm:f>1</xm:f>
              </x14:cfvo>
              <x14:negativeFillColor rgb="FFFF0000"/>
              <x14:axisColor rgb="FF000000"/>
            </x14:dataBar>
          </x14:cfRule>
          <x14:cfRule type="dataBar" id="{0523F2F3-8E8B-48F3-9F6D-DEB20D33167A}">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C213BCD6-652E-43C6-96DA-416FEDF67339}">
            <x14:dataBar minLength="0" maxLength="100" gradient="0">
              <x14:cfvo type="num">
                <xm:f>0</xm:f>
              </x14:cfvo>
              <x14:cfvo type="num">
                <xm:f>1</xm:f>
              </x14:cfvo>
              <x14:negativeFillColor rgb="FFFF0000"/>
              <x14:axisColor rgb="FF000000"/>
            </x14:dataBar>
          </x14:cfRule>
          <x14:cfRule type="dataBar" id="{FBEF74DE-EE70-4F2A-B65C-5AA274A996BF}">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2E6C2990-00D9-4BB1-A266-6D34F79A2835}">
            <x14:dataBar minLength="0" maxLength="100" gradient="0">
              <x14:cfvo type="num">
                <xm:f>0</xm:f>
              </x14:cfvo>
              <x14:cfvo type="num">
                <xm:f>1</xm:f>
              </x14:cfvo>
              <x14:negativeFillColor rgb="FFFF0000"/>
              <x14:axisColor rgb="FF000000"/>
            </x14:dataBar>
          </x14:cfRule>
          <x14:cfRule type="dataBar" id="{3F043EDC-EFAD-48F6-9A16-6C3FD5C72E5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EDED589E-CBA2-4367-9F07-65AA428D857D}">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F5D4C78-3555-4529-A13C-B1CF24FA084A}">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693C60D4-A2B9-4AD2-9AB1-D7EF672E8B62}">
            <x14:dataBar minLength="0" maxLength="100" gradient="0">
              <x14:cfvo type="num">
                <xm:f>0</xm:f>
              </x14:cfvo>
              <x14:cfvo type="num">
                <xm:f>1</xm:f>
              </x14:cfvo>
              <x14:negativeFillColor rgb="FFFF0000"/>
              <x14:axisColor rgb="FF000000"/>
            </x14:dataBar>
          </x14:cfRule>
          <x14:cfRule type="dataBar" id="{CB49FDB1-AAA2-4865-AEAB-EC22AB7CDC94}">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E4A8953A-00C4-4936-898D-CBB4FA437FF3}">
            <x14:dataBar minLength="0" maxLength="100" gradient="0">
              <x14:cfvo type="num">
                <xm:f>0</xm:f>
              </x14:cfvo>
              <x14:cfvo type="num">
                <xm:f>1</xm:f>
              </x14:cfvo>
              <x14:negativeFillColor rgb="FFFF0000"/>
              <x14:axisColor rgb="FF000000"/>
            </x14:dataBar>
          </x14:cfRule>
          <x14:cfRule type="dataBar" id="{B87851C1-92C5-4995-AA40-5F973C21F087}">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EB77D0C3-899C-44C5-847D-14E6D6BC0AB0}">
            <x14:dataBar minLength="0" maxLength="100" gradient="0">
              <x14:cfvo type="num">
                <xm:f>0</xm:f>
              </x14:cfvo>
              <x14:cfvo type="num">
                <xm:f>1</xm:f>
              </x14:cfvo>
              <x14:negativeFillColor rgb="FFFF0000"/>
              <x14:axisColor rgb="FF000000"/>
            </x14:dataBar>
          </x14:cfRule>
          <x14:cfRule type="dataBar" id="{61373046-B30F-4762-8A2A-2B4DCEF36FD5}">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8BE174E0-73B4-4A73-8975-701F8016C2F2}">
            <x14:dataBar minLength="0" maxLength="100" gradient="0">
              <x14:cfvo type="num">
                <xm:f>0</xm:f>
              </x14:cfvo>
              <x14:cfvo type="num">
                <xm:f>1</xm:f>
              </x14:cfvo>
              <x14:negativeFillColor rgb="FFFF0000"/>
              <x14:axisColor rgb="FF000000"/>
            </x14:dataBar>
          </x14:cfRule>
          <x14:cfRule type="dataBar" id="{EFFA4B78-6631-4A7E-B5E0-3D41F0A04D6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42C3B146-44E9-4061-9F47-67D0178239D5}">
            <x14:dataBar minLength="0" maxLength="100" gradient="0">
              <x14:cfvo type="num">
                <xm:f>0</xm:f>
              </x14:cfvo>
              <x14:cfvo type="num">
                <xm:f>1</xm:f>
              </x14:cfvo>
              <x14:negativeFillColor rgb="FFFF0000"/>
              <x14:axisColor rgb="FF000000"/>
            </x14:dataBar>
          </x14:cfRule>
          <x14:cfRule type="dataBar" id="{EA5E9B4C-A78D-496E-B7DB-27D77D6535ED}">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3670346A-1086-45AD-BAB7-BA340BD61EA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203529EB-A735-4278-BA17-60D5A15F020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759AC34C-90EC-44A6-9B3D-BA2D5411A86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BA8E541-404D-4E75-821D-FD358D2BFF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18DC937D-0EF8-4EEA-B2A4-56D0A9D1FC1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D16A4399-6496-4FC0-AD91-7E26250316CB}">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3E261B66-41A7-48AF-9298-AE32D7629DD1}">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B00B579-2F64-46BD-BC28-C72F1F1D6B61}">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7A7F8394-671F-4AE9-A6C3-18F50377D718}">
            <x14:dataBar minLength="0" maxLength="100" gradient="0">
              <x14:cfvo type="num">
                <xm:f>0</xm:f>
              </x14:cfvo>
              <x14:cfvo type="num">
                <xm:f>1</xm:f>
              </x14:cfvo>
              <x14:negativeFillColor rgb="FFFF0000"/>
              <x14:axisColor rgb="FF000000"/>
            </x14:dataBar>
          </x14:cfRule>
          <x14:cfRule type="dataBar" id="{664091C6-6C5E-46D4-A3E7-FABA8534A045}">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F9FF-6409-4C9B-A0E8-9C2E6F4A333B}">
  <sheetPr>
    <pageSetUpPr autoPageBreaks="0" fitToPage="1"/>
  </sheetPr>
  <dimension ref="A1:Q191"/>
  <sheetViews>
    <sheetView topLeftCell="A172" zoomScale="40" zoomScaleNormal="4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2" t="str">
        <f>'CC 2023'!E2</f>
        <v>Employee Name</v>
      </c>
      <c r="F2" s="542"/>
      <c r="G2" s="542"/>
      <c r="H2" s="542"/>
      <c r="I2" s="150"/>
      <c r="J2" s="150"/>
      <c r="K2" s="133"/>
      <c r="L2" s="144" t="e">
        <f>CONCATENATE(G146,"/",Q174)</f>
        <v>#DIV/0!</v>
      </c>
      <c r="M2" s="151"/>
      <c r="O2" s="149"/>
    </row>
    <row r="3" spans="1:17" s="148" customFormat="1" ht="23.25" customHeight="1">
      <c r="A3" s="100"/>
      <c r="B3" s="100"/>
      <c r="C3" s="101"/>
      <c r="D3" s="107"/>
      <c r="E3" s="152">
        <v>2025</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t="str">
        <f>'CC 2025'!F6</f>
        <v xml:space="preserve">Full Stack Developer </v>
      </c>
      <c r="G6" s="399"/>
      <c r="H6" s="399"/>
      <c r="I6" s="399"/>
      <c r="J6" s="399"/>
      <c r="K6" s="399"/>
      <c r="L6" s="400"/>
      <c r="M6" s="154"/>
      <c r="O6" s="124"/>
    </row>
    <row r="7" spans="1:17" s="148" customFormat="1" ht="50.45" customHeight="1">
      <c r="A7" s="100"/>
      <c r="B7" s="100"/>
      <c r="C7" s="101"/>
      <c r="D7" s="107"/>
      <c r="E7" s="105" t="s">
        <v>3</v>
      </c>
      <c r="F7" s="401" t="str">
        <f>'CC 2025'!F7</f>
        <v xml:space="preserve">Anael </v>
      </c>
      <c r="G7" s="402"/>
      <c r="H7" s="402"/>
      <c r="I7" s="402"/>
      <c r="J7" s="402"/>
      <c r="K7" s="402"/>
      <c r="L7" s="403"/>
      <c r="M7" s="154"/>
      <c r="O7" s="124"/>
    </row>
    <row r="8" spans="1:17" s="148" customFormat="1" ht="50.45" customHeight="1" thickBot="1">
      <c r="A8" s="100"/>
      <c r="B8" s="100"/>
      <c r="C8" s="101"/>
      <c r="D8" s="103"/>
      <c r="E8" s="106" t="s">
        <v>4</v>
      </c>
      <c r="F8" s="404">
        <f>'CC 2025'!F8</f>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t="s">
        <v>241</v>
      </c>
      <c r="G10" s="408"/>
      <c r="H10" s="408"/>
      <c r="I10" s="408"/>
      <c r="J10" s="408"/>
      <c r="K10" s="408"/>
      <c r="L10" s="409"/>
      <c r="M10" s="151"/>
      <c r="O10" s="149"/>
      <c r="Q10" s="124"/>
    </row>
    <row r="11" spans="1:17" s="148" customFormat="1" ht="50.45" customHeight="1" thickBot="1">
      <c r="C11" s="155"/>
      <c r="D11" s="156"/>
      <c r="E11" s="106" t="s">
        <v>6</v>
      </c>
      <c r="F11" s="410" t="s">
        <v>241</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t="str">
        <f>'CC 2025'!F28</f>
        <v>Technology – Spring Boot, Java ,  MySQL , Graph DB , Docker, Groovy, Node.js , Angular , SQL, Unix , shell scripts</v>
      </c>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t="str">
        <f>'CC 2025'!F34</f>
        <v>Tools  - Grafana, GitLab, Jenkins , Confluence , OTRS , JIRA, OpenNMS , MariaDb , Postgres DB</v>
      </c>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t="str">
        <f>'CC 2025'!F40</f>
        <v>Integration – Pentahu</v>
      </c>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tr">
        <f>'CC 2025'!F46</f>
        <v>Potential Tech Stacks: Python (API app, AI related); Vector DB, such as Chroma DB.</v>
      </c>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f>'CC 2025'!F52</f>
        <v>0</v>
      </c>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f>'CC 2025'!F58</f>
        <v>0</v>
      </c>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f>'CC 2025'!F64</f>
        <v>0</v>
      </c>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548" t="str">
        <f>'CC 2025'!F87</f>
        <v>Support container architecture</v>
      </c>
      <c r="G87" s="350"/>
      <c r="H87" s="350"/>
      <c r="I87" s="350"/>
      <c r="J87" s="350"/>
      <c r="K87" s="350"/>
      <c r="L87" s="351"/>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t="str">
        <f>'CC 2025'!F89</f>
        <v xml:space="preserve">Be proficient on troubleshooting the newly migrated servers onto containers. </v>
      </c>
      <c r="G89" s="345"/>
      <c r="H89" s="346"/>
      <c r="I89" s="143" t="str">
        <f>'CC 2025'!I89</f>
        <v>Be able to fix issues</v>
      </c>
      <c r="J89" s="143" t="str">
        <f>'CC 2025'!J89</f>
        <v>With Akshat knowledge transfer</v>
      </c>
      <c r="K89" s="143" t="str">
        <f>'CC 2025'!K89</f>
        <v>We need a ressource able to maintain this when Akshat has left.</v>
      </c>
      <c r="L89" s="75" t="str">
        <f>'CC 2025'!L89</f>
        <v>By 31/05/2024</v>
      </c>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c r="C97" s="164"/>
      <c r="D97" s="158"/>
      <c r="E97" s="126" t="str">
        <f>CONCATENATE("End-of-year meeting - ", TEXT($F$11,"dd/mm/yyyy"))</f>
        <v>End-of-year meeting - TBD</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548" t="str">
        <f>'CC 2025'!F99</f>
        <v>Self Serivce front end for Engineering team to manage cable capacity</v>
      </c>
      <c r="G99" s="350"/>
      <c r="H99" s="350"/>
      <c r="I99" s="350"/>
      <c r="J99" s="350"/>
      <c r="K99" s="350"/>
      <c r="L99" s="351"/>
      <c r="M99" s="44"/>
      <c r="O99" s="124"/>
    </row>
    <row r="100" spans="3:15" ht="53.45" customHeight="1">
      <c r="C100" s="164"/>
      <c r="D100" s="158"/>
      <c r="E100" s="340" t="s">
        <v>40</v>
      </c>
      <c r="F100" s="352" t="s">
        <v>41</v>
      </c>
      <c r="G100" s="353"/>
      <c r="H100" s="354"/>
      <c r="I100" s="70" t="s">
        <v>42</v>
      </c>
      <c r="J100" s="70" t="s">
        <v>43</v>
      </c>
      <c r="K100" s="70" t="s">
        <v>44</v>
      </c>
      <c r="L100" s="125" t="s">
        <v>45</v>
      </c>
      <c r="M100" s="44"/>
    </row>
    <row r="101" spans="3:15" ht="177.75" customHeight="1">
      <c r="C101" s="164"/>
      <c r="D101" s="158"/>
      <c r="E101" s="340"/>
      <c r="F101" s="355" t="str">
        <f>'CC 2025'!F101</f>
        <v>As for Service Delivery team, where the goal is to allow them to handle services lifecycle, here we want to allow Engineering team to manage the capacity on NRMS: Add capacity themselves after an upgrade, etc...</v>
      </c>
      <c r="G101" s="345"/>
      <c r="H101" s="346"/>
      <c r="I101" s="143" t="str">
        <f>'CC 2025'!I101</f>
        <v>Based on actual usage from engineering team.</v>
      </c>
      <c r="J101" s="143" t="str">
        <f>'CC 2025'!J101</f>
        <v>With support of engineering team</v>
      </c>
      <c r="K101" s="143" t="str">
        <f>'CC 2025'!K101</f>
        <v>To save time of IT-DEV team so that they can focus on other topics</v>
      </c>
      <c r="L101" s="75" t="str">
        <f>'CC 2025'!L101</f>
        <v>Q4 2024</v>
      </c>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548" t="str">
        <f>'CC 2025'!F111</f>
        <v>Allow Service delivery team to provision new services on stats portal &amp; NRMS</v>
      </c>
      <c r="G111" s="350"/>
      <c r="H111" s="350"/>
      <c r="I111" s="350"/>
      <c r="J111" s="350"/>
      <c r="K111" s="350"/>
      <c r="L111" s="351"/>
      <c r="M111" s="44"/>
      <c r="O111" s="124"/>
    </row>
    <row r="112" spans="3:15" ht="53.45" customHeight="1">
      <c r="C112" s="164"/>
      <c r="D112" s="158"/>
      <c r="E112" s="340" t="s">
        <v>40</v>
      </c>
      <c r="F112" s="352" t="s">
        <v>41</v>
      </c>
      <c r="G112" s="353"/>
      <c r="H112" s="354"/>
      <c r="I112" s="70" t="s">
        <v>42</v>
      </c>
      <c r="J112" s="70" t="s">
        <v>43</v>
      </c>
      <c r="K112" s="70" t="s">
        <v>44</v>
      </c>
      <c r="L112" s="125" t="s">
        <v>45</v>
      </c>
      <c r="M112" s="44"/>
    </row>
    <row r="113" spans="3:15" ht="186.75" customHeight="1">
      <c r="C113" s="164"/>
      <c r="D113" s="158"/>
      <c r="E113" s="340"/>
      <c r="F113" s="355" t="str">
        <f>'CC 2025'!F113</f>
        <v xml:space="preserve">Each time we onboard or remove a circuit/customer, IT-Dev is involved to manually create the entries in Stats portal, NRMS and Customer Portal. I'd like this process to be handled by Service Delivery team. </v>
      </c>
      <c r="G113" s="345"/>
      <c r="H113" s="346"/>
      <c r="I113" s="143" t="str">
        <f>'CC 2025'!I113</f>
        <v xml:space="preserve">100% successfull usage by Service Delivery team </v>
      </c>
      <c r="J113" s="143" t="str">
        <f>'CC 2025'!J113</f>
        <v xml:space="preserve">by designing and implementing tool </v>
      </c>
      <c r="K113" s="143" t="str">
        <f>'CC 2025'!K113</f>
        <v>To reduce load on IT-DEV and allow SD to be autonomous</v>
      </c>
      <c r="L113" s="75" t="str">
        <f>'CC 2025'!L113</f>
        <v>Q4 2024</v>
      </c>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48" t="str">
        <f>'CC 2025'!F123</f>
        <v>Investigate how a chatbot / AI can help NOC operations</v>
      </c>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t="str">
        <f>'CC 2025'!F125</f>
        <v>Based on the ticket information, NRMS data, Stats portal data, identify and suggest how AI/Chatbot can help daily operations of the NOC / Service Delivery</v>
      </c>
      <c r="G125" s="345"/>
      <c r="H125" s="346"/>
      <c r="I125" s="143" t="str">
        <f>'CC 2025'!I125</f>
        <v>prototype delivered to Anael / roadmap ready to be implemented in 2025</v>
      </c>
      <c r="J125" s="143" t="str">
        <f>'CC 2025'!J125</f>
        <v xml:space="preserve">thanks to Exploration / gather Akshat researchs </v>
      </c>
      <c r="K125" s="143" t="str">
        <f>'CC 2025'!K125</f>
        <v>To facilitate NOC / Service delivery gathering of information</v>
      </c>
      <c r="L125" s="75" t="str">
        <f>'CC 2025'!L125</f>
        <v>Q4 2024</v>
      </c>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548" t="str">
        <f>'CC 2025'!F135</f>
        <v xml:space="preserve">Applications to be upgraded to eliminate critical security concerns or vulerabilities </v>
      </c>
      <c r="G135" s="350"/>
      <c r="H135" s="350"/>
      <c r="I135" s="350"/>
      <c r="J135" s="350"/>
      <c r="K135" s="350"/>
      <c r="L135" s="351"/>
      <c r="M135" s="44"/>
      <c r="O135" s="124"/>
    </row>
    <row r="136" spans="3:15" ht="53.45" customHeight="1">
      <c r="C136" s="164"/>
      <c r="D136" s="158"/>
      <c r="E136" s="319" t="s">
        <v>40</v>
      </c>
      <c r="F136" s="352" t="s">
        <v>41</v>
      </c>
      <c r="G136" s="353"/>
      <c r="H136" s="354"/>
      <c r="I136" s="70" t="s">
        <v>42</v>
      </c>
      <c r="J136" s="70" t="s">
        <v>43</v>
      </c>
      <c r="K136" s="70" t="s">
        <v>44</v>
      </c>
      <c r="L136" s="125" t="s">
        <v>45</v>
      </c>
      <c r="M136" s="44"/>
    </row>
    <row r="137" spans="3:15" ht="220.5" customHeight="1">
      <c r="C137" s="164"/>
      <c r="D137" s="158"/>
      <c r="E137" s="319"/>
      <c r="F137" s="355" t="str">
        <f>'CC 2025'!F137</f>
        <v>In house, we have a number of applications that are still utilized many depreciated dependencies and versions. There seem to be critical security and vulerabile issues. As a developer, I would like to eliminate all critical issues as many as possible. In addtion, upgrade applications to the latest stable versions.</v>
      </c>
      <c r="G137" s="345"/>
      <c r="H137" s="346"/>
      <c r="I137" s="143" t="str">
        <f>'CC 2025'!I137</f>
        <v>Based on SNYK</v>
      </c>
      <c r="J137" s="143" t="str">
        <f>'CC 2025'!J137</f>
        <v>With sharing load inside IT DEV team</v>
      </c>
      <c r="K137" s="143" t="str">
        <f>'CC 2025'!K137</f>
        <v>Eliminate critical issues as many as possible. Continue to manage stable and healthy applications.</v>
      </c>
      <c r="L137" s="75" t="str">
        <f>'CC 2025'!L137</f>
        <v>Q4 2024</v>
      </c>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c r="C145" s="164"/>
      <c r="D145" s="158"/>
      <c r="E145" s="129" t="str">
        <f>CONCATENATE("End-of-year meeting - ", TEXT($F$11,"dd/mm/yyyy"))</f>
        <v>End-of-year meeting - TBD</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birWxr0tv/GrFoBGXHBa8rSy90YVQkmhcdxuBiNEHFBi1D/kYXsZhmx44xKkEoG61dgjT6eTovY3T3Gk2dV61w==" saltValue="vUq0fEWrTc7+MjZeeSrMWA=="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1250" priority="337" operator="containsText" text="Stop">
      <formula>NOT(ISERROR(SEARCH("Stop",E4)))</formula>
    </cfRule>
    <cfRule type="containsText" dxfId="1249" priority="338" operator="containsText" text="Start">
      <formula>NOT(ISERROR(SEARCH("Start",E4)))</formula>
    </cfRule>
    <cfRule type="containsText" dxfId="1248" priority="336" operator="containsText" text="Continue">
      <formula>NOT(ISERROR(SEARCH("Continue",E4)))</formula>
    </cfRule>
  </conditionalFormatting>
  <conditionalFormatting sqref="E14">
    <cfRule type="containsText" dxfId="1247" priority="456" operator="containsText" text="Continue">
      <formula>NOT(ISERROR(SEARCH("Continue",E14)))</formula>
    </cfRule>
    <cfRule type="containsText" dxfId="1246" priority="457" operator="containsText" text="Stop">
      <formula>NOT(ISERROR(SEARCH("Stop",E14)))</formula>
    </cfRule>
    <cfRule type="containsText" dxfId="1245" priority="458" operator="containsText" text="Start">
      <formula>NOT(ISERROR(SEARCH("Start",E14)))</formula>
    </cfRule>
  </conditionalFormatting>
  <conditionalFormatting sqref="E28 E154 G154 E156 G156">
    <cfRule type="containsText" dxfId="1244" priority="391" operator="containsText" text="N/A">
      <formula>NOT(ISERROR(SEARCH("N/A",E28)))</formula>
    </cfRule>
    <cfRule type="containsText" dxfId="1243" priority="388" operator="containsText" text="Continue">
      <formula>NOT(ISERROR(SEARCH("Continue",E28)))</formula>
    </cfRule>
    <cfRule type="containsText" dxfId="1242" priority="393" operator="containsText" text="Meets">
      <formula>NOT(ISERROR(SEARCH("Meets",E28)))</formula>
    </cfRule>
    <cfRule type="containsText" dxfId="1241" priority="392" operator="containsText" text="Exceeds">
      <formula>NOT(ISERROR(SEARCH("Exceeds",E28)))</formula>
    </cfRule>
    <cfRule type="containsText" dxfId="1240" priority="390" operator="containsText" text="Start">
      <formula>NOT(ISERROR(SEARCH("Start",E28)))</formula>
    </cfRule>
    <cfRule type="containsText" dxfId="1239" priority="389" operator="containsText" text="Stop">
      <formula>NOT(ISERROR(SEARCH("Stop",E28)))</formula>
    </cfRule>
    <cfRule type="containsText" dxfId="1238" priority="394" operator="containsText" text="Under">
      <formula>NOT(ISERROR(SEARCH("Under",E28)))</formula>
    </cfRule>
  </conditionalFormatting>
  <conditionalFormatting sqref="E34">
    <cfRule type="containsText" dxfId="1237" priority="368" operator="containsText" text="Stop">
      <formula>NOT(ISERROR(SEARCH("Stop",E34)))</formula>
    </cfRule>
    <cfRule type="containsText" dxfId="1236" priority="373" operator="containsText" text="Under">
      <formula>NOT(ISERROR(SEARCH("Under",E34)))</formula>
    </cfRule>
    <cfRule type="containsText" dxfId="1235" priority="372" operator="containsText" text="Meets">
      <formula>NOT(ISERROR(SEARCH("Meets",E34)))</formula>
    </cfRule>
    <cfRule type="containsText" dxfId="1234" priority="371" operator="containsText" text="Exceeds">
      <formula>NOT(ISERROR(SEARCH("Exceeds",E34)))</formula>
    </cfRule>
    <cfRule type="containsText" dxfId="1233" priority="370" operator="containsText" text="N/A">
      <formula>NOT(ISERROR(SEARCH("N/A",E34)))</formula>
    </cfRule>
    <cfRule type="containsText" dxfId="1232" priority="369" operator="containsText" text="Start">
      <formula>NOT(ISERROR(SEARCH("Start",E34)))</formula>
    </cfRule>
    <cfRule type="containsText" dxfId="1231" priority="367" operator="containsText" text="Continue">
      <formula>NOT(ISERROR(SEARCH("Continue",E34)))</formula>
    </cfRule>
  </conditionalFormatting>
  <conditionalFormatting sqref="E40">
    <cfRule type="containsText" dxfId="1230" priority="364" operator="containsText" text="Exceeds">
      <formula>NOT(ISERROR(SEARCH("Exceeds",E40)))</formula>
    </cfRule>
    <cfRule type="containsText" dxfId="1229" priority="365" operator="containsText" text="Meets">
      <formula>NOT(ISERROR(SEARCH("Meets",E40)))</formula>
    </cfRule>
    <cfRule type="containsText" dxfId="1228" priority="366" operator="containsText" text="Under">
      <formula>NOT(ISERROR(SEARCH("Under",E40)))</formula>
    </cfRule>
    <cfRule type="containsText" dxfId="1227" priority="360" operator="containsText" text="Continue">
      <formula>NOT(ISERROR(SEARCH("Continue",E40)))</formula>
    </cfRule>
    <cfRule type="containsText" dxfId="1226" priority="362" operator="containsText" text="Start">
      <formula>NOT(ISERROR(SEARCH("Start",E40)))</formula>
    </cfRule>
    <cfRule type="containsText" dxfId="1225" priority="363" operator="containsText" text="N/A">
      <formula>NOT(ISERROR(SEARCH("N/A",E40)))</formula>
    </cfRule>
    <cfRule type="containsText" dxfId="1224" priority="361" operator="containsText" text="Stop">
      <formula>NOT(ISERROR(SEARCH("Stop",E40)))</formula>
    </cfRule>
  </conditionalFormatting>
  <conditionalFormatting sqref="E46">
    <cfRule type="containsText" dxfId="1223" priority="359" operator="containsText" text="Under">
      <formula>NOT(ISERROR(SEARCH("Under",E46)))</formula>
    </cfRule>
    <cfRule type="containsText" dxfId="1222" priority="358" operator="containsText" text="Meets">
      <formula>NOT(ISERROR(SEARCH("Meets",E46)))</formula>
    </cfRule>
    <cfRule type="containsText" dxfId="1221" priority="357" operator="containsText" text="Exceeds">
      <formula>NOT(ISERROR(SEARCH("Exceeds",E46)))</formula>
    </cfRule>
    <cfRule type="containsText" dxfId="1220" priority="356" operator="containsText" text="N/A">
      <formula>NOT(ISERROR(SEARCH("N/A",E46)))</formula>
    </cfRule>
    <cfRule type="containsText" dxfId="1219" priority="355" operator="containsText" text="Start">
      <formula>NOT(ISERROR(SEARCH("Start",E46)))</formula>
    </cfRule>
    <cfRule type="containsText" dxfId="1218" priority="354" operator="containsText" text="Stop">
      <formula>NOT(ISERROR(SEARCH("Stop",E46)))</formula>
    </cfRule>
    <cfRule type="containsText" dxfId="1217" priority="353" operator="containsText" text="Continue">
      <formula>NOT(ISERROR(SEARCH("Continue",E46)))</formula>
    </cfRule>
  </conditionalFormatting>
  <conditionalFormatting sqref="E52">
    <cfRule type="containsText" dxfId="1216" priority="349" operator="containsText" text="N/A">
      <formula>NOT(ISERROR(SEARCH("N/A",E52)))</formula>
    </cfRule>
    <cfRule type="containsText" dxfId="1215" priority="348" operator="containsText" text="Start">
      <formula>NOT(ISERROR(SEARCH("Start",E52)))</formula>
    </cfRule>
    <cfRule type="containsText" dxfId="1214" priority="347" operator="containsText" text="Stop">
      <formula>NOT(ISERROR(SEARCH("Stop",E52)))</formula>
    </cfRule>
    <cfRule type="containsText" dxfId="1213" priority="352" operator="containsText" text="Under">
      <formula>NOT(ISERROR(SEARCH("Under",E52)))</formula>
    </cfRule>
    <cfRule type="containsText" dxfId="1212" priority="351" operator="containsText" text="Meets">
      <formula>NOT(ISERROR(SEARCH("Meets",E52)))</formula>
    </cfRule>
    <cfRule type="containsText" dxfId="1211" priority="346" operator="containsText" text="Continue">
      <formula>NOT(ISERROR(SEARCH("Continue",E52)))</formula>
    </cfRule>
    <cfRule type="containsText" dxfId="1210" priority="350" operator="containsText" text="Exceeds">
      <formula>NOT(ISERROR(SEARCH("Exceeds",E52)))</formula>
    </cfRule>
  </conditionalFormatting>
  <conditionalFormatting sqref="E58">
    <cfRule type="containsText" dxfId="1209" priority="341" operator="containsText" text="Start">
      <formula>NOT(ISERROR(SEARCH("Start",E58)))</formula>
    </cfRule>
    <cfRule type="containsText" dxfId="1208" priority="342" operator="containsText" text="N/A">
      <formula>NOT(ISERROR(SEARCH("N/A",E58)))</formula>
    </cfRule>
    <cfRule type="containsText" dxfId="1207" priority="344" operator="containsText" text="Meets">
      <formula>NOT(ISERROR(SEARCH("Meets",E58)))</formula>
    </cfRule>
    <cfRule type="containsText" dxfId="1206" priority="343" operator="containsText" text="Exceeds">
      <formula>NOT(ISERROR(SEARCH("Exceeds",E58)))</formula>
    </cfRule>
    <cfRule type="containsText" dxfId="1205" priority="345" operator="containsText" text="Under">
      <formula>NOT(ISERROR(SEARCH("Under",E58)))</formula>
    </cfRule>
    <cfRule type="containsText" dxfId="1204" priority="339" operator="containsText" text="Continue">
      <formula>NOT(ISERROR(SEARCH("Continue",E58)))</formula>
    </cfRule>
    <cfRule type="containsText" dxfId="1203" priority="340" operator="containsText" text="Stop">
      <formula>NOT(ISERROR(SEARCH("Stop",E58)))</formula>
    </cfRule>
  </conditionalFormatting>
  <conditionalFormatting sqref="E64">
    <cfRule type="containsText" dxfId="1202" priority="242" operator="containsText" text="Stop">
      <formula>NOT(ISERROR(SEARCH("Stop",E64)))</formula>
    </cfRule>
    <cfRule type="containsText" dxfId="1201" priority="243" operator="containsText" text="Start">
      <formula>NOT(ISERROR(SEARCH("Start",E64)))</formula>
    </cfRule>
    <cfRule type="containsText" dxfId="1200" priority="245" operator="containsText" text="Exceeds">
      <formula>NOT(ISERROR(SEARCH("Exceeds",E64)))</formula>
    </cfRule>
    <cfRule type="containsText" dxfId="1199" priority="246" operator="containsText" text="Meets">
      <formula>NOT(ISERROR(SEARCH("Meets",E64)))</formula>
    </cfRule>
    <cfRule type="containsText" dxfId="1198" priority="247" operator="containsText" text="Under">
      <formula>NOT(ISERROR(SEARCH("Under",E64)))</formula>
    </cfRule>
    <cfRule type="containsText" dxfId="1197" priority="244" operator="containsText" text="N/A">
      <formula>NOT(ISERROR(SEARCH("N/A",E64)))</formula>
    </cfRule>
    <cfRule type="containsText" dxfId="1196" priority="241" operator="containsText" text="Continue">
      <formula>NOT(ISERROR(SEARCH("Continue",E64)))</formula>
    </cfRule>
  </conditionalFormatting>
  <conditionalFormatting sqref="E159 E164">
    <cfRule type="containsText" dxfId="1195" priority="431" operator="containsText" text="Exceeds">
      <formula>NOT(ISERROR(SEARCH("Exceeds",E159)))</formula>
    </cfRule>
    <cfRule type="containsText" dxfId="1194" priority="430" operator="containsText" text="N/A">
      <formula>NOT(ISERROR(SEARCH("N/A",E159)))</formula>
    </cfRule>
    <cfRule type="containsText" dxfId="1193" priority="429" operator="containsText" text="Start">
      <formula>NOT(ISERROR(SEARCH("Start",E159)))</formula>
    </cfRule>
    <cfRule type="containsText" dxfId="1192" priority="428" operator="containsText" text="Stop">
      <formula>NOT(ISERROR(SEARCH("Stop",E159)))</formula>
    </cfRule>
    <cfRule type="containsText" dxfId="1191" priority="427" operator="containsText" text="Continue">
      <formula>NOT(ISERROR(SEARCH("Continue",E159)))</formula>
    </cfRule>
    <cfRule type="containsText" dxfId="1190" priority="432" operator="containsText" text="Meets">
      <formula>NOT(ISERROR(SEARCH("Meets",E159)))</formula>
    </cfRule>
    <cfRule type="containsText" dxfId="1189" priority="433" operator="containsText" text="Under">
      <formula>NOT(ISERROR(SEARCH("Under",E159)))</formula>
    </cfRule>
  </conditionalFormatting>
  <conditionalFormatting sqref="E161 E166">
    <cfRule type="containsText" dxfId="1188" priority="426" operator="containsText" text="Under">
      <formula>NOT(ISERROR(SEARCH("Under",E161)))</formula>
    </cfRule>
    <cfRule type="containsText" dxfId="1187" priority="425" operator="containsText" text="Meets">
      <formula>NOT(ISERROR(SEARCH("Meets",E161)))</formula>
    </cfRule>
    <cfRule type="containsText" dxfId="1186" priority="424" operator="containsText" text="Exceeds">
      <formula>NOT(ISERROR(SEARCH("Exceeds",E161)))</formula>
    </cfRule>
    <cfRule type="containsText" dxfId="1185" priority="423" operator="containsText" text="N/A">
      <formula>NOT(ISERROR(SEARCH("N/A",E161)))</formula>
    </cfRule>
    <cfRule type="containsText" dxfId="1184" priority="422" operator="containsText" text="Start">
      <formula>NOT(ISERROR(SEARCH("Start",E161)))</formula>
    </cfRule>
    <cfRule type="containsText" dxfId="1183" priority="421" operator="containsText" text="Stop">
      <formula>NOT(ISERROR(SEARCH("Stop",E161)))</formula>
    </cfRule>
    <cfRule type="containsText" dxfId="1182" priority="420" operator="containsText" text="Continue">
      <formula>NOT(ISERROR(SEARCH("Continue",E161)))</formula>
    </cfRule>
  </conditionalFormatting>
  <conditionalFormatting sqref="E169">
    <cfRule type="containsText" dxfId="1181" priority="443" operator="containsText" text="Start">
      <formula>NOT(ISERROR(SEARCH("Start",E169)))</formula>
    </cfRule>
    <cfRule type="containsText" dxfId="1180" priority="442" operator="containsText" text="Stop">
      <formula>NOT(ISERROR(SEARCH("Stop",E169)))</formula>
    </cfRule>
    <cfRule type="containsText" dxfId="1179" priority="441" operator="containsText" text="Continue">
      <formula>NOT(ISERROR(SEARCH("Continue",E169)))</formula>
    </cfRule>
    <cfRule type="containsText" dxfId="1178" priority="447" operator="containsText" text="Under">
      <formula>NOT(ISERROR(SEARCH("Under",E169)))</formula>
    </cfRule>
    <cfRule type="containsText" dxfId="1177" priority="446" operator="containsText" text="Meets">
      <formula>NOT(ISERROR(SEARCH("Meets",E169)))</formula>
    </cfRule>
    <cfRule type="containsText" dxfId="1176" priority="445" operator="containsText" text="Exceeds">
      <formula>NOT(ISERROR(SEARCH("Exceeds",E169)))</formula>
    </cfRule>
    <cfRule type="containsText" dxfId="1175" priority="444" operator="containsText" text="N/A">
      <formula>NOT(ISERROR(SEARCH("N/A",E169)))</formula>
    </cfRule>
  </conditionalFormatting>
  <conditionalFormatting sqref="E171">
    <cfRule type="containsText" dxfId="1174" priority="398" operator="containsText" text="N/A">
      <formula>NOT(ISERROR(SEARCH("N/A",E171)))</formula>
    </cfRule>
    <cfRule type="containsText" dxfId="1173" priority="399" operator="containsText" text="Exceeds">
      <formula>NOT(ISERROR(SEARCH("Exceeds",E171)))</formula>
    </cfRule>
    <cfRule type="containsText" dxfId="1172" priority="400" operator="containsText" text="Meets">
      <formula>NOT(ISERROR(SEARCH("Meets",E171)))</formula>
    </cfRule>
    <cfRule type="containsText" dxfId="1171" priority="401" operator="containsText" text="Under">
      <formula>NOT(ISERROR(SEARCH("Under",E171)))</formula>
    </cfRule>
    <cfRule type="containsText" dxfId="1170" priority="395" operator="containsText" text="Continue">
      <formula>NOT(ISERROR(SEARCH("Continue",E171)))</formula>
    </cfRule>
    <cfRule type="containsText" dxfId="1169" priority="396" operator="containsText" text="Stop">
      <formula>NOT(ISERROR(SEARCH("Stop",E171)))</formula>
    </cfRule>
    <cfRule type="containsText" dxfId="1168" priority="397" operator="containsText" text="Start">
      <formula>NOT(ISERROR(SEARCH("Start",E171)))</formula>
    </cfRule>
  </conditionalFormatting>
  <conditionalFormatting sqref="E12:L13">
    <cfRule type="containsText" dxfId="1167" priority="333" operator="containsText" text="Continue">
      <formula>NOT(ISERROR(SEARCH("Continue",E12)))</formula>
    </cfRule>
    <cfRule type="containsText" dxfId="1166" priority="334" operator="containsText" text="Stop">
      <formula>NOT(ISERROR(SEARCH("Stop",E12)))</formula>
    </cfRule>
    <cfRule type="containsText" dxfId="1165"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{BF97046E-AED3-41C2-BDF1-5FAD0C5FA2D4}</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{99DEE26F-8268-4710-9387-3CF31AA0407C}</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{98531594-F31D-4657-9C6C-A756548B4D72}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{6F733C87-135E-4ACC-90F9-4FFAAE85A242}</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{F548FAC2-DE13-431A-AECD-66F6393698A7}</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{1C6E1966-7FD3-493F-8F1A-BD4A220BC2ED}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{A519199E-A33D-4ADA-B02D-623A89CA6DDB}</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{646167D2-9372-4C34-AF61-DBFDC84FE82D}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{AD4DC35D-7494-4085-8B67-E912C2A3977D}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{59DAD0B7-6DC1-4BFC-AB02-2C8FCE7A874D}</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{67AF3427-1D29-4AF0-B979-031183A5BA58}</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{0ECC2E1D-6E57-4989-B076-A4FF56C11695}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{B33ECC5F-69C8-4A5A-B286-843B6F41046B}</x14:id>
        </ext>
      </extLst>
    </cfRule>
  </conditionalFormatting>
  <conditionalFormatting sqref="F157">
    <cfRule type="containsText" dxfId="1164" priority="404" operator="containsText" text="Stop">
      <formula>NOT(ISERROR(SEARCH("Stop",F157)))</formula>
    </cfRule>
    <cfRule type="containsText" dxfId="1163"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{15750599-3B9E-4DFE-8BCE-99BEDBFC141A}</x14:id>
        </ext>
      </extLst>
    </cfRule>
    <cfRule type="containsText" dxfId="1162" priority="409" operator="containsText" text="Under">
      <formula>NOT(ISERROR(SEARCH("Under",F157)))</formula>
    </cfRule>
    <cfRule type="containsText" dxfId="1161" priority="408" operator="containsText" text="Meets">
      <formula>NOT(ISERROR(SEARCH("Meets",F157)))</formula>
    </cfRule>
    <cfRule type="containsText" dxfId="1160" priority="407" operator="containsText" text="Exceeds">
      <formula>NOT(ISERROR(SEARCH("Exceeds",F157)))</formula>
    </cfRule>
    <cfRule type="containsText" dxfId="1159"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{4FA5139F-0641-4153-B96F-6617A850B201}</x14:id>
        </ext>
      </extLst>
    </cfRule>
    <cfRule type="containsText" dxfId="1158" priority="405" operator="containsText" text="Start">
      <formula>NOT(ISERROR(SEARCH("Start",F157)))</formula>
    </cfRule>
  </conditionalFormatting>
  <conditionalFormatting sqref="F162">
    <cfRule type="containsText" dxfId="1157" priority="320" operator="containsText" text="Exceeds">
      <formula>NOT(ISERROR(SEARCH("Exceeds",F162)))</formula>
    </cfRule>
    <cfRule type="containsText" dxfId="1156" priority="321" operator="containsText" text="Meets">
      <formula>NOT(ISERROR(SEARCH("Meets",F162)))</formula>
    </cfRule>
    <cfRule type="containsText" dxfId="1155"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{E590EA84-1227-4475-8D07-844C9C2269E9}</x14:id>
        </ext>
      </extLst>
    </cfRule>
    <cfRule type="containsText" dxfId="1154" priority="318" operator="containsText" text="Start">
      <formula>NOT(ISERROR(SEARCH("Start",F162)))</formula>
    </cfRule>
    <cfRule type="containsText" dxfId="1153"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{14E5F36A-4EB2-4C08-A37B-C0DFDCFC98E8}</x14:id>
        </ext>
      </extLst>
    </cfRule>
    <cfRule type="containsText" dxfId="1152" priority="319" operator="containsText" text="N/A">
      <formula>NOT(ISERROR(SEARCH("N/A",F162)))</formula>
    </cfRule>
    <cfRule type="containsText" dxfId="1151"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{2B6AB639-69A7-4EB5-8B41-C7C9BEDA5571}</x14:id>
        </ext>
      </extLst>
    </cfRule>
    <cfRule type="containsText" dxfId="1150" priority="299" operator="containsText" text="Under">
      <formula>NOT(ISERROR(SEARCH("Under",F167)))</formula>
    </cfRule>
    <cfRule type="containsText" dxfId="1149" priority="298" operator="containsText" text="Meets">
      <formula>NOT(ISERROR(SEARCH("Meets",F167)))</formula>
    </cfRule>
    <cfRule type="containsText" dxfId="1148"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{8F94B3EB-A372-440F-A61E-9442AD858CA4}</x14:id>
        </ext>
      </extLst>
    </cfRule>
    <cfRule type="containsText" dxfId="1147" priority="293" operator="containsText" text="Continue">
      <formula>NOT(ISERROR(SEARCH("Continue",F167)))</formula>
    </cfRule>
    <cfRule type="containsText" dxfId="1146" priority="295" operator="containsText" text="Start">
      <formula>NOT(ISERROR(SEARCH("Start",F167)))</formula>
    </cfRule>
    <cfRule type="containsText" dxfId="1145" priority="297" operator="containsText" text="Exceeds">
      <formula>NOT(ISERROR(SEARCH("Exceeds",F167)))</formula>
    </cfRule>
    <cfRule type="containsText" dxfId="1144"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{9D0F7398-8ABB-4890-9F86-368CBF61CF52}</x14:id>
        </ext>
      </extLst>
    </cfRule>
    <cfRule type="containsText" dxfId="1143" priority="269" operator="containsText" text="Under">
      <formula>NOT(ISERROR(SEARCH("Under",F172)))</formula>
    </cfRule>
    <cfRule type="containsText" dxfId="1142" priority="268" operator="containsText" text="Meets">
      <formula>NOT(ISERROR(SEARCH("Meets",F172)))</formula>
    </cfRule>
    <cfRule type="containsText" dxfId="1141" priority="267" operator="containsText" text="Exceeds">
      <formula>NOT(ISERROR(SEARCH("Exceeds",F172)))</formula>
    </cfRule>
    <cfRule type="containsText" dxfId="1140"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{3D8FFB77-AC89-43A0-AD8F-E9EE20DB9B86}</x14:id>
        </ext>
      </extLst>
    </cfRule>
    <cfRule type="containsText" dxfId="1139" priority="265" operator="containsText" text="Start">
      <formula>NOT(ISERROR(SEARCH("Start",F172)))</formula>
    </cfRule>
    <cfRule type="containsText" dxfId="1138" priority="264" operator="containsText" text="Stop">
      <formula>NOT(ISERROR(SEARCH("Stop",F172)))</formula>
    </cfRule>
    <cfRule type="containsText" dxfId="1137"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{54ACFB19-2F00-4924-A7BC-340B66B01732}</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{AED057E6-B069-480B-BF81-5F39BEF9AA31}</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{A201909C-5EB2-4A0D-950B-37FB30545FDC}</x14:id>
        </ext>
      </extLst>
    </cfRule>
    <cfRule type="containsText" dxfId="1136" priority="412" operator="containsText" text="Continue">
      <formula>NOT(ISERROR(SEARCH("Continue",F155)))</formula>
    </cfRule>
    <cfRule type="containsText" dxfId="1135" priority="413" operator="containsText" text="Stop">
      <formula>NOT(ISERROR(SEARCH("Stop",F155)))</formula>
    </cfRule>
    <cfRule type="containsText" dxfId="1134" priority="414" operator="containsText" text="Start">
      <formula>NOT(ISERROR(SEARCH("Start",F155)))</formula>
    </cfRule>
    <cfRule type="containsText" dxfId="1133" priority="415" operator="containsText" text="N/A">
      <formula>NOT(ISERROR(SEARCH("N/A",F155)))</formula>
    </cfRule>
    <cfRule type="containsText" dxfId="1132" priority="416" operator="containsText" text="Exceeds">
      <formula>NOT(ISERROR(SEARCH("Exceeds",F155)))</formula>
    </cfRule>
    <cfRule type="containsText" dxfId="1131" priority="417" operator="containsText" text="Meets">
      <formula>NOT(ISERROR(SEARCH("Meets",F155)))</formula>
    </cfRule>
    <cfRule type="containsText" dxfId="1130"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{31B64D8A-D3E8-4A0B-B6F2-C09356C6FF4A}</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{3D5736DB-3C99-4405-BBCF-39245AE54775}</x14:id>
        </ext>
      </extLst>
    </cfRule>
    <cfRule type="containsText" dxfId="1129" priority="331" operator="containsText" text="Under">
      <formula>NOT(ISERROR(SEARCH("Under",F160)))</formula>
    </cfRule>
    <cfRule type="containsText" dxfId="1128" priority="330" operator="containsText" text="Meets">
      <formula>NOT(ISERROR(SEARCH("Meets",F160)))</formula>
    </cfRule>
    <cfRule type="containsText" dxfId="1127" priority="329" operator="containsText" text="Exceeds">
      <formula>NOT(ISERROR(SEARCH("Exceeds",F160)))</formula>
    </cfRule>
    <cfRule type="containsText" dxfId="1126" priority="328" operator="containsText" text="N/A">
      <formula>NOT(ISERROR(SEARCH("N/A",F160)))</formula>
    </cfRule>
    <cfRule type="containsText" dxfId="1125" priority="327" operator="containsText" text="Start">
      <formula>NOT(ISERROR(SEARCH("Start",F160)))</formula>
    </cfRule>
    <cfRule type="containsText" dxfId="1124" priority="326" operator="containsText" text="Stop">
      <formula>NOT(ISERROR(SEARCH("Stop",F160)))</formula>
    </cfRule>
    <cfRule type="containsText" dxfId="1123"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{CE0CD42C-E98E-4070-B5BE-2983B1926A65}</x14:id>
        </ext>
      </extLst>
    </cfRule>
  </conditionalFormatting>
  <conditionalFormatting sqref="F165:G165">
    <cfRule type="containsText" dxfId="1122" priority="238" operator="containsText" text="Meets">
      <formula>NOT(ISERROR(SEARCH("Meets",F165)))</formula>
    </cfRule>
    <cfRule type="containsText" dxfId="1121" priority="235" operator="containsText" text="Start">
      <formula>NOT(ISERROR(SEARCH("Start",F165)))</formula>
    </cfRule>
    <cfRule type="containsText" dxfId="1120"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{026088C4-1E88-4DDF-BE1D-DF16DDA7B655}</x14:id>
        </ext>
      </extLst>
    </cfRule>
    <cfRule type="containsText" dxfId="1119" priority="233" operator="containsText" text="Continue">
      <formula>NOT(ISERROR(SEARCH("Continue",F165)))</formula>
    </cfRule>
    <cfRule type="containsText" dxfId="1118" priority="236" operator="containsText" text="N/A">
      <formula>NOT(ISERROR(SEARCH("N/A",F165)))</formula>
    </cfRule>
    <cfRule type="containsText" dxfId="1117" priority="234" operator="containsText" text="Stop">
      <formula>NOT(ISERROR(SEARCH("Stop",F165)))</formula>
    </cfRule>
    <cfRule type="containsText" dxfId="1116"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{F8ECC989-5817-4644-A7C4-D4920F7C03A9}</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{57218EF6-EEAE-4D3A-A816-3E54560EF25D}</x14:id>
        </ext>
      </extLst>
    </cfRule>
    <cfRule type="containsText" dxfId="1115" priority="225" operator="containsText" text="Stop">
      <formula>NOT(ISERROR(SEARCH("Stop",F170)))</formula>
    </cfRule>
    <cfRule type="containsText" dxfId="1114" priority="224" operator="containsText" text="Continue">
      <formula>NOT(ISERROR(SEARCH("Continue",F170)))</formula>
    </cfRule>
    <cfRule type="containsText" dxfId="1113" priority="226" operator="containsText" text="Start">
      <formula>NOT(ISERROR(SEARCH("Start",F170)))</formula>
    </cfRule>
    <cfRule type="containsText" dxfId="1112" priority="227" operator="containsText" text="N/A">
      <formula>NOT(ISERROR(SEARCH("N/A",F170)))</formula>
    </cfRule>
    <cfRule type="containsText" dxfId="1111" priority="228" operator="containsText" text="Exceeds">
      <formula>NOT(ISERROR(SEARCH("Exceeds",F170)))</formula>
    </cfRule>
    <cfRule type="containsText" dxfId="1110"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{E8B1CFFC-175D-445E-80EB-9A3D8E30685D}</x14:id>
        </ext>
      </extLst>
    </cfRule>
    <cfRule type="containsText" dxfId="1109"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{DE5C554F-E926-4C33-93D5-6481735DE303}</x14:id>
        </ext>
      </extLst>
    </cfRule>
    <cfRule type="containsText" dxfId="1108" priority="218" operator="containsText" text="N/A">
      <formula>NOT(ISERROR(SEARCH("N/A",F178)))</formula>
    </cfRule>
    <cfRule type="containsText" dxfId="1107"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{E8A6AB32-E9E0-4631-B01D-2DA39D9C17EE}</x14:id>
        </ext>
      </extLst>
    </cfRule>
    <cfRule type="containsText" dxfId="1106" priority="215" operator="containsText" text="Continue">
      <formula>NOT(ISERROR(SEARCH("Continue",F178)))</formula>
    </cfRule>
    <cfRule type="containsText" dxfId="1105" priority="216" operator="containsText" text="Stop">
      <formula>NOT(ISERROR(SEARCH("Stop",F178)))</formula>
    </cfRule>
    <cfRule type="containsText" dxfId="1104" priority="217" operator="containsText" text="Start">
      <formula>NOT(ISERROR(SEARCH("Start",F178)))</formula>
    </cfRule>
    <cfRule type="containsText" dxfId="1103" priority="219" operator="containsText" text="Exceeds">
      <formula>NOT(ISERROR(SEARCH("Exceeds",F178)))</formula>
    </cfRule>
    <cfRule type="containsText" dxfId="1102" priority="220" operator="containsText" text="Meets">
      <formula>NOT(ISERROR(SEARCH("Meets",F178)))</formula>
    </cfRule>
  </conditionalFormatting>
  <conditionalFormatting sqref="G29">
    <cfRule type="containsText" dxfId="1101" priority="385" operator="containsText" text="Exceeds">
      <formula>NOT(ISERROR(SEARCH("Exceeds",G29)))</formula>
    </cfRule>
    <cfRule type="containsText" dxfId="1100" priority="387" operator="containsText" text="Under">
      <formula>NOT(ISERROR(SEARCH("Under",G29)))</formula>
    </cfRule>
    <cfRule type="containsText" dxfId="1099" priority="383" operator="containsText" text="Start">
      <formula>NOT(ISERROR(SEARCH("Start",G29)))</formula>
    </cfRule>
    <cfRule type="containsText" dxfId="1098" priority="382" operator="containsText" text="Stop">
      <formula>NOT(ISERROR(SEARCH("Stop",G29)))</formula>
    </cfRule>
    <cfRule type="containsText" dxfId="1097" priority="381" operator="containsText" text="Continue">
      <formula>NOT(ISERROR(SEARCH("Continue",G29)))</formula>
    </cfRule>
    <cfRule type="containsText" dxfId="1096" priority="386" operator="containsText" text="Meets">
      <formula>NOT(ISERROR(SEARCH("Meets",G29)))</formula>
    </cfRule>
    <cfRule type="containsText" dxfId="1095" priority="384" operator="containsText" text="N/A">
      <formula>NOT(ISERROR(SEARCH("N/A",G29)))</formula>
    </cfRule>
  </conditionalFormatting>
  <conditionalFormatting sqref="G31">
    <cfRule type="containsText" dxfId="1094" priority="34" operator="containsText" text="Meets">
      <formula>NOT(ISERROR(SEARCH("Meets",G31)))</formula>
    </cfRule>
    <cfRule type="containsText" dxfId="1093" priority="33" operator="containsText" text="Exceeds">
      <formula>NOT(ISERROR(SEARCH("Exceeds",G31)))</formula>
    </cfRule>
    <cfRule type="containsText" dxfId="1092" priority="31" operator="containsText" text="Start">
      <formula>NOT(ISERROR(SEARCH("Start",G31)))</formula>
    </cfRule>
    <cfRule type="containsText" dxfId="1091" priority="30" operator="containsText" text="Stop">
      <formula>NOT(ISERROR(SEARCH("Stop",G31)))</formula>
    </cfRule>
    <cfRule type="containsText" dxfId="1090" priority="29" operator="containsText" text="Continue">
      <formula>NOT(ISERROR(SEARCH("Continue",G31)))</formula>
    </cfRule>
    <cfRule type="containsText" dxfId="1089" priority="35" operator="containsText" text="Under">
      <formula>NOT(ISERROR(SEARCH("Under",G31)))</formula>
    </cfRule>
    <cfRule type="containsText" dxfId="1088" priority="32" operator="containsText" text="N/A">
      <formula>NOT(ISERROR(SEARCH("N/A",G31)))</formula>
    </cfRule>
  </conditionalFormatting>
  <conditionalFormatting sqref="G35">
    <cfRule type="containsText" dxfId="1087" priority="97" operator="containsText" text="Exceeds">
      <formula>NOT(ISERROR(SEARCH("Exceeds",G35)))</formula>
    </cfRule>
    <cfRule type="containsText" dxfId="1086" priority="98" operator="containsText" text="Meets">
      <formula>NOT(ISERROR(SEARCH("Meets",G35)))</formula>
    </cfRule>
    <cfRule type="containsText" dxfId="1085" priority="99" operator="containsText" text="Under">
      <formula>NOT(ISERROR(SEARCH("Under",G35)))</formula>
    </cfRule>
    <cfRule type="containsText" dxfId="1084" priority="94" operator="containsText" text="Stop">
      <formula>NOT(ISERROR(SEARCH("Stop",G35)))</formula>
    </cfRule>
    <cfRule type="containsText" dxfId="1083" priority="93" operator="containsText" text="Continue">
      <formula>NOT(ISERROR(SEARCH("Continue",G35)))</formula>
    </cfRule>
    <cfRule type="containsText" dxfId="1082" priority="96" operator="containsText" text="N/A">
      <formula>NOT(ISERROR(SEARCH("N/A",G35)))</formula>
    </cfRule>
    <cfRule type="containsText" dxfId="1081"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{8B7273A7-962F-4874-9B88-109598AE55FE}</x14:id>
        </ext>
      </extLst>
    </cfRule>
  </conditionalFormatting>
  <conditionalFormatting sqref="G37">
    <cfRule type="containsText" dxfId="1080" priority="25" operator="containsText" text="N/A">
      <formula>NOT(ISERROR(SEARCH("N/A",G37)))</formula>
    </cfRule>
    <cfRule type="containsText" dxfId="1079" priority="26" operator="containsText" text="Exceeds">
      <formula>NOT(ISERROR(SEARCH("Exceeds",G37)))</formula>
    </cfRule>
    <cfRule type="containsText" dxfId="1078" priority="27" operator="containsText" text="Meets">
      <formula>NOT(ISERROR(SEARCH("Meets",G37)))</formula>
    </cfRule>
    <cfRule type="containsText" dxfId="1077" priority="28" operator="containsText" text="Under">
      <formula>NOT(ISERROR(SEARCH("Under",G37)))</formula>
    </cfRule>
    <cfRule type="containsText" dxfId="1076" priority="22" operator="containsText" text="Continue">
      <formula>NOT(ISERROR(SEARCH("Continue",G37)))</formula>
    </cfRule>
    <cfRule type="containsText" dxfId="1075" priority="23" operator="containsText" text="Stop">
      <formula>NOT(ISERROR(SEARCH("Stop",G37)))</formula>
    </cfRule>
    <cfRule type="containsText" dxfId="1074" priority="24" operator="containsText" text="Start">
      <formula>NOT(ISERROR(SEARCH("Start",G37)))</formula>
    </cfRule>
  </conditionalFormatting>
  <conditionalFormatting sqref="G41">
    <cfRule type="containsText" dxfId="1073" priority="85" operator="containsText" text="Continue">
      <formula>NOT(ISERROR(SEARCH("Continue",G41)))</formula>
    </cfRule>
    <cfRule type="containsText" dxfId="1072" priority="86" operator="containsText" text="Stop">
      <formula>NOT(ISERROR(SEARCH("Stop",G41)))</formula>
    </cfRule>
    <cfRule type="containsText" dxfId="1071" priority="87" operator="containsText" text="Start">
      <formula>NOT(ISERROR(SEARCH("Start",G41)))</formula>
    </cfRule>
    <cfRule type="containsText" dxfId="1070" priority="88" operator="containsText" text="N/A">
      <formula>NOT(ISERROR(SEARCH("N/A",G41)))</formula>
    </cfRule>
    <cfRule type="containsText" dxfId="1069" priority="89" operator="containsText" text="Exceeds">
      <formula>NOT(ISERROR(SEARCH("Exceeds",G41)))</formula>
    </cfRule>
    <cfRule type="containsText" dxfId="1068" priority="90" operator="containsText" text="Meets">
      <formula>NOT(ISERROR(SEARCH("Meets",G41)))</formula>
    </cfRule>
    <cfRule type="containsText" dxfId="1067"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{53211D8E-FB0E-4560-8E49-20198FB30BA2}</x14:id>
        </ext>
      </extLst>
    </cfRule>
  </conditionalFormatting>
  <conditionalFormatting sqref="G43">
    <cfRule type="containsText" dxfId="1066" priority="17" operator="containsText" text="Start">
      <formula>NOT(ISERROR(SEARCH("Start",G43)))</formula>
    </cfRule>
    <cfRule type="containsText" dxfId="1065" priority="16" operator="containsText" text="Stop">
      <formula>NOT(ISERROR(SEARCH("Stop",G43)))</formula>
    </cfRule>
    <cfRule type="containsText" dxfId="1064" priority="20" operator="containsText" text="Meets">
      <formula>NOT(ISERROR(SEARCH("Meets",G43)))</formula>
    </cfRule>
    <cfRule type="containsText" dxfId="1063" priority="15" operator="containsText" text="Continue">
      <formula>NOT(ISERROR(SEARCH("Continue",G43)))</formula>
    </cfRule>
    <cfRule type="containsText" dxfId="1062" priority="19" operator="containsText" text="Exceeds">
      <formula>NOT(ISERROR(SEARCH("Exceeds",G43)))</formula>
    </cfRule>
    <cfRule type="containsText" dxfId="1061" priority="21" operator="containsText" text="Under">
      <formula>NOT(ISERROR(SEARCH("Under",G43)))</formula>
    </cfRule>
    <cfRule type="containsText" dxfId="1060" priority="18" operator="containsText" text="N/A">
      <formula>NOT(ISERROR(SEARCH("N/A",G43)))</formula>
    </cfRule>
  </conditionalFormatting>
  <conditionalFormatting sqref="G47">
    <cfRule type="containsText" dxfId="1059" priority="78" operator="containsText" text="Stop">
      <formula>NOT(ISERROR(SEARCH("Stop",G47)))</formula>
    </cfRule>
    <cfRule type="containsText" dxfId="1058" priority="77" operator="containsText" text="Continue">
      <formula>NOT(ISERROR(SEARCH("Continue",G47)))</formula>
    </cfRule>
    <cfRule type="containsText" dxfId="1057" priority="79" operator="containsText" text="Start">
      <formula>NOT(ISERROR(SEARCH("Start",G47)))</formula>
    </cfRule>
    <cfRule type="containsText" dxfId="1056" priority="80" operator="containsText" text="N/A">
      <formula>NOT(ISERROR(SEARCH("N/A",G47)))</formula>
    </cfRule>
    <cfRule type="containsText" dxfId="1055" priority="81" operator="containsText" text="Exceeds">
      <formula>NOT(ISERROR(SEARCH("Exceeds",G47)))</formula>
    </cfRule>
    <cfRule type="containsText" dxfId="1054" priority="82" operator="containsText" text="Meets">
      <formula>NOT(ISERROR(SEARCH("Meets",G47)))</formula>
    </cfRule>
    <cfRule type="containsText" dxfId="1053"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{62E6A13F-9032-427B-9C83-7CD245F7E113}</x14:id>
        </ext>
      </extLst>
    </cfRule>
  </conditionalFormatting>
  <conditionalFormatting sqref="G49">
    <cfRule type="containsText" dxfId="1052" priority="14" operator="containsText" text="Under">
      <formula>NOT(ISERROR(SEARCH("Under",G49)))</formula>
    </cfRule>
    <cfRule type="containsText" dxfId="1051" priority="13" operator="containsText" text="Meets">
      <formula>NOT(ISERROR(SEARCH("Meets",G49)))</formula>
    </cfRule>
    <cfRule type="containsText" dxfId="1050" priority="12" operator="containsText" text="Exceeds">
      <formula>NOT(ISERROR(SEARCH("Exceeds",G49)))</formula>
    </cfRule>
    <cfRule type="containsText" dxfId="1049" priority="11" operator="containsText" text="N/A">
      <formula>NOT(ISERROR(SEARCH("N/A",G49)))</formula>
    </cfRule>
    <cfRule type="containsText" dxfId="1048" priority="10" operator="containsText" text="Start">
      <formula>NOT(ISERROR(SEARCH("Start",G49)))</formula>
    </cfRule>
    <cfRule type="containsText" dxfId="1047" priority="9" operator="containsText" text="Stop">
      <formula>NOT(ISERROR(SEARCH("Stop",G49)))</formula>
    </cfRule>
    <cfRule type="containsText" dxfId="1046" priority="8" operator="containsText" text="Continue">
      <formula>NOT(ISERROR(SEARCH("Continue",G49)))</formula>
    </cfRule>
  </conditionalFormatting>
  <conditionalFormatting sqref="G53">
    <cfRule type="containsText" dxfId="1045" priority="73" operator="containsText" text="Exceeds">
      <formula>NOT(ISERROR(SEARCH("Exceeds",G53)))</formula>
    </cfRule>
    <cfRule type="containsText" dxfId="1044" priority="69" operator="containsText" text="Continue">
      <formula>NOT(ISERROR(SEARCH("Continue",G53)))</formula>
    </cfRule>
    <cfRule type="containsText" dxfId="1043" priority="74" operator="containsText" text="Meets">
      <formula>NOT(ISERROR(SEARCH("Meets",G53)))</formula>
    </cfRule>
    <cfRule type="containsText" dxfId="1042" priority="71" operator="containsText" text="Start">
      <formula>NOT(ISERROR(SEARCH("Start",G53)))</formula>
    </cfRule>
    <cfRule type="containsText" dxfId="1041" priority="72" operator="containsText" text="N/A">
      <formula>NOT(ISERROR(SEARCH("N/A",G53)))</formula>
    </cfRule>
    <cfRule type="containsText" dxfId="1040" priority="75" operator="containsText" text="Under">
      <formula>NOT(ISERROR(SEARCH("Under",G53)))</formula>
    </cfRule>
    <cfRule type="containsText" dxfId="1039"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{1A64046D-C4C4-4D8F-98C1-EE93A885E641}</x14:id>
        </ext>
      </extLst>
    </cfRule>
  </conditionalFormatting>
  <conditionalFormatting sqref="G55">
    <cfRule type="containsText" dxfId="1038" priority="7" operator="containsText" text="Under">
      <formula>NOT(ISERROR(SEARCH("Under",G55)))</formula>
    </cfRule>
    <cfRule type="containsText" dxfId="1037" priority="1" operator="containsText" text="Continue">
      <formula>NOT(ISERROR(SEARCH("Continue",G55)))</formula>
    </cfRule>
    <cfRule type="containsText" dxfId="1036" priority="2" operator="containsText" text="Stop">
      <formula>NOT(ISERROR(SEARCH("Stop",G55)))</formula>
    </cfRule>
    <cfRule type="containsText" dxfId="1035" priority="3" operator="containsText" text="Start">
      <formula>NOT(ISERROR(SEARCH("Start",G55)))</formula>
    </cfRule>
    <cfRule type="containsText" dxfId="1034" priority="4" operator="containsText" text="N/A">
      <formula>NOT(ISERROR(SEARCH("N/A",G55)))</formula>
    </cfRule>
    <cfRule type="containsText" dxfId="1033" priority="5" operator="containsText" text="Exceeds">
      <formula>NOT(ISERROR(SEARCH("Exceeds",G55)))</formula>
    </cfRule>
    <cfRule type="containsText" dxfId="1032" priority="6" operator="containsText" text="Meets">
      <formula>NOT(ISERROR(SEARCH("Meets",G55)))</formula>
    </cfRule>
  </conditionalFormatting>
  <conditionalFormatting sqref="G59">
    <cfRule type="containsText" dxfId="1031" priority="67" operator="containsText" text="Under">
      <formula>NOT(ISERROR(SEARCH("Under",G59)))</formula>
    </cfRule>
    <cfRule type="containsText" dxfId="1030" priority="66" operator="containsText" text="Meets">
      <formula>NOT(ISERROR(SEARCH("Meets",G59)))</formula>
    </cfRule>
    <cfRule type="containsText" dxfId="1029" priority="65" operator="containsText" text="Exceeds">
      <formula>NOT(ISERROR(SEARCH("Exceeds",G59)))</formula>
    </cfRule>
    <cfRule type="containsText" dxfId="1028" priority="61" operator="containsText" text="Continue">
      <formula>NOT(ISERROR(SEARCH("Continue",G59)))</formula>
    </cfRule>
    <cfRule type="containsText" dxfId="1027" priority="62" operator="containsText" text="Stop">
      <formula>NOT(ISERROR(SEARCH("Stop",G59)))</formula>
    </cfRule>
    <cfRule type="containsText" dxfId="1026" priority="63" operator="containsText" text="Start">
      <formula>NOT(ISERROR(SEARCH("Start",G59)))</formula>
    </cfRule>
    <cfRule type="containsText" dxfId="1025"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{E1502D6E-0C11-44FC-8334-20A75E50E942}</x14:id>
        </ext>
      </extLst>
    </cfRule>
  </conditionalFormatting>
  <conditionalFormatting sqref="G61">
    <cfRule type="containsText" dxfId="1024" priority="41" operator="containsText" text="Exceeds">
      <formula>NOT(ISERROR(SEARCH("Exceeds",G61)))</formula>
    </cfRule>
    <cfRule type="containsText" dxfId="1023" priority="42" operator="containsText" text="Meets">
      <formula>NOT(ISERROR(SEARCH("Meets",G61)))</formula>
    </cfRule>
    <cfRule type="containsText" dxfId="1022" priority="43" operator="containsText" text="Under">
      <formula>NOT(ISERROR(SEARCH("Under",G61)))</formula>
    </cfRule>
    <cfRule type="containsText" dxfId="1021" priority="40" operator="containsText" text="N/A">
      <formula>NOT(ISERROR(SEARCH("N/A",G61)))</formula>
    </cfRule>
    <cfRule type="containsText" dxfId="1020" priority="39" operator="containsText" text="Start">
      <formula>NOT(ISERROR(SEARCH("Start",G61)))</formula>
    </cfRule>
    <cfRule type="containsText" dxfId="1019" priority="38" operator="containsText" text="Stop">
      <formula>NOT(ISERROR(SEARCH("Stop",G61)))</formula>
    </cfRule>
    <cfRule type="containsText" dxfId="1018"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{34F02544-4B47-4777-BAA7-6226154B68E8}</x14:id>
        </ext>
      </extLst>
    </cfRule>
  </conditionalFormatting>
  <conditionalFormatting sqref="G65">
    <cfRule type="containsText" dxfId="1017" priority="59" operator="containsText" text="Under">
      <formula>NOT(ISERROR(SEARCH("Under",G65)))</formula>
    </cfRule>
    <cfRule type="containsText" dxfId="1016" priority="57" operator="containsText" text="Exceeds">
      <formula>NOT(ISERROR(SEARCH("Exceeds",G65)))</formula>
    </cfRule>
    <cfRule type="containsText" dxfId="1015" priority="56" operator="containsText" text="N/A">
      <formula>NOT(ISERROR(SEARCH("N/A",G65)))</formula>
    </cfRule>
    <cfRule type="containsText" dxfId="1014" priority="53" operator="containsText" text="Continue">
      <formula>NOT(ISERROR(SEARCH("Continue",G65)))</formula>
    </cfRule>
    <cfRule type="containsText" dxfId="1013" priority="54" operator="containsText" text="Stop">
      <formula>NOT(ISERROR(SEARCH("Stop",G65)))</formula>
    </cfRule>
    <cfRule type="containsText" dxfId="1012" priority="58" operator="containsText" text="Meets">
      <formula>NOT(ISERROR(SEARCH("Meets",G65)))</formula>
    </cfRule>
    <cfRule type="containsText" dxfId="1011"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{422E197B-8B16-4409-9218-0BDDEB4F0F07}</x14:id>
        </ext>
      </extLst>
    </cfRule>
  </conditionalFormatting>
  <conditionalFormatting sqref="G67">
    <cfRule type="containsText" dxfId="1010" priority="45" operator="containsText" text="Continue">
      <formula>NOT(ISERROR(SEARCH("Continue",G67)))</formula>
    </cfRule>
    <cfRule type="containsText" dxfId="1009" priority="47" operator="containsText" text="Start">
      <formula>NOT(ISERROR(SEARCH("Start",G67)))</formula>
    </cfRule>
    <cfRule type="containsText" dxfId="1008" priority="48" operator="containsText" text="N/A">
      <formula>NOT(ISERROR(SEARCH("N/A",G67)))</formula>
    </cfRule>
    <cfRule type="containsText" dxfId="1007" priority="49" operator="containsText" text="Exceeds">
      <formula>NOT(ISERROR(SEARCH("Exceeds",G67)))</formula>
    </cfRule>
    <cfRule type="containsText" dxfId="1006" priority="50" operator="containsText" text="Meets">
      <formula>NOT(ISERROR(SEARCH("Meets",G67)))</formula>
    </cfRule>
    <cfRule type="containsText" dxfId="1005" priority="46" operator="containsText" text="Stop">
      <formula>NOT(ISERROR(SEARCH("Stop",G67)))</formula>
    </cfRule>
    <cfRule type="containsText" dxfId="1004"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{1CE6870D-C249-4A15-B7E4-904243912214}</x14:id>
        </ext>
      </extLst>
    </cfRule>
  </conditionalFormatting>
  <conditionalFormatting sqref="G159 G161">
    <cfRule type="containsText" dxfId="1003" priority="308" operator="containsText" text="Continue">
      <formula>NOT(ISERROR(SEARCH("Continue",G159)))</formula>
    </cfRule>
    <cfRule type="containsText" dxfId="1002" priority="309" operator="containsText" text="Stop">
      <formula>NOT(ISERROR(SEARCH("Stop",G159)))</formula>
    </cfRule>
    <cfRule type="containsText" dxfId="1001" priority="310" operator="containsText" text="Start">
      <formula>NOT(ISERROR(SEARCH("Start",G159)))</formula>
    </cfRule>
    <cfRule type="containsText" dxfId="1000" priority="311" operator="containsText" text="N/A">
      <formula>NOT(ISERROR(SEARCH("N/A",G159)))</formula>
    </cfRule>
    <cfRule type="containsText" dxfId="999" priority="312" operator="containsText" text="Exceeds">
      <formula>NOT(ISERROR(SEARCH("Exceeds",G159)))</formula>
    </cfRule>
    <cfRule type="containsText" dxfId="998" priority="314" operator="containsText" text="Under">
      <formula>NOT(ISERROR(SEARCH("Under",G159)))</formula>
    </cfRule>
    <cfRule type="containsText" dxfId="997" priority="313" operator="containsText" text="Meets">
      <formula>NOT(ISERROR(SEARCH("Meets",G159)))</formula>
    </cfRule>
  </conditionalFormatting>
  <conditionalFormatting sqref="G164 G166">
    <cfRule type="containsText" dxfId="996" priority="291" operator="containsText" text="Under">
      <formula>NOT(ISERROR(SEARCH("Under",G164)))</formula>
    </cfRule>
    <cfRule type="containsText" dxfId="995" priority="285" operator="containsText" text="Continue">
      <formula>NOT(ISERROR(SEARCH("Continue",G164)))</formula>
    </cfRule>
    <cfRule type="containsText" dxfId="994" priority="286" operator="containsText" text="Stop">
      <formula>NOT(ISERROR(SEARCH("Stop",G164)))</formula>
    </cfRule>
    <cfRule type="containsText" dxfId="993" priority="288" operator="containsText" text="N/A">
      <formula>NOT(ISERROR(SEARCH("N/A",G164)))</formula>
    </cfRule>
    <cfRule type="containsText" dxfId="992" priority="289" operator="containsText" text="Exceeds">
      <formula>NOT(ISERROR(SEARCH("Exceeds",G164)))</formula>
    </cfRule>
    <cfRule type="containsText" dxfId="991" priority="290" operator="containsText" text="Meets">
      <formula>NOT(ISERROR(SEARCH("Meets",G164)))</formula>
    </cfRule>
    <cfRule type="containsText" dxfId="990" priority="287" operator="containsText" text="Start">
      <formula>NOT(ISERROR(SEARCH("Start",G164)))</formula>
    </cfRule>
  </conditionalFormatting>
  <conditionalFormatting sqref="G169 G171">
    <cfRule type="containsText" dxfId="989" priority="258" operator="containsText" text="N/A">
      <formula>NOT(ISERROR(SEARCH("N/A",G169)))</formula>
    </cfRule>
    <cfRule type="containsText" dxfId="988" priority="259" operator="containsText" text="Exceeds">
      <formula>NOT(ISERROR(SEARCH("Exceeds",G169)))</formula>
    </cfRule>
    <cfRule type="containsText" dxfId="987" priority="260" operator="containsText" text="Meets">
      <formula>NOT(ISERROR(SEARCH("Meets",G169)))</formula>
    </cfRule>
    <cfRule type="containsText" dxfId="986" priority="261" operator="containsText" text="Under">
      <formula>NOT(ISERROR(SEARCH("Under",G169)))</formula>
    </cfRule>
    <cfRule type="containsText" dxfId="985" priority="256" operator="containsText" text="Stop">
      <formula>NOT(ISERROR(SEARCH("Stop",G169)))</formula>
    </cfRule>
    <cfRule type="containsText" dxfId="984" priority="257" operator="containsText" text="Start">
      <formula>NOT(ISERROR(SEARCH("Start",G169)))</formula>
    </cfRule>
    <cfRule type="containsText" dxfId="983" priority="255" operator="containsText" text="Continue">
      <formula>NOT(ISERROR(SEARCH("Continue",G169)))</formula>
    </cfRule>
  </conditionalFormatting>
  <conditionalFormatting sqref="J29">
    <cfRule type="containsText" dxfId="982" priority="374" operator="containsText" text="Continue">
      <formula>NOT(ISERROR(SEARCH("Continue",J29)))</formula>
    </cfRule>
    <cfRule type="containsText" dxfId="981" priority="379" operator="containsText" text="Meets">
      <formula>NOT(ISERROR(SEARCH("Meets",J29)))</formula>
    </cfRule>
    <cfRule type="containsText" dxfId="980" priority="380" operator="containsText" text="Under">
      <formula>NOT(ISERROR(SEARCH("Under",J29)))</formula>
    </cfRule>
    <cfRule type="containsText" dxfId="979" priority="378" operator="containsText" text="Exceeds">
      <formula>NOT(ISERROR(SEARCH("Exceeds",J29)))</formula>
    </cfRule>
    <cfRule type="containsText" dxfId="978" priority="377" operator="containsText" text="N/A">
      <formula>NOT(ISERROR(SEARCH("N/A",J29)))</formula>
    </cfRule>
    <cfRule type="containsText" dxfId="977" priority="376" operator="containsText" text="Start">
      <formula>NOT(ISERROR(SEARCH("Start",J29)))</formula>
    </cfRule>
    <cfRule type="containsText" dxfId="976" priority="375" operator="containsText" text="Stop">
      <formula>NOT(ISERROR(SEARCH("Stop",J29)))</formula>
    </cfRule>
  </conditionalFormatting>
  <conditionalFormatting sqref="J31">
    <cfRule type="containsText" dxfId="975" priority="208" operator="containsText" text="Stop">
      <formula>NOT(ISERROR(SEARCH("Stop",J31)))</formula>
    </cfRule>
    <cfRule type="containsText" dxfId="974" priority="212" operator="containsText" text="Meets">
      <formula>NOT(ISERROR(SEARCH("Meets",J31)))</formula>
    </cfRule>
    <cfRule type="containsText" dxfId="973" priority="211" operator="containsText" text="Exceeds">
      <formula>NOT(ISERROR(SEARCH("Exceeds",J31)))</formula>
    </cfRule>
    <cfRule type="containsText" dxfId="972" priority="210" operator="containsText" text="N/A">
      <formula>NOT(ISERROR(SEARCH("N/A",J31)))</formula>
    </cfRule>
    <cfRule type="containsText" dxfId="971" priority="209" operator="containsText" text="Start">
      <formula>NOT(ISERROR(SEARCH("Start",J31)))</formula>
    </cfRule>
    <cfRule type="containsText" dxfId="970" priority="207" operator="containsText" text="Continue">
      <formula>NOT(ISERROR(SEARCH("Continue",J31)))</formula>
    </cfRule>
    <cfRule type="containsText" dxfId="969" priority="213" operator="containsText" text="Under">
      <formula>NOT(ISERROR(SEARCH("Under",J31)))</formula>
    </cfRule>
  </conditionalFormatting>
  <conditionalFormatting sqref="J35">
    <cfRule type="containsText" dxfId="968" priority="205" operator="containsText" text="Under">
      <formula>NOT(ISERROR(SEARCH("Under",J35)))</formula>
    </cfRule>
    <cfRule type="containsText" dxfId="967" priority="199" operator="containsText" text="Continue">
      <formula>NOT(ISERROR(SEARCH("Continue",J35)))</formula>
    </cfRule>
    <cfRule type="containsText" dxfId="966" priority="200" operator="containsText" text="Stop">
      <formula>NOT(ISERROR(SEARCH("Stop",J35)))</formula>
    </cfRule>
    <cfRule type="containsText" dxfId="965" priority="201" operator="containsText" text="Start">
      <formula>NOT(ISERROR(SEARCH("Start",J35)))</formula>
    </cfRule>
    <cfRule type="containsText" dxfId="964" priority="204" operator="containsText" text="Meets">
      <formula>NOT(ISERROR(SEARCH("Meets",J35)))</formula>
    </cfRule>
    <cfRule type="containsText" dxfId="963" priority="203" operator="containsText" text="Exceeds">
      <formula>NOT(ISERROR(SEARCH("Exceeds",J35)))</formula>
    </cfRule>
    <cfRule type="containsText" dxfId="962" priority="202" operator="containsText" text="N/A">
      <formula>NOT(ISERROR(SEARCH("N/A",J35)))</formula>
    </cfRule>
  </conditionalFormatting>
  <conditionalFormatting sqref="J37">
    <cfRule type="containsText" dxfId="961" priority="195" operator="containsText" text="N/A">
      <formula>NOT(ISERROR(SEARCH("N/A",J37)))</formula>
    </cfRule>
    <cfRule type="containsText" dxfId="960" priority="196" operator="containsText" text="Exceeds">
      <formula>NOT(ISERROR(SEARCH("Exceeds",J37)))</formula>
    </cfRule>
    <cfRule type="containsText" dxfId="959" priority="194" operator="containsText" text="Start">
      <formula>NOT(ISERROR(SEARCH("Start",J37)))</formula>
    </cfRule>
    <cfRule type="containsText" dxfId="958" priority="193" operator="containsText" text="Stop">
      <formula>NOT(ISERROR(SEARCH("Stop",J37)))</formula>
    </cfRule>
    <cfRule type="containsText" dxfId="957" priority="192" operator="containsText" text="Continue">
      <formula>NOT(ISERROR(SEARCH("Continue",J37)))</formula>
    </cfRule>
    <cfRule type="containsText" dxfId="956" priority="197" operator="containsText" text="Meets">
      <formula>NOT(ISERROR(SEARCH("Meets",J37)))</formula>
    </cfRule>
    <cfRule type="containsText" dxfId="955" priority="198" operator="containsText" text="Under">
      <formula>NOT(ISERROR(SEARCH("Under",J37)))</formula>
    </cfRule>
  </conditionalFormatting>
  <conditionalFormatting sqref="J41">
    <cfRule type="containsText" dxfId="954" priority="189" operator="containsText" text="Meets">
      <formula>NOT(ISERROR(SEARCH("Meets",J41)))</formula>
    </cfRule>
    <cfRule type="containsText" dxfId="953" priority="186" operator="containsText" text="Start">
      <formula>NOT(ISERROR(SEARCH("Start",J41)))</formula>
    </cfRule>
    <cfRule type="containsText" dxfId="952" priority="187" operator="containsText" text="N/A">
      <formula>NOT(ISERROR(SEARCH("N/A",J41)))</formula>
    </cfRule>
    <cfRule type="containsText" dxfId="951" priority="188" operator="containsText" text="Exceeds">
      <formula>NOT(ISERROR(SEARCH("Exceeds",J41)))</formula>
    </cfRule>
    <cfRule type="containsText" dxfId="950" priority="190" operator="containsText" text="Under">
      <formula>NOT(ISERROR(SEARCH("Under",J41)))</formula>
    </cfRule>
    <cfRule type="containsText" dxfId="949" priority="184" operator="containsText" text="Continue">
      <formula>NOT(ISERROR(SEARCH("Continue",J41)))</formula>
    </cfRule>
    <cfRule type="containsText" dxfId="948" priority="185" operator="containsText" text="Stop">
      <formula>NOT(ISERROR(SEARCH("Stop",J41)))</formula>
    </cfRule>
  </conditionalFormatting>
  <conditionalFormatting sqref="J43">
    <cfRule type="containsText" dxfId="947" priority="179" operator="containsText" text="Start">
      <formula>NOT(ISERROR(SEARCH("Start",J43)))</formula>
    </cfRule>
    <cfRule type="containsText" dxfId="946" priority="182" operator="containsText" text="Meets">
      <formula>NOT(ISERROR(SEARCH("Meets",J43)))</formula>
    </cfRule>
    <cfRule type="containsText" dxfId="945" priority="177" operator="containsText" text="Continue">
      <formula>NOT(ISERROR(SEARCH("Continue",J43)))</formula>
    </cfRule>
    <cfRule type="containsText" dxfId="944" priority="180" operator="containsText" text="N/A">
      <formula>NOT(ISERROR(SEARCH("N/A",J43)))</formula>
    </cfRule>
    <cfRule type="containsText" dxfId="943" priority="183" operator="containsText" text="Under">
      <formula>NOT(ISERROR(SEARCH("Under",J43)))</formula>
    </cfRule>
    <cfRule type="containsText" dxfId="942" priority="181" operator="containsText" text="Exceeds">
      <formula>NOT(ISERROR(SEARCH("Exceeds",J43)))</formula>
    </cfRule>
    <cfRule type="containsText" dxfId="941" priority="178" operator="containsText" text="Stop">
      <formula>NOT(ISERROR(SEARCH("Stop",J43)))</formula>
    </cfRule>
  </conditionalFormatting>
  <conditionalFormatting sqref="J47">
    <cfRule type="containsText" dxfId="940" priority="173" operator="containsText" text="Exceeds">
      <formula>NOT(ISERROR(SEARCH("Exceeds",J47)))</formula>
    </cfRule>
    <cfRule type="containsText" dxfId="939" priority="169" operator="containsText" text="Continue">
      <formula>NOT(ISERROR(SEARCH("Continue",J47)))</formula>
    </cfRule>
    <cfRule type="containsText" dxfId="938" priority="170" operator="containsText" text="Stop">
      <formula>NOT(ISERROR(SEARCH("Stop",J47)))</formula>
    </cfRule>
    <cfRule type="containsText" dxfId="937" priority="172" operator="containsText" text="N/A">
      <formula>NOT(ISERROR(SEARCH("N/A",J47)))</formula>
    </cfRule>
    <cfRule type="containsText" dxfId="936" priority="174" operator="containsText" text="Meets">
      <formula>NOT(ISERROR(SEARCH("Meets",J47)))</formula>
    </cfRule>
    <cfRule type="containsText" dxfId="935" priority="175" operator="containsText" text="Under">
      <formula>NOT(ISERROR(SEARCH("Under",J47)))</formula>
    </cfRule>
    <cfRule type="containsText" dxfId="934" priority="171" operator="containsText" text="Start">
      <formula>NOT(ISERROR(SEARCH("Start",J47)))</formula>
    </cfRule>
  </conditionalFormatting>
  <conditionalFormatting sqref="J49">
    <cfRule type="containsText" dxfId="933" priority="168" operator="containsText" text="Under">
      <formula>NOT(ISERROR(SEARCH("Under",J49)))</formula>
    </cfRule>
    <cfRule type="containsText" dxfId="932" priority="163" operator="containsText" text="Stop">
      <formula>NOT(ISERROR(SEARCH("Stop",J49)))</formula>
    </cfRule>
    <cfRule type="containsText" dxfId="931" priority="167" operator="containsText" text="Meets">
      <formula>NOT(ISERROR(SEARCH("Meets",J49)))</formula>
    </cfRule>
    <cfRule type="containsText" dxfId="930" priority="164" operator="containsText" text="Start">
      <formula>NOT(ISERROR(SEARCH("Start",J49)))</formula>
    </cfRule>
    <cfRule type="containsText" dxfId="929" priority="162" operator="containsText" text="Continue">
      <formula>NOT(ISERROR(SEARCH("Continue",J49)))</formula>
    </cfRule>
    <cfRule type="containsText" dxfId="928" priority="165" operator="containsText" text="N/A">
      <formula>NOT(ISERROR(SEARCH("N/A",J49)))</formula>
    </cfRule>
    <cfRule type="containsText" dxfId="927" priority="166" operator="containsText" text="Exceeds">
      <formula>NOT(ISERROR(SEARCH("Exceeds",J49)))</formula>
    </cfRule>
  </conditionalFormatting>
  <conditionalFormatting sqref="J53">
    <cfRule type="containsText" dxfId="926" priority="154" operator="containsText" text="Continue">
      <formula>NOT(ISERROR(SEARCH("Continue",J53)))</formula>
    </cfRule>
    <cfRule type="containsText" dxfId="925" priority="155" operator="containsText" text="Stop">
      <formula>NOT(ISERROR(SEARCH("Stop",J53)))</formula>
    </cfRule>
    <cfRule type="containsText" dxfId="924" priority="156" operator="containsText" text="Start">
      <formula>NOT(ISERROR(SEARCH("Start",J53)))</formula>
    </cfRule>
    <cfRule type="containsText" dxfId="923" priority="157" operator="containsText" text="N/A">
      <formula>NOT(ISERROR(SEARCH("N/A",J53)))</formula>
    </cfRule>
    <cfRule type="containsText" dxfId="922" priority="158" operator="containsText" text="Exceeds">
      <formula>NOT(ISERROR(SEARCH("Exceeds",J53)))</formula>
    </cfRule>
    <cfRule type="containsText" dxfId="921" priority="159" operator="containsText" text="Meets">
      <formula>NOT(ISERROR(SEARCH("Meets",J53)))</formula>
    </cfRule>
    <cfRule type="containsText" dxfId="920" priority="160" operator="containsText" text="Under">
      <formula>NOT(ISERROR(SEARCH("Under",J53)))</formula>
    </cfRule>
  </conditionalFormatting>
  <conditionalFormatting sqref="J55">
    <cfRule type="containsText" dxfId="919" priority="147" operator="containsText" text="Continue">
      <formula>NOT(ISERROR(SEARCH("Continue",J55)))</formula>
    </cfRule>
    <cfRule type="containsText" dxfId="918" priority="151" operator="containsText" text="Exceeds">
      <formula>NOT(ISERROR(SEARCH("Exceeds",J55)))</formula>
    </cfRule>
    <cfRule type="containsText" dxfId="917" priority="152" operator="containsText" text="Meets">
      <formula>NOT(ISERROR(SEARCH("Meets",J55)))</formula>
    </cfRule>
    <cfRule type="containsText" dxfId="916" priority="153" operator="containsText" text="Under">
      <formula>NOT(ISERROR(SEARCH("Under",J55)))</formula>
    </cfRule>
    <cfRule type="containsText" dxfId="915" priority="148" operator="containsText" text="Stop">
      <formula>NOT(ISERROR(SEARCH("Stop",J55)))</formula>
    </cfRule>
    <cfRule type="containsText" dxfId="914" priority="149" operator="containsText" text="Start">
      <formula>NOT(ISERROR(SEARCH("Start",J55)))</formula>
    </cfRule>
    <cfRule type="containsText" dxfId="913" priority="150" operator="containsText" text="N/A">
      <formula>NOT(ISERROR(SEARCH("N/A",J55)))</formula>
    </cfRule>
  </conditionalFormatting>
  <conditionalFormatting sqref="J59">
    <cfRule type="containsText" dxfId="912" priority="139" operator="containsText" text="Continue">
      <formula>NOT(ISERROR(SEARCH("Continue",J59)))</formula>
    </cfRule>
    <cfRule type="containsText" dxfId="911" priority="140" operator="containsText" text="Stop">
      <formula>NOT(ISERROR(SEARCH("Stop",J59)))</formula>
    </cfRule>
    <cfRule type="containsText" dxfId="910" priority="141" operator="containsText" text="Start">
      <formula>NOT(ISERROR(SEARCH("Start",J59)))</formula>
    </cfRule>
    <cfRule type="containsText" dxfId="909" priority="142" operator="containsText" text="N/A">
      <formula>NOT(ISERROR(SEARCH("N/A",J59)))</formula>
    </cfRule>
    <cfRule type="containsText" dxfId="908" priority="143" operator="containsText" text="Exceeds">
      <formula>NOT(ISERROR(SEARCH("Exceeds",J59)))</formula>
    </cfRule>
    <cfRule type="containsText" dxfId="907" priority="144" operator="containsText" text="Meets">
      <formula>NOT(ISERROR(SEARCH("Meets",J59)))</formula>
    </cfRule>
    <cfRule type="containsText" dxfId="906" priority="145" operator="containsText" text="Under">
      <formula>NOT(ISERROR(SEARCH("Under",J59)))</formula>
    </cfRule>
  </conditionalFormatting>
  <conditionalFormatting sqref="J61">
    <cfRule type="containsText" dxfId="905" priority="134" operator="containsText" text="Start">
      <formula>NOT(ISERROR(SEARCH("Start",J61)))</formula>
    </cfRule>
    <cfRule type="containsText" dxfId="904" priority="133" operator="containsText" text="Stop">
      <formula>NOT(ISERROR(SEARCH("Stop",J61)))</formula>
    </cfRule>
    <cfRule type="containsText" dxfId="903" priority="135" operator="containsText" text="N/A">
      <formula>NOT(ISERROR(SEARCH("N/A",J61)))</formula>
    </cfRule>
    <cfRule type="containsText" dxfId="902" priority="132" operator="containsText" text="Continue">
      <formula>NOT(ISERROR(SEARCH("Continue",J61)))</formula>
    </cfRule>
    <cfRule type="containsText" dxfId="901" priority="136" operator="containsText" text="Exceeds">
      <formula>NOT(ISERROR(SEARCH("Exceeds",J61)))</formula>
    </cfRule>
    <cfRule type="containsText" dxfId="900" priority="137" operator="containsText" text="Meets">
      <formula>NOT(ISERROR(SEARCH("Meets",J61)))</formula>
    </cfRule>
    <cfRule type="containsText" dxfId="899" priority="138" operator="containsText" text="Under">
      <formula>NOT(ISERROR(SEARCH("Under",J61)))</formula>
    </cfRule>
  </conditionalFormatting>
  <conditionalFormatting sqref="J65">
    <cfRule type="containsText" dxfId="898" priority="127" operator="containsText" text="N/A">
      <formula>NOT(ISERROR(SEARCH("N/A",J65)))</formula>
    </cfRule>
    <cfRule type="containsText" dxfId="897" priority="126" operator="containsText" text="Start">
      <formula>NOT(ISERROR(SEARCH("Start",J65)))</formula>
    </cfRule>
    <cfRule type="containsText" dxfId="896" priority="125" operator="containsText" text="Stop">
      <formula>NOT(ISERROR(SEARCH("Stop",J65)))</formula>
    </cfRule>
    <cfRule type="containsText" dxfId="895" priority="124" operator="containsText" text="Continue">
      <formula>NOT(ISERROR(SEARCH("Continue",J65)))</formula>
    </cfRule>
    <cfRule type="containsText" dxfId="894" priority="130" operator="containsText" text="Under">
      <formula>NOT(ISERROR(SEARCH("Under",J65)))</formula>
    </cfRule>
    <cfRule type="containsText" dxfId="893" priority="129" operator="containsText" text="Meets">
      <formula>NOT(ISERROR(SEARCH("Meets",J65)))</formula>
    </cfRule>
    <cfRule type="containsText" dxfId="892" priority="128" operator="containsText" text="Exceeds">
      <formula>NOT(ISERROR(SEARCH("Exceeds",J65)))</formula>
    </cfRule>
  </conditionalFormatting>
  <conditionalFormatting sqref="J67">
    <cfRule type="containsText" dxfId="891" priority="121" operator="containsText" text="Exceeds">
      <formula>NOT(ISERROR(SEARCH("Exceeds",J67)))</formula>
    </cfRule>
    <cfRule type="containsText" dxfId="890" priority="120" operator="containsText" text="N/A">
      <formula>NOT(ISERROR(SEARCH("N/A",J67)))</formula>
    </cfRule>
    <cfRule type="containsText" dxfId="889" priority="119" operator="containsText" text="Start">
      <formula>NOT(ISERROR(SEARCH("Start",J67)))</formula>
    </cfRule>
    <cfRule type="containsText" dxfId="888" priority="118" operator="containsText" text="Stop">
      <formula>NOT(ISERROR(SEARCH("Stop",J67)))</formula>
    </cfRule>
    <cfRule type="containsText" dxfId="887" priority="117" operator="containsText" text="Continue">
      <formula>NOT(ISERROR(SEARCH("Continue",J67)))</formula>
    </cfRule>
    <cfRule type="containsText" dxfId="886" priority="123" operator="containsText" text="Under">
      <formula>NOT(ISERROR(SEARCH("Under",J67)))</formula>
    </cfRule>
    <cfRule type="containsText" dxfId="885" priority="122" operator="containsText" text="Meets">
      <formula>NOT(ISERROR(SEARCH("Meets",J67)))</formula>
    </cfRule>
  </conditionalFormatting>
  <conditionalFormatting sqref="J154:J156">
    <cfRule type="containsText" dxfId="884" priority="106" operator="containsText" text="Under">
      <formula>NOT(ISERROR(SEARCH("Under",J154)))</formula>
    </cfRule>
    <cfRule type="containsText" dxfId="883" priority="105" operator="containsText" text="Meets">
      <formula>NOT(ISERROR(SEARCH("Meets",J154)))</formula>
    </cfRule>
    <cfRule type="containsText" dxfId="882" priority="104" operator="containsText" text="Exceeds">
      <formula>NOT(ISERROR(SEARCH("Exceeds",J154)))</formula>
    </cfRule>
    <cfRule type="containsText" dxfId="881" priority="103" operator="containsText" text="N/A">
      <formula>NOT(ISERROR(SEARCH("N/A",J154)))</formula>
    </cfRule>
    <cfRule type="containsText" dxfId="880" priority="102" operator="containsText" text="Start">
      <formula>NOT(ISERROR(SEARCH("Start",J154)))</formula>
    </cfRule>
    <cfRule type="containsText" dxfId="879" priority="101" operator="containsText" text="Stop">
      <formula>NOT(ISERROR(SEARCH("Stop",J154)))</formula>
    </cfRule>
    <cfRule type="containsText" dxfId="878"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{362F67BE-3EC9-4AB5-BD1B-7E826C1478F3}</x14:id>
        </ext>
      </extLst>
    </cfRule>
    <cfRule type="dataBar" priority="107">
      <dataBar>
        <cfvo type="num" val="0"/>
        <cfvo type="num" val="1"/>
        <color theme="0" tint="-0.249977111117893"/>
      </dataBar>
      <extLst>
        <ext xmlns:x14="http://schemas.microsoft.com/office/spreadsheetml/2009/9/main" uri="{B025F937-C7B1-47D3-B67F-A62EFF666E3E}">
          <x14:id>{4A7F10C4-E3E5-48C6-B358-FB482CFCA57F}</x14:id>
        </ext>
      </extLst>
    </cfRule>
  </conditionalFormatting>
  <conditionalFormatting sqref="J159 J164">
    <cfRule type="containsText" dxfId="877" priority="435" operator="containsText" text="Stop">
      <formula>NOT(ISERROR(SEARCH("Stop",J159)))</formula>
    </cfRule>
    <cfRule type="containsText" dxfId="876" priority="437" operator="containsText" text="N/A">
      <formula>NOT(ISERROR(SEARCH("N/A",J159)))</formula>
    </cfRule>
    <cfRule type="containsText" dxfId="875" priority="436" operator="containsText" text="Start">
      <formula>NOT(ISERROR(SEARCH("Start",J159)))</formula>
    </cfRule>
    <cfRule type="containsText" dxfId="874" priority="438" operator="containsText" text="Exceeds">
      <formula>NOT(ISERROR(SEARCH("Exceeds",J159)))</formula>
    </cfRule>
    <cfRule type="containsText" dxfId="873" priority="439" operator="containsText" text="Meets">
      <formula>NOT(ISERROR(SEARCH("Meets",J159)))</formula>
    </cfRule>
    <cfRule type="containsText" dxfId="872" priority="440" operator="containsText" text="Under">
      <formula>NOT(ISERROR(SEARCH("Under",J159)))</formula>
    </cfRule>
    <cfRule type="containsText" dxfId="871" priority="434" operator="containsText" text="Continue">
      <formula>NOT(ISERROR(SEARCH("Continue",J159)))</formula>
    </cfRule>
  </conditionalFormatting>
  <conditionalFormatting sqref="J161">
    <cfRule type="containsText" dxfId="870" priority="306" operator="containsText" text="Meets">
      <formula>NOT(ISERROR(SEARCH("Meets",J161)))</formula>
    </cfRule>
    <cfRule type="containsText" dxfId="869" priority="305" operator="containsText" text="Exceeds">
      <formula>NOT(ISERROR(SEARCH("Exceeds",J161)))</formula>
    </cfRule>
    <cfRule type="containsText" dxfId="868" priority="304" operator="containsText" text="N/A">
      <formula>NOT(ISERROR(SEARCH("N/A",J161)))</formula>
    </cfRule>
    <cfRule type="containsText" dxfId="867" priority="303" operator="containsText" text="Start">
      <formula>NOT(ISERROR(SEARCH("Start",J161)))</formula>
    </cfRule>
    <cfRule type="containsText" dxfId="866" priority="302" operator="containsText" text="Stop">
      <formula>NOT(ISERROR(SEARCH("Stop",J161)))</formula>
    </cfRule>
    <cfRule type="containsText" dxfId="865" priority="301" operator="containsText" text="Continue">
      <formula>NOT(ISERROR(SEARCH("Continue",J161)))</formula>
    </cfRule>
    <cfRule type="containsText" dxfId="864" priority="307" operator="containsText" text="Under">
      <formula>NOT(ISERROR(SEARCH("Under",J161)))</formula>
    </cfRule>
  </conditionalFormatting>
  <conditionalFormatting sqref="J166">
    <cfRule type="containsText" dxfId="863" priority="282" operator="containsText" text="Exceeds">
      <formula>NOT(ISERROR(SEARCH("Exceeds",J166)))</formula>
    </cfRule>
    <cfRule type="containsText" dxfId="862" priority="284" operator="containsText" text="Under">
      <formula>NOT(ISERROR(SEARCH("Under",J166)))</formula>
    </cfRule>
    <cfRule type="containsText" dxfId="861" priority="281" operator="containsText" text="N/A">
      <formula>NOT(ISERROR(SEARCH("N/A",J166)))</formula>
    </cfRule>
    <cfRule type="containsText" dxfId="860" priority="280" operator="containsText" text="Start">
      <formula>NOT(ISERROR(SEARCH("Start",J166)))</formula>
    </cfRule>
    <cfRule type="containsText" dxfId="859" priority="279" operator="containsText" text="Stop">
      <formula>NOT(ISERROR(SEARCH("Stop",J166)))</formula>
    </cfRule>
    <cfRule type="containsText" dxfId="858" priority="278" operator="containsText" text="Continue">
      <formula>NOT(ISERROR(SEARCH("Continue",J166)))</formula>
    </cfRule>
    <cfRule type="containsText" dxfId="857" priority="283" operator="containsText" text="Meets">
      <formula>NOT(ISERROR(SEARCH("Meets",J166)))</formula>
    </cfRule>
  </conditionalFormatting>
  <conditionalFormatting sqref="J169">
    <cfRule type="containsText" dxfId="856" priority="273" operator="containsText" text="Start">
      <formula>NOT(ISERROR(SEARCH("Start",J169)))</formula>
    </cfRule>
    <cfRule type="containsText" dxfId="855" priority="272" operator="containsText" text="Stop">
      <formula>NOT(ISERROR(SEARCH("Stop",J169)))</formula>
    </cfRule>
    <cfRule type="containsText" dxfId="854" priority="276" operator="containsText" text="Meets">
      <formula>NOT(ISERROR(SEARCH("Meets",J169)))</formula>
    </cfRule>
    <cfRule type="containsText" dxfId="853" priority="271" operator="containsText" text="Continue">
      <formula>NOT(ISERROR(SEARCH("Continue",J169)))</formula>
    </cfRule>
    <cfRule type="containsText" dxfId="852" priority="277" operator="containsText" text="Under">
      <formula>NOT(ISERROR(SEARCH("Under",J169)))</formula>
    </cfRule>
    <cfRule type="containsText" dxfId="851" priority="274" operator="containsText" text="N/A">
      <formula>NOT(ISERROR(SEARCH("N/A",J169)))</formula>
    </cfRule>
    <cfRule type="containsText" dxfId="850" priority="275" operator="containsText" text="Exceeds">
      <formula>NOT(ISERROR(SEARCH("Exceeds",J169)))</formula>
    </cfRule>
  </conditionalFormatting>
  <conditionalFormatting sqref="J171">
    <cfRule type="containsText" dxfId="849" priority="248" operator="containsText" text="Continue">
      <formula>NOT(ISERROR(SEARCH("Continue",J171)))</formula>
    </cfRule>
    <cfRule type="containsText" dxfId="848" priority="249" operator="containsText" text="Stop">
      <formula>NOT(ISERROR(SEARCH("Stop",J171)))</formula>
    </cfRule>
    <cfRule type="containsText" dxfId="847" priority="251" operator="containsText" text="N/A">
      <formula>NOT(ISERROR(SEARCH("N/A",J171)))</formula>
    </cfRule>
    <cfRule type="containsText" dxfId="846" priority="252" operator="containsText" text="Exceeds">
      <formula>NOT(ISERROR(SEARCH("Exceeds",J171)))</formula>
    </cfRule>
    <cfRule type="containsText" dxfId="845" priority="250" operator="containsText" text="Start">
      <formula>NOT(ISERROR(SEARCH("Start",J171)))</formula>
    </cfRule>
    <cfRule type="containsText" dxfId="844" priority="253" operator="containsText" text="Meets">
      <formula>NOT(ISERROR(SEARCH("Meets",J171)))</formula>
    </cfRule>
    <cfRule type="containsText" dxfId="843" priority="254" operator="containsText" text="Under">
      <formula>NOT(ISERROR(SEARCH("Under",J171)))</formula>
    </cfRule>
  </conditionalFormatting>
  <conditionalFormatting sqref="M62 M68">
    <cfRule type="containsText" dxfId="842" priority="448" operator="containsText" text="N/A">
      <formula>NOT(ISERROR(SEARCH("N/A",M62)))</formula>
    </cfRule>
    <cfRule type="containsText" dxfId="841" priority="449" operator="containsText" text="Exceeds">
      <formula>NOT(ISERROR(SEARCH("Exceeds",M62)))</formula>
    </cfRule>
    <cfRule type="containsText" dxfId="840" priority="450" operator="containsText" text="Meets">
      <formula>NOT(ISERROR(SEARCH("Meets",M62)))</formula>
    </cfRule>
    <cfRule type="containsText" dxfId="839" priority="451" operator="containsText" text="Under">
      <formula>NOT(ISERROR(SEARCH("Under",M62)))</formula>
    </cfRule>
  </conditionalFormatting>
  <conditionalFormatting sqref="Q14:Q16">
    <cfRule type="containsText" dxfId="838" priority="453" operator="containsText" text="Exceeds">
      <formula>NOT(ISERROR(SEARCH("Exceeds",Q14)))</formula>
    </cfRule>
    <cfRule type="containsText" dxfId="837" priority="454" operator="containsText" text="Meets">
      <formula>NOT(ISERROR(SEARCH("Meets",Q14)))</formula>
    </cfRule>
    <cfRule type="containsText" dxfId="836" priority="455" operator="containsText" text="Under">
      <formula>NOT(ISERROR(SEARCH("Under",Q14)))</formula>
    </cfRule>
    <cfRule type="containsText" dxfId="835" priority="452" operator="containsText" text="N/A">
      <formula>NOT(ISERROR(SEARCH("N/A",Q14)))</formula>
    </cfRule>
  </conditionalFormatting>
  <dataValidations count="8">
    <dataValidation type="list" allowBlank="1" showInputMessage="1" showErrorMessage="1" sqref="J73:J80" xr:uid="{FC0237CD-A18D-43B2-BE24-D82ECBE35EB8}">
      <formula1>"Yes, No"</formula1>
    </dataValidation>
    <dataValidation type="list" allowBlank="1" showInputMessage="1" showErrorMessage="1" sqref="G73:G80" xr:uid="{B090FB3E-5824-469B-9AA4-09E2F18A6D8D}">
      <formula1>"Online self-paced, Online, Hybrid, In person, Peer learning"</formula1>
    </dataValidation>
    <dataValidation type="list" allowBlank="1" showInputMessage="1" showErrorMessage="1" sqref="F178:F179" xr:uid="{91FD525F-C345-448B-B74D-A10B86C0D6C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8B637506-F2B0-466E-BFC6-5A359759F958}"/>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9BFAA4F-F7F6-44F3-B973-6B86597EFAA0}"/>
    <dataValidation allowBlank="1" showInputMessage="1" showErrorMessage="1" prompt="Cells I9 through BL9 contain the day number of the month for the Month represented in the cell block above each date cell and are auto calculated._x000a_Do not modify these cells._x000a_" sqref="A8:C8" xr:uid="{0CEF5318-70D2-4A01-AFFA-CFE70D323EE6}"/>
    <dataValidation allowBlank="1" showInputMessage="1" showErrorMessage="1" prompt="Enter Company Name in cell B4._x000a_A legend is in cells I4 through AC4.  The Legend label is in cell G4." sqref="A2:C2" xr:uid="{FFC67634-363F-4678-9C83-AA422F226D04}"/>
    <dataValidation type="list" allowBlank="1" showInputMessage="1" showErrorMessage="1" sqref="L73:L80" xr:uid="{2BDE754C-D65B-4D29-BDFA-804AF3BF1E31}">
      <formula1>"0, 1, 2, 3, 4, 5, 6, 7, 8, 9, 10"</formula1>
    </dataValidation>
  </dataValidations>
  <hyperlinks>
    <hyperlink ref="G85:H85" r:id="rId1" location=":~:text=use%20the%20method.-,Examples%20of%20SMART%20Goals,-We%20will%C2%A0create" display="Examples of SMART Goals" xr:uid="{50D9F16E-0B76-4CAA-A7F8-F6E7F8A41260}"/>
    <hyperlink ref="G85" r:id="rId2" location=":~:text=Examples%20of%20S.M.A.R.T.%20Goals" display="https://www.forbes.com/advisor/business/smart-goals/#:~:text=Examples%20of%20S.M.A.R.T.%20Goals" xr:uid="{FB63BCAC-5976-43EF-A766-F44496A05D91}"/>
    <hyperlink ref="I85" r:id="rId3" location=":~:text=use%20the%20method.-,Examples%20of%20SMART%20Goals,-We%20will%C2%A0create" display="Examples of SMART Goals" xr:uid="{2B873FD5-22F9-43AE-AEF3-9F48FA4A361D}"/>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BF97046E-AED3-41C2-BDF1-5FAD0C5FA2D4}">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99DEE26F-8268-4710-9387-3CF31AA0407C}">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8531594-F31D-4657-9C6C-A756548B4D7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F733C87-135E-4ACC-90F9-4FFAAE85A242}">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F548FAC2-DE13-431A-AECD-66F6393698A7}">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C6E1966-7FD3-493F-8F1A-BD4A220BC2E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A519199E-A33D-4ADA-B02D-623A89CA6DDB}">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46167D2-9372-4C34-AF61-DBFDC84FE82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AD4DC35D-7494-4085-8B67-E912C2A3977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59DAD0B7-6DC1-4BFC-AB02-2C8FCE7A874D}">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67AF3427-1D29-4AF0-B979-031183A5BA58}">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ECC2E1D-6E57-4989-B076-A4FF56C1169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33ECC5F-69C8-4A5A-B286-843B6F41046B}">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15750599-3B9E-4DFE-8BCE-99BEDBFC141A}">
            <x14:dataBar minLength="0" maxLength="100" gradient="0">
              <x14:cfvo type="num">
                <xm:f>0</xm:f>
              </x14:cfvo>
              <x14:cfvo type="num">
                <xm:f>1</xm:f>
              </x14:cfvo>
              <x14:negativeFillColor rgb="FFFF0000"/>
              <x14:axisColor rgb="FF000000"/>
            </x14:dataBar>
          </x14:cfRule>
          <x14:cfRule type="dataBar" id="{4FA5139F-0641-4153-B96F-6617A850B201}">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E590EA84-1227-4475-8D07-844C9C2269E9}">
            <x14:dataBar minLength="0" maxLength="100" gradient="0">
              <x14:cfvo type="num">
                <xm:f>0</xm:f>
              </x14:cfvo>
              <x14:cfvo type="num">
                <xm:f>1</xm:f>
              </x14:cfvo>
              <x14:negativeFillColor rgb="FFFF0000"/>
              <x14:axisColor rgb="FF000000"/>
            </x14:dataBar>
          </x14:cfRule>
          <x14:cfRule type="dataBar" id="{14E5F36A-4EB2-4C08-A37B-C0DFDCFC98E8}">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2B6AB639-69A7-4EB5-8B41-C7C9BEDA5571}">
            <x14:dataBar minLength="0" maxLength="100" gradient="0">
              <x14:cfvo type="num">
                <xm:f>0</xm:f>
              </x14:cfvo>
              <x14:cfvo type="num">
                <xm:f>1</xm:f>
              </x14:cfvo>
              <x14:negativeFillColor rgb="FFFF0000"/>
              <x14:axisColor rgb="FF000000"/>
            </x14:dataBar>
          </x14:cfRule>
          <x14:cfRule type="dataBar" id="{8F94B3EB-A372-440F-A61E-9442AD858CA4}">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9D0F7398-8ABB-4890-9F86-368CBF61CF52}">
            <x14:dataBar minLength="0" maxLength="100" gradient="0">
              <x14:cfvo type="num">
                <xm:f>0</xm:f>
              </x14:cfvo>
              <x14:cfvo type="num">
                <xm:f>1</xm:f>
              </x14:cfvo>
              <x14:negativeFillColor rgb="FFFF0000"/>
              <x14:axisColor rgb="FF000000"/>
            </x14:dataBar>
          </x14:cfRule>
          <x14:cfRule type="dataBar" id="{3D8FFB77-AC89-43A0-AD8F-E9EE20DB9B86}">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54ACFB19-2F00-4924-A7BC-340B66B01732}">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AED057E6-B069-480B-BF81-5F39BEF9AA31}">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201909C-5EB2-4A0D-950B-37FB30545FDC}">
            <x14:dataBar minLength="0" maxLength="100" gradient="0">
              <x14:cfvo type="num">
                <xm:f>0</xm:f>
              </x14:cfvo>
              <x14:cfvo type="num">
                <xm:f>1</xm:f>
              </x14:cfvo>
              <x14:negativeFillColor rgb="FFFF0000"/>
              <x14:axisColor rgb="FF000000"/>
            </x14:dataBar>
          </x14:cfRule>
          <x14:cfRule type="dataBar" id="{31B64D8A-D3E8-4A0B-B6F2-C09356C6FF4A}">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3D5736DB-3C99-4405-BBCF-39245AE54775}">
            <x14:dataBar minLength="0" maxLength="100" gradient="0">
              <x14:cfvo type="num">
                <xm:f>0</xm:f>
              </x14:cfvo>
              <x14:cfvo type="num">
                <xm:f>1</xm:f>
              </x14:cfvo>
              <x14:negativeFillColor rgb="FFFF0000"/>
              <x14:axisColor rgb="FF000000"/>
            </x14:dataBar>
          </x14:cfRule>
          <x14:cfRule type="dataBar" id="{CE0CD42C-E98E-4070-B5BE-2983B1926A6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026088C4-1E88-4DDF-BE1D-DF16DDA7B655}">
            <x14:dataBar minLength="0" maxLength="100" gradient="0">
              <x14:cfvo type="num">
                <xm:f>0</xm:f>
              </x14:cfvo>
              <x14:cfvo type="num">
                <xm:f>1</xm:f>
              </x14:cfvo>
              <x14:negativeFillColor rgb="FFFF0000"/>
              <x14:axisColor rgb="FF000000"/>
            </x14:dataBar>
          </x14:cfRule>
          <x14:cfRule type="dataBar" id="{F8ECC989-5817-4644-A7C4-D4920F7C03A9}">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7218EF6-EEAE-4D3A-A816-3E54560EF25D}">
            <x14:dataBar minLength="0" maxLength="100" gradient="0">
              <x14:cfvo type="num">
                <xm:f>0</xm:f>
              </x14:cfvo>
              <x14:cfvo type="num">
                <xm:f>1</xm:f>
              </x14:cfvo>
              <x14:negativeFillColor rgb="FFFF0000"/>
              <x14:axisColor rgb="FF000000"/>
            </x14:dataBar>
          </x14:cfRule>
          <x14:cfRule type="dataBar" id="{E8B1CFFC-175D-445E-80EB-9A3D8E30685D}">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DE5C554F-E926-4C33-93D5-6481735DE303}">
            <x14:dataBar minLength="0" maxLength="100" gradient="0">
              <x14:cfvo type="num">
                <xm:f>0</xm:f>
              </x14:cfvo>
              <x14:cfvo type="num">
                <xm:f>1</xm:f>
              </x14:cfvo>
              <x14:negativeFillColor rgb="FFFF0000"/>
              <x14:axisColor rgb="FF000000"/>
            </x14:dataBar>
          </x14:cfRule>
          <x14:cfRule type="dataBar" id="{E8A6AB32-E9E0-4631-B01D-2DA39D9C17E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B7273A7-962F-4874-9B88-109598AE55FE}">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53211D8E-FB0E-4560-8E49-20198FB30BA2}">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62E6A13F-9032-427B-9C83-7CD245F7E113}">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A64046D-C4C4-4D8F-98C1-EE93A885E641}">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E1502D6E-0C11-44FC-8334-20A75E50E94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34F02544-4B47-4777-BAA7-6226154B68E8}">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422E197B-8B16-4409-9218-0BDDEB4F0F07}">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1CE6870D-C249-4A15-B7E4-90424391221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62F67BE-3EC9-4AB5-BD1B-7E826C1478F3}">
            <x14:dataBar minLength="0" maxLength="100" gradient="0">
              <x14:cfvo type="num">
                <xm:f>0</xm:f>
              </x14:cfvo>
              <x14:cfvo type="num">
                <xm:f>1</xm:f>
              </x14:cfvo>
              <x14:negativeFillColor rgb="FFFF0000"/>
              <x14:axisColor rgb="FF000000"/>
            </x14:dataBar>
          </x14:cfRule>
          <x14:cfRule type="dataBar" id="{4A7F10C4-E3E5-48C6-B358-FB482CFCA57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E694-59B1-4FB9-88AB-86453E9A9142}">
  <sheetPr codeName="Sheet3">
    <pageSetUpPr autoPageBreaks="0" fitToPage="1"/>
  </sheetPr>
  <dimension ref="A1:Q191"/>
  <sheetViews>
    <sheetView topLeftCell="C165" zoomScale="40" zoomScaleNormal="4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2" t="str">
        <f>'CC 2023'!E2</f>
        <v>Employee Name</v>
      </c>
      <c r="F2" s="542"/>
      <c r="G2" s="542"/>
      <c r="H2" s="542"/>
      <c r="I2" s="150"/>
      <c r="J2" s="150"/>
      <c r="K2" s="133"/>
      <c r="L2" s="144" t="e">
        <f>CONCATENATE(G146,"/",Q174)</f>
        <v>#DIV/0!</v>
      </c>
      <c r="M2" s="151"/>
      <c r="O2" s="149"/>
    </row>
    <row r="3" spans="1:17" s="148" customFormat="1" ht="23.25" customHeight="1">
      <c r="A3" s="100"/>
      <c r="B3" s="100"/>
      <c r="C3" s="101"/>
      <c r="D3" s="107"/>
      <c r="E3" s="152">
        <v>2023</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c r="G6" s="399"/>
      <c r="H6" s="399"/>
      <c r="I6" s="399"/>
      <c r="J6" s="399"/>
      <c r="K6" s="399"/>
      <c r="L6" s="400"/>
      <c r="M6" s="154"/>
      <c r="O6" s="124"/>
    </row>
    <row r="7" spans="1:17" s="148" customFormat="1" ht="50.45" customHeight="1">
      <c r="A7" s="100"/>
      <c r="B7" s="100"/>
      <c r="C7" s="101"/>
      <c r="D7" s="107"/>
      <c r="E7" s="105" t="s">
        <v>3</v>
      </c>
      <c r="F7" s="401" t="s">
        <v>242</v>
      </c>
      <c r="G7" s="402"/>
      <c r="H7" s="402"/>
      <c r="I7" s="402"/>
      <c r="J7" s="402"/>
      <c r="K7" s="402"/>
      <c r="L7" s="403"/>
      <c r="M7" s="154"/>
      <c r="O7" s="124"/>
    </row>
    <row r="8" spans="1:17" s="148" customFormat="1" ht="50.45" customHeight="1">
      <c r="A8" s="100"/>
      <c r="B8" s="100"/>
      <c r="C8" s="101"/>
      <c r="D8" s="103"/>
      <c r="E8" s="106" t="s">
        <v>4</v>
      </c>
      <c r="F8" s="404"/>
      <c r="G8" s="405"/>
      <c r="H8" s="405"/>
      <c r="I8" s="405"/>
      <c r="J8" s="405"/>
      <c r="K8" s="405"/>
      <c r="L8" s="406"/>
      <c r="M8" s="151"/>
      <c r="N8" s="124"/>
    </row>
    <row r="9" spans="1:17" s="148" customFormat="1" ht="21" customHeight="1">
      <c r="C9" s="155"/>
      <c r="D9" s="107"/>
      <c r="E9" s="151"/>
      <c r="F9" s="107"/>
      <c r="G9" s="107"/>
      <c r="H9" s="107"/>
      <c r="I9" s="107"/>
      <c r="J9" s="107"/>
      <c r="K9" s="107"/>
      <c r="L9" s="107"/>
      <c r="M9" s="151"/>
      <c r="O9" s="149"/>
      <c r="Q9" s="124"/>
    </row>
    <row r="10" spans="1:17" s="148" customFormat="1" ht="50.45" customHeight="1">
      <c r="C10" s="155"/>
      <c r="D10" s="107"/>
      <c r="E10" s="104" t="s">
        <v>5</v>
      </c>
      <c r="F10" s="407" t="s">
        <v>241</v>
      </c>
      <c r="G10" s="408"/>
      <c r="H10" s="408"/>
      <c r="I10" s="408"/>
      <c r="J10" s="408"/>
      <c r="K10" s="408"/>
      <c r="L10" s="409"/>
      <c r="M10" s="151"/>
      <c r="O10" s="149"/>
      <c r="Q10" s="124"/>
    </row>
    <row r="11" spans="1:17" s="148" customFormat="1" ht="50.45" customHeight="1">
      <c r="C11" s="155"/>
      <c r="D11" s="156"/>
      <c r="E11" s="106" t="s">
        <v>6</v>
      </c>
      <c r="F11" s="410" t="s">
        <v>241</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c r="D13" s="158"/>
      <c r="E13" s="159"/>
      <c r="F13" s="151"/>
      <c r="G13" s="151"/>
      <c r="H13" s="151"/>
      <c r="I13" s="151"/>
      <c r="J13" s="151"/>
      <c r="K13" s="151"/>
      <c r="L13" s="151"/>
      <c r="M13" s="44"/>
    </row>
    <row r="14" spans="1:17" ht="51.6" customHeigh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c r="D27" s="158"/>
      <c r="E27" s="107"/>
      <c r="F27" s="107"/>
      <c r="G27" s="107"/>
      <c r="H27" s="107"/>
      <c r="I27" s="107"/>
      <c r="J27" s="107"/>
      <c r="K27" s="107"/>
      <c r="L27" s="107"/>
      <c r="M27" s="44"/>
    </row>
    <row r="28" spans="4:13" ht="67.5" customHeight="1">
      <c r="D28" s="44"/>
      <c r="E28" s="118" t="s">
        <v>17</v>
      </c>
      <c r="F28" s="383"/>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Manager Name</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Manager Name</v>
      </c>
      <c r="K31" s="373"/>
      <c r="L31" s="376"/>
      <c r="M31" s="44"/>
    </row>
    <row r="32" spans="4:13" ht="110.25" customHeight="1">
      <c r="D32" s="158"/>
      <c r="E32" s="371"/>
      <c r="F32" s="99"/>
      <c r="G32" s="390"/>
      <c r="H32" s="388"/>
      <c r="I32" s="391"/>
      <c r="J32" s="387"/>
      <c r="K32" s="388"/>
      <c r="L32" s="389"/>
      <c r="M32" s="44"/>
    </row>
    <row r="33" spans="4:13" ht="21" customHeight="1">
      <c r="D33" s="158"/>
      <c r="E33" s="44"/>
      <c r="F33" s="44"/>
      <c r="G33" s="44"/>
      <c r="H33" s="44"/>
      <c r="I33" s="44"/>
      <c r="J33" s="44"/>
      <c r="K33" s="44"/>
      <c r="L33" s="44"/>
      <c r="M33" s="44"/>
    </row>
    <row r="34" spans="4:13" ht="67.5" customHeight="1">
      <c r="D34" s="158"/>
      <c r="E34" s="118" t="s">
        <v>18</v>
      </c>
      <c r="F34" s="392"/>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Manager Name</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Manager Name</v>
      </c>
      <c r="K37" s="373"/>
      <c r="L37" s="376"/>
      <c r="M37" s="44"/>
    </row>
    <row r="38" spans="4:13" ht="144.94999999999999" customHeight="1">
      <c r="D38" s="158"/>
      <c r="E38" s="371"/>
      <c r="F38" s="99"/>
      <c r="G38" s="390"/>
      <c r="H38" s="388"/>
      <c r="I38" s="391"/>
      <c r="J38" s="387"/>
      <c r="K38" s="388"/>
      <c r="L38" s="389"/>
      <c r="M38" s="44"/>
    </row>
    <row r="39" spans="4:13" ht="21" customHeight="1">
      <c r="D39" s="158"/>
      <c r="E39" s="44"/>
      <c r="F39" s="44"/>
      <c r="G39" s="44"/>
      <c r="H39" s="44"/>
      <c r="I39" s="44"/>
      <c r="J39" s="44"/>
      <c r="K39" s="44"/>
      <c r="L39" s="44"/>
      <c r="M39" s="44"/>
    </row>
    <row r="40" spans="4:13" ht="67.5" customHeight="1">
      <c r="D40" s="158"/>
      <c r="E40" s="118" t="s">
        <v>19</v>
      </c>
      <c r="F40" s="392"/>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Manager Name</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Manager Name</v>
      </c>
      <c r="K43" s="373"/>
      <c r="L43" s="376"/>
      <c r="M43" s="44"/>
    </row>
    <row r="44" spans="4:13" ht="113.45" customHeight="1">
      <c r="D44" s="158"/>
      <c r="E44" s="371"/>
      <c r="F44" s="99"/>
      <c r="G44" s="395"/>
      <c r="H44" s="381"/>
      <c r="I44" s="396"/>
      <c r="J44" s="387"/>
      <c r="K44" s="388"/>
      <c r="L44" s="389"/>
      <c r="M44" s="44"/>
    </row>
    <row r="45" spans="4:13" ht="21" customHeight="1">
      <c r="D45" s="158"/>
      <c r="E45" s="44"/>
      <c r="F45" s="44"/>
      <c r="G45" s="44"/>
      <c r="H45" s="44"/>
      <c r="I45" s="44"/>
      <c r="J45" s="44"/>
      <c r="K45" s="44"/>
      <c r="L45" s="44"/>
      <c r="M45" s="44"/>
    </row>
    <row r="46" spans="4:13" ht="67.5" customHeight="1">
      <c r="D46" s="158"/>
      <c r="E46" s="118" t="s">
        <v>21</v>
      </c>
      <c r="F46" s="392"/>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Manager Name</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Manager Name</v>
      </c>
      <c r="K49" s="373"/>
      <c r="L49" s="376"/>
      <c r="M49" s="44"/>
    </row>
    <row r="50" spans="4:13" ht="110.25" customHeight="1">
      <c r="D50" s="156"/>
      <c r="E50" s="371"/>
      <c r="F50" s="99"/>
      <c r="G50" s="390"/>
      <c r="H50" s="388"/>
      <c r="I50" s="391"/>
      <c r="J50" s="387"/>
      <c r="K50" s="388"/>
      <c r="L50" s="389"/>
      <c r="M50" s="44"/>
    </row>
    <row r="51" spans="4:13" ht="21" customHeight="1">
      <c r="D51" s="158"/>
      <c r="E51" s="44"/>
      <c r="F51" s="44"/>
      <c r="G51" s="44"/>
      <c r="H51" s="44"/>
      <c r="I51" s="44"/>
      <c r="J51" s="44"/>
      <c r="K51" s="44"/>
      <c r="L51" s="44"/>
      <c r="M51" s="44"/>
    </row>
    <row r="52" spans="4:13" ht="67.5" customHeight="1">
      <c r="D52" s="158"/>
      <c r="E52" s="118" t="s">
        <v>22</v>
      </c>
      <c r="F52" s="392"/>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Manager Name</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Manager Name</v>
      </c>
      <c r="K55" s="373"/>
      <c r="L55" s="376"/>
      <c r="M55" s="44"/>
    </row>
    <row r="56" spans="4:13" ht="110.25" customHeight="1">
      <c r="D56" s="156"/>
      <c r="E56" s="371"/>
      <c r="F56" s="99"/>
      <c r="G56" s="390"/>
      <c r="H56" s="388"/>
      <c r="I56" s="391"/>
      <c r="J56" s="387"/>
      <c r="K56" s="388"/>
      <c r="L56" s="389"/>
      <c r="M56" s="44"/>
    </row>
    <row r="57" spans="4:13" ht="21" customHeight="1">
      <c r="D57" s="158"/>
      <c r="E57" s="44"/>
      <c r="F57" s="44"/>
      <c r="G57" s="44"/>
      <c r="H57" s="44"/>
      <c r="I57" s="44"/>
      <c r="J57" s="44"/>
      <c r="K57" s="44"/>
      <c r="L57" s="44"/>
      <c r="M57" s="44"/>
    </row>
    <row r="58" spans="4:13" ht="67.5" customHeight="1">
      <c r="D58" s="158"/>
      <c r="E58" s="118" t="s">
        <v>23</v>
      </c>
      <c r="F58" s="383"/>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Manager Name</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Manager Name</v>
      </c>
      <c r="K61" s="373"/>
      <c r="L61" s="376"/>
      <c r="M61" s="44"/>
    </row>
    <row r="62" spans="4:13" ht="110.25" customHeight="1">
      <c r="D62" s="156"/>
      <c r="E62" s="371"/>
      <c r="F62" s="145"/>
      <c r="G62" s="377"/>
      <c r="H62" s="378"/>
      <c r="I62" s="379"/>
      <c r="J62" s="387"/>
      <c r="K62" s="388"/>
      <c r="L62" s="389"/>
      <c r="M62" s="44"/>
    </row>
    <row r="63" spans="4:13" ht="21" customHeight="1">
      <c r="D63" s="158"/>
      <c r="E63" s="44"/>
      <c r="F63" s="44"/>
      <c r="G63" s="44"/>
      <c r="H63" s="44"/>
      <c r="I63" s="44"/>
      <c r="J63" s="44"/>
      <c r="K63" s="44"/>
      <c r="L63" s="44"/>
      <c r="M63" s="44"/>
    </row>
    <row r="64" spans="4:13" ht="67.5" customHeight="1">
      <c r="D64" s="158"/>
      <c r="E64" s="118" t="s">
        <v>24</v>
      </c>
      <c r="F64" s="383"/>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Manager Name</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Manager Name</v>
      </c>
      <c r="K67" s="373"/>
      <c r="L67" s="376"/>
      <c r="M67" s="44"/>
    </row>
    <row r="68" spans="3:15" ht="110.25" customHeigh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c r="D71" s="158"/>
      <c r="E71" s="240" t="s">
        <v>25</v>
      </c>
      <c r="F71" s="240"/>
      <c r="G71" s="240"/>
      <c r="H71" s="240"/>
      <c r="I71" s="240"/>
      <c r="J71" s="240"/>
      <c r="K71" s="240"/>
      <c r="L71" s="240"/>
      <c r="M71" s="44"/>
    </row>
    <row r="72" spans="3:15" s="163" customFormat="1" ht="78.599999999999994" customHeigh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c r="D85" s="158"/>
      <c r="E85" s="240" t="s">
        <v>35</v>
      </c>
      <c r="F85" s="240"/>
      <c r="G85" s="123" t="s">
        <v>36</v>
      </c>
      <c r="H85" s="123"/>
      <c r="I85" s="123"/>
      <c r="J85" s="107"/>
      <c r="K85" s="107"/>
      <c r="L85" s="107"/>
      <c r="M85" s="44"/>
    </row>
    <row r="86" spans="3:15" ht="74.25" customHeight="1">
      <c r="C86" s="164"/>
      <c r="D86" s="158"/>
      <c r="E86" s="57"/>
      <c r="F86" s="347" t="s">
        <v>37</v>
      </c>
      <c r="G86" s="347"/>
      <c r="H86" s="347"/>
      <c r="I86" s="347"/>
      <c r="J86" s="347"/>
      <c r="K86" s="347"/>
      <c r="L86" s="348"/>
      <c r="M86" s="44"/>
      <c r="O86" s="124"/>
    </row>
    <row r="87" spans="3:15" ht="91.5" customHeight="1">
      <c r="C87" s="164"/>
      <c r="D87" s="158"/>
      <c r="E87" s="56" t="s">
        <v>38</v>
      </c>
      <c r="F87" s="548"/>
      <c r="G87" s="350"/>
      <c r="H87" s="350"/>
      <c r="I87" s="350"/>
      <c r="J87" s="350"/>
      <c r="K87" s="350"/>
      <c r="L87" s="351"/>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c r="G89" s="345"/>
      <c r="H89" s="346"/>
      <c r="I89" s="143"/>
      <c r="J89" s="75"/>
      <c r="K89" s="75"/>
      <c r="L89" s="75"/>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Manager Name</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c r="C97" s="164"/>
      <c r="D97" s="158"/>
      <c r="E97" s="126" t="str">
        <f>CONCATENATE("End-of-year meeting - ", TEXT($F$11,"dd/mm/yyyy"))</f>
        <v>End-of-year meeting - TBD</v>
      </c>
      <c r="F97" s="314"/>
      <c r="G97" s="315"/>
      <c r="H97" s="316"/>
      <c r="I97" s="317"/>
      <c r="J97" s="317"/>
      <c r="K97" s="317"/>
      <c r="L97" s="318"/>
      <c r="M97" s="44"/>
      <c r="O97" s="326"/>
    </row>
    <row r="98" spans="3:15" ht="74.25" customHeight="1">
      <c r="C98" s="164"/>
      <c r="D98" s="158"/>
      <c r="E98" s="57"/>
      <c r="F98" s="347" t="s">
        <v>53</v>
      </c>
      <c r="G98" s="347"/>
      <c r="H98" s="347"/>
      <c r="I98" s="347"/>
      <c r="J98" s="347"/>
      <c r="K98" s="347"/>
      <c r="L98" s="348"/>
      <c r="M98" s="44"/>
      <c r="O98" s="124"/>
    </row>
    <row r="99" spans="3:15" ht="91.5" customHeight="1">
      <c r="C99" s="164"/>
      <c r="D99" s="158"/>
      <c r="E99" s="56" t="s">
        <v>38</v>
      </c>
      <c r="F99" s="338"/>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Manager Name</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c r="C110" s="164"/>
      <c r="D110" s="158"/>
      <c r="E110" s="57"/>
      <c r="F110" s="347" t="s">
        <v>54</v>
      </c>
      <c r="G110" s="347"/>
      <c r="H110" s="347"/>
      <c r="I110" s="347"/>
      <c r="J110" s="347"/>
      <c r="K110" s="347"/>
      <c r="L110" s="348"/>
      <c r="M110" s="44"/>
      <c r="O110" s="124"/>
    </row>
    <row r="111" spans="3:15" ht="91.5" customHeight="1">
      <c r="C111" s="164"/>
      <c r="D111" s="158"/>
      <c r="E111" s="56" t="s">
        <v>38</v>
      </c>
      <c r="F111" s="338"/>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Manager Name</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c r="C122" s="164"/>
      <c r="D122" s="158"/>
      <c r="E122" s="57"/>
      <c r="F122" s="347" t="s">
        <v>55</v>
      </c>
      <c r="G122" s="347"/>
      <c r="H122" s="347"/>
      <c r="I122" s="347"/>
      <c r="J122" s="347"/>
      <c r="K122" s="347"/>
      <c r="L122" s="348"/>
      <c r="M122" s="44"/>
      <c r="O122" s="124"/>
    </row>
    <row r="123" spans="3:15" ht="91.5" customHeight="1">
      <c r="C123" s="164"/>
      <c r="D123" s="158"/>
      <c r="E123" s="56" t="s">
        <v>38</v>
      </c>
      <c r="F123" s="548"/>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Manager Name</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c r="C134" s="164"/>
      <c r="D134" s="158"/>
      <c r="E134" s="57"/>
      <c r="F134" s="335" t="s">
        <v>56</v>
      </c>
      <c r="G134" s="335"/>
      <c r="H134" s="335"/>
      <c r="I134" s="335"/>
      <c r="J134" s="335"/>
      <c r="K134" s="335"/>
      <c r="L134" s="336"/>
      <c r="M134" s="44"/>
      <c r="O134" s="124"/>
    </row>
    <row r="135" spans="3:15" ht="91.5" customHeight="1">
      <c r="C135" s="164"/>
      <c r="D135" s="158"/>
      <c r="E135" s="56" t="s">
        <v>38</v>
      </c>
      <c r="F135" s="338"/>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55"/>
      <c r="G137" s="345"/>
      <c r="H137" s="346"/>
      <c r="I137" s="143"/>
      <c r="J137" s="75"/>
      <c r="K137" s="75"/>
      <c r="L137" s="76"/>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Manager Name</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c r="C145" s="164"/>
      <c r="D145" s="158"/>
      <c r="E145" s="129" t="str">
        <f>CONCATENATE("End-of-year meeting - ", TEXT($F$11,"dd/mm/yyyy"))</f>
        <v>End-of-year meeting - TBD</v>
      </c>
      <c r="F145" s="314"/>
      <c r="G145" s="315"/>
      <c r="H145" s="316"/>
      <c r="I145" s="317"/>
      <c r="J145" s="317"/>
      <c r="K145" s="317"/>
      <c r="L145" s="318"/>
      <c r="M145" s="44"/>
      <c r="O145" s="326"/>
    </row>
    <row r="146" spans="3:17" ht="60.6" customHeigh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Manager Name</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Manager Name</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Manager Name</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Manager Name</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Manager Name</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Manager Name</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Manager Name</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Manager Name</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Manager Name</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rGfF7WBUwhD2Tn2mPlY5LtAipppE61ITGJttwGjuq2FpAW+iZPziuE75woEdrT4Xq25Ai32eDtbUQCK84TntgQ==" saltValue="yC2JrCnEldqT+UbARJF7UA==" spinCount="100000" sheet="1" formatCells="0" formatColumns="0" formatRows="0"/>
  <mergeCells count="286">
    <mergeCell ref="E25:F25"/>
    <mergeCell ref="G14:K14"/>
    <mergeCell ref="G15:K15"/>
    <mergeCell ref="G16:K16"/>
    <mergeCell ref="G17:K17"/>
    <mergeCell ref="G18:L18"/>
    <mergeCell ref="G19:K19"/>
    <mergeCell ref="G20:K20"/>
    <mergeCell ref="G21:K21"/>
    <mergeCell ref="G22:L22"/>
    <mergeCell ref="G47:I47"/>
    <mergeCell ref="G48:I48"/>
    <mergeCell ref="G53:I53"/>
    <mergeCell ref="G50:I50"/>
    <mergeCell ref="G44:I44"/>
    <mergeCell ref="G38:I38"/>
    <mergeCell ref="G32:I32"/>
    <mergeCell ref="G31:I31"/>
    <mergeCell ref="G37:I37"/>
    <mergeCell ref="G43:I43"/>
    <mergeCell ref="G49:I49"/>
    <mergeCell ref="F40:L40"/>
    <mergeCell ref="J50:L50"/>
    <mergeCell ref="J53:L53"/>
    <mergeCell ref="H120:L120"/>
    <mergeCell ref="F121:G121"/>
    <mergeCell ref="H121:L121"/>
    <mergeCell ref="F131:G131"/>
    <mergeCell ref="H131:L131"/>
    <mergeCell ref="F115:G115"/>
    <mergeCell ref="F116:G116"/>
    <mergeCell ref="F117:G117"/>
    <mergeCell ref="H115:L115"/>
    <mergeCell ref="H116:L116"/>
    <mergeCell ref="H117:L117"/>
    <mergeCell ref="F128:G128"/>
    <mergeCell ref="F129:G129"/>
    <mergeCell ref="F127:G127"/>
    <mergeCell ref="H127:L127"/>
    <mergeCell ref="H128:L128"/>
    <mergeCell ref="H129:L129"/>
    <mergeCell ref="O137:O145"/>
    <mergeCell ref="E138:E139"/>
    <mergeCell ref="F138:L138"/>
    <mergeCell ref="E142:E143"/>
    <mergeCell ref="F142:L142"/>
    <mergeCell ref="F143:G143"/>
    <mergeCell ref="H143:L143"/>
    <mergeCell ref="F144:G144"/>
    <mergeCell ref="H144:L144"/>
    <mergeCell ref="F145:G145"/>
    <mergeCell ref="H145:L145"/>
    <mergeCell ref="F140:G140"/>
    <mergeCell ref="F141:G141"/>
    <mergeCell ref="F139:G139"/>
    <mergeCell ref="H139:L139"/>
    <mergeCell ref="H140:L140"/>
    <mergeCell ref="H141:L141"/>
    <mergeCell ref="O125:O133"/>
    <mergeCell ref="E126:E127"/>
    <mergeCell ref="F126:L126"/>
    <mergeCell ref="E130:E131"/>
    <mergeCell ref="F130:L130"/>
    <mergeCell ref="E124:E125"/>
    <mergeCell ref="F132:G132"/>
    <mergeCell ref="H132:L132"/>
    <mergeCell ref="F133:G133"/>
    <mergeCell ref="H133:L133"/>
    <mergeCell ref="O113:O121"/>
    <mergeCell ref="E114:E115"/>
    <mergeCell ref="F114:L114"/>
    <mergeCell ref="E118:E119"/>
    <mergeCell ref="F118:L118"/>
    <mergeCell ref="E112:E113"/>
    <mergeCell ref="O101:O109"/>
    <mergeCell ref="E102:E103"/>
    <mergeCell ref="F102:L102"/>
    <mergeCell ref="E106:E107"/>
    <mergeCell ref="F106:L106"/>
    <mergeCell ref="E100:E101"/>
    <mergeCell ref="F100:H100"/>
    <mergeCell ref="F101:H101"/>
    <mergeCell ref="F104:G104"/>
    <mergeCell ref="F105:G105"/>
    <mergeCell ref="F103:G103"/>
    <mergeCell ref="H103:L103"/>
    <mergeCell ref="H104:L104"/>
    <mergeCell ref="H105:L105"/>
    <mergeCell ref="H109:L109"/>
    <mergeCell ref="F119:G119"/>
    <mergeCell ref="H119:L119"/>
    <mergeCell ref="F120:G120"/>
    <mergeCell ref="E184:L184"/>
    <mergeCell ref="E176:L176"/>
    <mergeCell ref="E151:L151"/>
    <mergeCell ref="J179:L179"/>
    <mergeCell ref="E183:L183"/>
    <mergeCell ref="F163:L163"/>
    <mergeCell ref="E164:E165"/>
    <mergeCell ref="E166:E167"/>
    <mergeCell ref="J178:L178"/>
    <mergeCell ref="E171:E172"/>
    <mergeCell ref="J177:L177"/>
    <mergeCell ref="F152:L152"/>
    <mergeCell ref="G172:I172"/>
    <mergeCell ref="J172:L172"/>
    <mergeCell ref="J171:L171"/>
    <mergeCell ref="G171:I171"/>
    <mergeCell ref="G177:I177"/>
    <mergeCell ref="G178:I178"/>
    <mergeCell ref="G179:I179"/>
    <mergeCell ref="E161:E162"/>
    <mergeCell ref="J159:L159"/>
    <mergeCell ref="J164:L164"/>
    <mergeCell ref="G164:I164"/>
    <mergeCell ref="G154:I154"/>
    <mergeCell ref="H188:J188"/>
    <mergeCell ref="F188:G188"/>
    <mergeCell ref="K188:L188"/>
    <mergeCell ref="H186:J186"/>
    <mergeCell ref="F186:G186"/>
    <mergeCell ref="K186:L186"/>
    <mergeCell ref="K187:L187"/>
    <mergeCell ref="F187:G187"/>
    <mergeCell ref="H187:J187"/>
    <mergeCell ref="F98:L98"/>
    <mergeCell ref="F99:L99"/>
    <mergeCell ref="E169:E170"/>
    <mergeCell ref="E175:L175"/>
    <mergeCell ref="F168:L168"/>
    <mergeCell ref="J166:L166"/>
    <mergeCell ref="G166:I166"/>
    <mergeCell ref="G165:I165"/>
    <mergeCell ref="F134:L134"/>
    <mergeCell ref="F135:L135"/>
    <mergeCell ref="E136:E137"/>
    <mergeCell ref="F136:H136"/>
    <mergeCell ref="F137:H137"/>
    <mergeCell ref="H108:L108"/>
    <mergeCell ref="F109:G109"/>
    <mergeCell ref="F110:L110"/>
    <mergeCell ref="F122:L122"/>
    <mergeCell ref="F111:L111"/>
    <mergeCell ref="F112:H112"/>
    <mergeCell ref="F113:H113"/>
    <mergeCell ref="F123:L123"/>
    <mergeCell ref="F124:H124"/>
    <mergeCell ref="F125:H125"/>
    <mergeCell ref="G159:I159"/>
    <mergeCell ref="F97:G97"/>
    <mergeCell ref="H97:L97"/>
    <mergeCell ref="F107:G107"/>
    <mergeCell ref="E159:E160"/>
    <mergeCell ref="F158:L158"/>
    <mergeCell ref="E59:E60"/>
    <mergeCell ref="E80:F80"/>
    <mergeCell ref="E85:F85"/>
    <mergeCell ref="E61:E62"/>
    <mergeCell ref="E156:E157"/>
    <mergeCell ref="F153:L153"/>
    <mergeCell ref="E154:E155"/>
    <mergeCell ref="F91:G91"/>
    <mergeCell ref="F92:G92"/>
    <mergeCell ref="F93:G93"/>
    <mergeCell ref="H91:L91"/>
    <mergeCell ref="H92:L92"/>
    <mergeCell ref="H93:L93"/>
    <mergeCell ref="F95:G95"/>
    <mergeCell ref="H95:L95"/>
    <mergeCell ref="F96:G96"/>
    <mergeCell ref="H96:L96"/>
    <mergeCell ref="H107:L107"/>
    <mergeCell ref="F108:G108"/>
    <mergeCell ref="F6:L6"/>
    <mergeCell ref="F7:L7"/>
    <mergeCell ref="E84:L84"/>
    <mergeCell ref="F8:L8"/>
    <mergeCell ref="E55:E56"/>
    <mergeCell ref="E75:F75"/>
    <mergeCell ref="E76:F76"/>
    <mergeCell ref="E74:F74"/>
    <mergeCell ref="E77:F77"/>
    <mergeCell ref="E79:F79"/>
    <mergeCell ref="E43:E44"/>
    <mergeCell ref="L15:L16"/>
    <mergeCell ref="L19:L20"/>
    <mergeCell ref="F64:L64"/>
    <mergeCell ref="E65:E66"/>
    <mergeCell ref="E67:E68"/>
    <mergeCell ref="J66:L66"/>
    <mergeCell ref="E14:F14"/>
    <mergeCell ref="F28:L28"/>
    <mergeCell ref="E26:L26"/>
    <mergeCell ref="F46:L46"/>
    <mergeCell ref="F52:L52"/>
    <mergeCell ref="F58:L58"/>
    <mergeCell ref="F34:L34"/>
    <mergeCell ref="E29:E30"/>
    <mergeCell ref="E31:E32"/>
    <mergeCell ref="E41:E42"/>
    <mergeCell ref="J29:L29"/>
    <mergeCell ref="J31:L31"/>
    <mergeCell ref="J30:L30"/>
    <mergeCell ref="J32:L32"/>
    <mergeCell ref="J35:L35"/>
    <mergeCell ref="J36:L36"/>
    <mergeCell ref="G29:I29"/>
    <mergeCell ref="G30:I30"/>
    <mergeCell ref="G35:I35"/>
    <mergeCell ref="G36:I36"/>
    <mergeCell ref="G41:I41"/>
    <mergeCell ref="G42:I42"/>
    <mergeCell ref="E2:H2"/>
    <mergeCell ref="O89:O97"/>
    <mergeCell ref="E71:L71"/>
    <mergeCell ref="E72:F72"/>
    <mergeCell ref="E73:F73"/>
    <mergeCell ref="E78:F78"/>
    <mergeCell ref="E53:E54"/>
    <mergeCell ref="E47:E48"/>
    <mergeCell ref="E49:E50"/>
    <mergeCell ref="F10:L10"/>
    <mergeCell ref="F11:L11"/>
    <mergeCell ref="E19:E22"/>
    <mergeCell ref="E15:E18"/>
    <mergeCell ref="E35:E36"/>
    <mergeCell ref="E37:E38"/>
    <mergeCell ref="J37:L37"/>
    <mergeCell ref="J38:L38"/>
    <mergeCell ref="J41:L41"/>
    <mergeCell ref="J42:L42"/>
    <mergeCell ref="J43:L43"/>
    <mergeCell ref="J44:L44"/>
    <mergeCell ref="J47:L47"/>
    <mergeCell ref="J48:L48"/>
    <mergeCell ref="J49:L49"/>
    <mergeCell ref="J54:L54"/>
    <mergeCell ref="J55:L55"/>
    <mergeCell ref="J56:L56"/>
    <mergeCell ref="J59:L59"/>
    <mergeCell ref="G54:I54"/>
    <mergeCell ref="G59:I59"/>
    <mergeCell ref="G60:I60"/>
    <mergeCell ref="G65:I65"/>
    <mergeCell ref="G61:I61"/>
    <mergeCell ref="G62:I62"/>
    <mergeCell ref="G56:I56"/>
    <mergeCell ref="G55:I55"/>
    <mergeCell ref="E88:E89"/>
    <mergeCell ref="E90:E91"/>
    <mergeCell ref="E94:E95"/>
    <mergeCell ref="F88:H88"/>
    <mergeCell ref="F89:H89"/>
    <mergeCell ref="F90:L90"/>
    <mergeCell ref="F94:L94"/>
    <mergeCell ref="J60:L60"/>
    <mergeCell ref="J61:L61"/>
    <mergeCell ref="J62:L62"/>
    <mergeCell ref="J65:L65"/>
    <mergeCell ref="F86:L86"/>
    <mergeCell ref="F87:L87"/>
    <mergeCell ref="J67:L67"/>
    <mergeCell ref="J68:L68"/>
    <mergeCell ref="G66:I66"/>
    <mergeCell ref="G67:I67"/>
    <mergeCell ref="G68:I68"/>
    <mergeCell ref="G155:I155"/>
    <mergeCell ref="G156:I156"/>
    <mergeCell ref="G157:I157"/>
    <mergeCell ref="J154:L154"/>
    <mergeCell ref="J155:L155"/>
    <mergeCell ref="J156:L156"/>
    <mergeCell ref="J157:L157"/>
    <mergeCell ref="J165:L165"/>
    <mergeCell ref="G167:I167"/>
    <mergeCell ref="J167:L167"/>
    <mergeCell ref="G170:I170"/>
    <mergeCell ref="J170:L170"/>
    <mergeCell ref="J169:L169"/>
    <mergeCell ref="G169:I169"/>
    <mergeCell ref="G160:I160"/>
    <mergeCell ref="J160:L160"/>
    <mergeCell ref="G161:I161"/>
    <mergeCell ref="J161:L161"/>
    <mergeCell ref="G162:I162"/>
    <mergeCell ref="J162:L162"/>
  </mergeCells>
  <conditionalFormatting sqref="E4">
    <cfRule type="containsText" dxfId="834" priority="661" operator="containsText" text="Stop">
      <formula>NOT(ISERROR(SEARCH("Stop",E4)))</formula>
    </cfRule>
    <cfRule type="containsText" dxfId="833" priority="662" operator="containsText" text="Start">
      <formula>NOT(ISERROR(SEARCH("Start",E4)))</formula>
    </cfRule>
    <cfRule type="containsText" dxfId="832" priority="660" operator="containsText" text="Continue">
      <formula>NOT(ISERROR(SEARCH("Continue",E4)))</formula>
    </cfRule>
  </conditionalFormatting>
  <conditionalFormatting sqref="E14">
    <cfRule type="containsText" dxfId="831" priority="2039" operator="containsText" text="Continue">
      <formula>NOT(ISERROR(SEARCH("Continue",E14)))</formula>
    </cfRule>
    <cfRule type="containsText" dxfId="830" priority="2040" operator="containsText" text="Stop">
      <formula>NOT(ISERROR(SEARCH("Stop",E14)))</formula>
    </cfRule>
    <cfRule type="containsText" dxfId="829" priority="2041" operator="containsText" text="Start">
      <formula>NOT(ISERROR(SEARCH("Start",E14)))</formula>
    </cfRule>
  </conditionalFormatting>
  <conditionalFormatting sqref="E28 E154 G154 E156 G156">
    <cfRule type="containsText" dxfId="828" priority="881" operator="containsText" text="N/A">
      <formula>NOT(ISERROR(SEARCH("N/A",E28)))</formula>
    </cfRule>
    <cfRule type="containsText" dxfId="827" priority="878" operator="containsText" text="Continue">
      <formula>NOT(ISERROR(SEARCH("Continue",E28)))</formula>
    </cfRule>
    <cfRule type="containsText" dxfId="826" priority="883" operator="containsText" text="Meets">
      <formula>NOT(ISERROR(SEARCH("Meets",E28)))</formula>
    </cfRule>
    <cfRule type="containsText" dxfId="825" priority="882" operator="containsText" text="Exceeds">
      <formula>NOT(ISERROR(SEARCH("Exceeds",E28)))</formula>
    </cfRule>
    <cfRule type="containsText" dxfId="824" priority="880" operator="containsText" text="Start">
      <formula>NOT(ISERROR(SEARCH("Start",E28)))</formula>
    </cfRule>
    <cfRule type="containsText" dxfId="823" priority="879" operator="containsText" text="Stop">
      <formula>NOT(ISERROR(SEARCH("Stop",E28)))</formula>
    </cfRule>
    <cfRule type="containsText" dxfId="822" priority="884" operator="containsText" text="Under">
      <formula>NOT(ISERROR(SEARCH("Under",E28)))</formula>
    </cfRule>
  </conditionalFormatting>
  <conditionalFormatting sqref="E34">
    <cfRule type="containsText" dxfId="821" priority="836" operator="containsText" text="Stop">
      <formula>NOT(ISERROR(SEARCH("Stop",E34)))</formula>
    </cfRule>
    <cfRule type="containsText" dxfId="820" priority="841" operator="containsText" text="Under">
      <formula>NOT(ISERROR(SEARCH("Under",E34)))</formula>
    </cfRule>
    <cfRule type="containsText" dxfId="819" priority="840" operator="containsText" text="Meets">
      <formula>NOT(ISERROR(SEARCH("Meets",E34)))</formula>
    </cfRule>
    <cfRule type="containsText" dxfId="818" priority="839" operator="containsText" text="Exceeds">
      <formula>NOT(ISERROR(SEARCH("Exceeds",E34)))</formula>
    </cfRule>
    <cfRule type="containsText" dxfId="817" priority="838" operator="containsText" text="N/A">
      <formula>NOT(ISERROR(SEARCH("N/A",E34)))</formula>
    </cfRule>
    <cfRule type="containsText" dxfId="816" priority="837" operator="containsText" text="Start">
      <formula>NOT(ISERROR(SEARCH("Start",E34)))</formula>
    </cfRule>
    <cfRule type="containsText" dxfId="815" priority="835" operator="containsText" text="Continue">
      <formula>NOT(ISERROR(SEARCH("Continue",E34)))</formula>
    </cfRule>
  </conditionalFormatting>
  <conditionalFormatting sqref="E40">
    <cfRule type="containsText" dxfId="814" priority="803" operator="containsText" text="Exceeds">
      <formula>NOT(ISERROR(SEARCH("Exceeds",E40)))</formula>
    </cfRule>
    <cfRule type="containsText" dxfId="813" priority="804" operator="containsText" text="Meets">
      <formula>NOT(ISERROR(SEARCH("Meets",E40)))</formula>
    </cfRule>
    <cfRule type="containsText" dxfId="812" priority="805" operator="containsText" text="Under">
      <formula>NOT(ISERROR(SEARCH("Under",E40)))</formula>
    </cfRule>
    <cfRule type="containsText" dxfId="811" priority="799" operator="containsText" text="Continue">
      <formula>NOT(ISERROR(SEARCH("Continue",E40)))</formula>
    </cfRule>
    <cfRule type="containsText" dxfId="810" priority="801" operator="containsText" text="Start">
      <formula>NOT(ISERROR(SEARCH("Start",E40)))</formula>
    </cfRule>
    <cfRule type="containsText" dxfId="809" priority="802" operator="containsText" text="N/A">
      <formula>NOT(ISERROR(SEARCH("N/A",E40)))</formula>
    </cfRule>
    <cfRule type="containsText" dxfId="808" priority="800" operator="containsText" text="Stop">
      <formula>NOT(ISERROR(SEARCH("Stop",E40)))</formula>
    </cfRule>
  </conditionalFormatting>
  <conditionalFormatting sqref="E46">
    <cfRule type="containsText" dxfId="807" priority="769" operator="containsText" text="Under">
      <formula>NOT(ISERROR(SEARCH("Under",E46)))</formula>
    </cfRule>
    <cfRule type="containsText" dxfId="806" priority="768" operator="containsText" text="Meets">
      <formula>NOT(ISERROR(SEARCH("Meets",E46)))</formula>
    </cfRule>
    <cfRule type="containsText" dxfId="805" priority="767" operator="containsText" text="Exceeds">
      <formula>NOT(ISERROR(SEARCH("Exceeds",E46)))</formula>
    </cfRule>
    <cfRule type="containsText" dxfId="804" priority="766" operator="containsText" text="N/A">
      <formula>NOT(ISERROR(SEARCH("N/A",E46)))</formula>
    </cfRule>
    <cfRule type="containsText" dxfId="803" priority="765" operator="containsText" text="Start">
      <formula>NOT(ISERROR(SEARCH("Start",E46)))</formula>
    </cfRule>
    <cfRule type="containsText" dxfId="802" priority="764" operator="containsText" text="Stop">
      <formula>NOT(ISERROR(SEARCH("Stop",E46)))</formula>
    </cfRule>
    <cfRule type="containsText" dxfId="801" priority="763" operator="containsText" text="Continue">
      <formula>NOT(ISERROR(SEARCH("Continue",E46)))</formula>
    </cfRule>
  </conditionalFormatting>
  <conditionalFormatting sqref="E52">
    <cfRule type="containsText" dxfId="800" priority="730" operator="containsText" text="N/A">
      <formula>NOT(ISERROR(SEARCH("N/A",E52)))</formula>
    </cfRule>
    <cfRule type="containsText" dxfId="799" priority="729" operator="containsText" text="Start">
      <formula>NOT(ISERROR(SEARCH("Start",E52)))</formula>
    </cfRule>
    <cfRule type="containsText" dxfId="798" priority="728" operator="containsText" text="Stop">
      <formula>NOT(ISERROR(SEARCH("Stop",E52)))</formula>
    </cfRule>
    <cfRule type="containsText" dxfId="797" priority="733" operator="containsText" text="Under">
      <formula>NOT(ISERROR(SEARCH("Under",E52)))</formula>
    </cfRule>
    <cfRule type="containsText" dxfId="796" priority="732" operator="containsText" text="Meets">
      <formula>NOT(ISERROR(SEARCH("Meets",E52)))</formula>
    </cfRule>
    <cfRule type="containsText" dxfId="795" priority="727" operator="containsText" text="Continue">
      <formula>NOT(ISERROR(SEARCH("Continue",E52)))</formula>
    </cfRule>
    <cfRule type="containsText" dxfId="794" priority="731" operator="containsText" text="Exceeds">
      <formula>NOT(ISERROR(SEARCH("Exceeds",E52)))</formula>
    </cfRule>
  </conditionalFormatting>
  <conditionalFormatting sqref="E58">
    <cfRule type="containsText" dxfId="793" priority="693" operator="containsText" text="Start">
      <formula>NOT(ISERROR(SEARCH("Start",E58)))</formula>
    </cfRule>
    <cfRule type="containsText" dxfId="792" priority="694" operator="containsText" text="N/A">
      <formula>NOT(ISERROR(SEARCH("N/A",E58)))</formula>
    </cfRule>
    <cfRule type="containsText" dxfId="791" priority="696" operator="containsText" text="Meets">
      <formula>NOT(ISERROR(SEARCH("Meets",E58)))</formula>
    </cfRule>
    <cfRule type="containsText" dxfId="790" priority="695" operator="containsText" text="Exceeds">
      <formula>NOT(ISERROR(SEARCH("Exceeds",E58)))</formula>
    </cfRule>
    <cfRule type="containsText" dxfId="789" priority="697" operator="containsText" text="Under">
      <formula>NOT(ISERROR(SEARCH("Under",E58)))</formula>
    </cfRule>
    <cfRule type="containsText" dxfId="788" priority="691" operator="containsText" text="Continue">
      <formula>NOT(ISERROR(SEARCH("Continue",E58)))</formula>
    </cfRule>
    <cfRule type="containsText" dxfId="787" priority="692" operator="containsText" text="Stop">
      <formula>NOT(ISERROR(SEARCH("Stop",E58)))</formula>
    </cfRule>
  </conditionalFormatting>
  <conditionalFormatting sqref="E64">
    <cfRule type="containsText" dxfId="786" priority="376" operator="containsText" text="Stop">
      <formula>NOT(ISERROR(SEARCH("Stop",E64)))</formula>
    </cfRule>
    <cfRule type="containsText" dxfId="785" priority="377" operator="containsText" text="Start">
      <formula>NOT(ISERROR(SEARCH("Start",E64)))</formula>
    </cfRule>
    <cfRule type="containsText" dxfId="784" priority="379" operator="containsText" text="Exceeds">
      <formula>NOT(ISERROR(SEARCH("Exceeds",E64)))</formula>
    </cfRule>
    <cfRule type="containsText" dxfId="783" priority="380" operator="containsText" text="Meets">
      <formula>NOT(ISERROR(SEARCH("Meets",E64)))</formula>
    </cfRule>
    <cfRule type="containsText" dxfId="782" priority="381" operator="containsText" text="Under">
      <formula>NOT(ISERROR(SEARCH("Under",E64)))</formula>
    </cfRule>
    <cfRule type="containsText" dxfId="781" priority="378" operator="containsText" text="N/A">
      <formula>NOT(ISERROR(SEARCH("N/A",E64)))</formula>
    </cfRule>
    <cfRule type="containsText" dxfId="780" priority="375" operator="containsText" text="Continue">
      <formula>NOT(ISERROR(SEARCH("Continue",E64)))</formula>
    </cfRule>
  </conditionalFormatting>
  <conditionalFormatting sqref="E159 E164">
    <cfRule type="containsText" dxfId="779" priority="1019" operator="containsText" text="Exceeds">
      <formula>NOT(ISERROR(SEARCH("Exceeds",E159)))</formula>
    </cfRule>
    <cfRule type="containsText" dxfId="778" priority="1018" operator="containsText" text="N/A">
      <formula>NOT(ISERROR(SEARCH("N/A",E159)))</formula>
    </cfRule>
    <cfRule type="containsText" dxfId="777" priority="1017" operator="containsText" text="Start">
      <formula>NOT(ISERROR(SEARCH("Start",E159)))</formula>
    </cfRule>
    <cfRule type="containsText" dxfId="776" priority="1016" operator="containsText" text="Stop">
      <formula>NOT(ISERROR(SEARCH("Stop",E159)))</formula>
    </cfRule>
    <cfRule type="containsText" dxfId="775" priority="1015" operator="containsText" text="Continue">
      <formula>NOT(ISERROR(SEARCH("Continue",E159)))</formula>
    </cfRule>
    <cfRule type="containsText" dxfId="774" priority="1020" operator="containsText" text="Meets">
      <formula>NOT(ISERROR(SEARCH("Meets",E159)))</formula>
    </cfRule>
    <cfRule type="containsText" dxfId="773" priority="1021" operator="containsText" text="Under">
      <formula>NOT(ISERROR(SEARCH("Under",E159)))</formula>
    </cfRule>
  </conditionalFormatting>
  <conditionalFormatting sqref="E161 E166">
    <cfRule type="containsText" dxfId="772" priority="1007" operator="containsText" text="Under">
      <formula>NOT(ISERROR(SEARCH("Under",E161)))</formula>
    </cfRule>
    <cfRule type="containsText" dxfId="771" priority="1006" operator="containsText" text="Meets">
      <formula>NOT(ISERROR(SEARCH("Meets",E161)))</formula>
    </cfRule>
    <cfRule type="containsText" dxfId="770" priority="1005" operator="containsText" text="Exceeds">
      <formula>NOT(ISERROR(SEARCH("Exceeds",E161)))</formula>
    </cfRule>
    <cfRule type="containsText" dxfId="769" priority="1004" operator="containsText" text="N/A">
      <formula>NOT(ISERROR(SEARCH("N/A",E161)))</formula>
    </cfRule>
    <cfRule type="containsText" dxfId="768" priority="1003" operator="containsText" text="Start">
      <formula>NOT(ISERROR(SEARCH("Start",E161)))</formula>
    </cfRule>
    <cfRule type="containsText" dxfId="767" priority="1002" operator="containsText" text="Stop">
      <formula>NOT(ISERROR(SEARCH("Stop",E161)))</formula>
    </cfRule>
    <cfRule type="containsText" dxfId="766" priority="1001" operator="containsText" text="Continue">
      <formula>NOT(ISERROR(SEARCH("Continue",E161)))</formula>
    </cfRule>
  </conditionalFormatting>
  <conditionalFormatting sqref="E169">
    <cfRule type="containsText" dxfId="765" priority="1068" operator="containsText" text="Start">
      <formula>NOT(ISERROR(SEARCH("Start",E169)))</formula>
    </cfRule>
    <cfRule type="containsText" dxfId="764" priority="1067" operator="containsText" text="Stop">
      <formula>NOT(ISERROR(SEARCH("Stop",E169)))</formula>
    </cfRule>
    <cfRule type="containsText" dxfId="763" priority="1066" operator="containsText" text="Continue">
      <formula>NOT(ISERROR(SEARCH("Continue",E169)))</formula>
    </cfRule>
    <cfRule type="containsText" dxfId="762" priority="1072" operator="containsText" text="Under">
      <formula>NOT(ISERROR(SEARCH("Under",E169)))</formula>
    </cfRule>
    <cfRule type="containsText" dxfId="761" priority="1071" operator="containsText" text="Meets">
      <formula>NOT(ISERROR(SEARCH("Meets",E169)))</formula>
    </cfRule>
    <cfRule type="containsText" dxfId="760" priority="1070" operator="containsText" text="Exceeds">
      <formula>NOT(ISERROR(SEARCH("Exceeds",E169)))</formula>
    </cfRule>
    <cfRule type="containsText" dxfId="759" priority="1069" operator="containsText" text="N/A">
      <formula>NOT(ISERROR(SEARCH("N/A",E169)))</formula>
    </cfRule>
  </conditionalFormatting>
  <conditionalFormatting sqref="E171">
    <cfRule type="containsText" dxfId="758" priority="925" operator="containsText" text="N/A">
      <formula>NOT(ISERROR(SEARCH("N/A",E171)))</formula>
    </cfRule>
    <cfRule type="containsText" dxfId="757" priority="926" operator="containsText" text="Exceeds">
      <formula>NOT(ISERROR(SEARCH("Exceeds",E171)))</formula>
    </cfRule>
    <cfRule type="containsText" dxfId="756" priority="927" operator="containsText" text="Meets">
      <formula>NOT(ISERROR(SEARCH("Meets",E171)))</formula>
    </cfRule>
    <cfRule type="containsText" dxfId="755" priority="928" operator="containsText" text="Under">
      <formula>NOT(ISERROR(SEARCH("Under",E171)))</formula>
    </cfRule>
    <cfRule type="containsText" dxfId="754" priority="922" operator="containsText" text="Continue">
      <formula>NOT(ISERROR(SEARCH("Continue",E171)))</formula>
    </cfRule>
    <cfRule type="containsText" dxfId="753" priority="923" operator="containsText" text="Stop">
      <formula>NOT(ISERROR(SEARCH("Stop",E171)))</formula>
    </cfRule>
    <cfRule type="containsText" dxfId="752" priority="924" operator="containsText" text="Start">
      <formula>NOT(ISERROR(SEARCH("Start",E171)))</formula>
    </cfRule>
  </conditionalFormatting>
  <conditionalFormatting sqref="E12:L13">
    <cfRule type="containsText" dxfId="751" priority="654" operator="containsText" text="Continue">
      <formula>NOT(ISERROR(SEARCH("Continue",E12)))</formula>
    </cfRule>
    <cfRule type="containsText" dxfId="750" priority="655" operator="containsText" text="Stop">
      <formula>NOT(ISERROR(SEARCH("Stop",E12)))</formula>
    </cfRule>
    <cfRule type="containsText" dxfId="749" priority="656" operator="containsText" text="Start">
      <formula>NOT(ISERROR(SEARCH("Start",E12)))</formula>
    </cfRule>
  </conditionalFormatting>
  <conditionalFormatting sqref="F32">
    <cfRule type="dataBar" priority="123">
      <dataBar>
        <cfvo type="num" val="0"/>
        <cfvo type="num" val="1"/>
        <color theme="0" tint="-0.249977111117893"/>
      </dataBar>
      <extLst>
        <ext xmlns:x14="http://schemas.microsoft.com/office/spreadsheetml/2009/9/main" uri="{B025F937-C7B1-47D3-B67F-A62EFF666E3E}">
          <x14:id>{A8F8C207-A56F-4306-89B1-2D1C71F5C64E}</x14:id>
        </ext>
      </extLst>
    </cfRule>
  </conditionalFormatting>
  <conditionalFormatting sqref="F38 F36">
    <cfRule type="dataBar" priority="297">
      <dataBar>
        <cfvo type="num" val="0"/>
        <cfvo type="num" val="1"/>
        <color theme="0" tint="-0.249977111117893"/>
      </dataBar>
      <extLst>
        <ext xmlns:x14="http://schemas.microsoft.com/office/spreadsheetml/2009/9/main" uri="{B025F937-C7B1-47D3-B67F-A62EFF666E3E}">
          <x14:id>{F24FF897-AF89-4046-8F6E-77CF9B9646D9}</x14:id>
        </ext>
      </extLst>
    </cfRule>
  </conditionalFormatting>
  <conditionalFormatting sqref="F42">
    <cfRule type="dataBar" priority="121">
      <dataBar>
        <cfvo type="num" val="0"/>
        <cfvo type="num" val="1"/>
        <color theme="0" tint="-0.249977111117893"/>
      </dataBar>
      <extLst>
        <ext xmlns:x14="http://schemas.microsoft.com/office/spreadsheetml/2009/9/main" uri="{B025F937-C7B1-47D3-B67F-A62EFF666E3E}">
          <x14:id>{298F2B64-A92E-4A64-886A-DC818E592776}</x14:id>
        </ext>
      </extLst>
    </cfRule>
  </conditionalFormatting>
  <conditionalFormatting sqref="F44">
    <cfRule type="dataBar" priority="268">
      <dataBar>
        <cfvo type="num" val="0"/>
        <cfvo type="num" val="1"/>
        <color theme="0" tint="-0.249977111117893"/>
      </dataBar>
      <extLst>
        <ext xmlns:x14="http://schemas.microsoft.com/office/spreadsheetml/2009/9/main" uri="{B025F937-C7B1-47D3-B67F-A62EFF666E3E}">
          <x14:id>{CBB1FAA9-C97C-47BC-8B69-ADA007A5E98A}</x14:id>
        </ext>
      </extLst>
    </cfRule>
  </conditionalFormatting>
  <conditionalFormatting sqref="F48">
    <cfRule type="dataBar" priority="120">
      <dataBar>
        <cfvo type="num" val="0"/>
        <cfvo type="num" val="1"/>
        <color theme="0" tint="-0.249977111117893"/>
      </dataBar>
      <extLst>
        <ext xmlns:x14="http://schemas.microsoft.com/office/spreadsheetml/2009/9/main" uri="{B025F937-C7B1-47D3-B67F-A62EFF666E3E}">
          <x14:id>{ECD0F364-FBC4-4FA7-B94C-CC814058D0B9}</x14:id>
        </ext>
      </extLst>
    </cfRule>
  </conditionalFormatting>
  <conditionalFormatting sqref="F50">
    <cfRule type="dataBar" priority="239">
      <dataBar>
        <cfvo type="num" val="0"/>
        <cfvo type="num" val="1"/>
        <color theme="0" tint="-0.249977111117893"/>
      </dataBar>
      <extLst>
        <ext xmlns:x14="http://schemas.microsoft.com/office/spreadsheetml/2009/9/main" uri="{B025F937-C7B1-47D3-B67F-A62EFF666E3E}">
          <x14:id>{3EE64423-439D-4ABC-97E3-73EAFE780581}</x14:id>
        </ext>
      </extLst>
    </cfRule>
  </conditionalFormatting>
  <conditionalFormatting sqref="F54">
    <cfRule type="dataBar" priority="118">
      <dataBar>
        <cfvo type="num" val="0"/>
        <cfvo type="num" val="1"/>
        <color theme="0" tint="-0.249977111117893"/>
      </dataBar>
      <extLst>
        <ext xmlns:x14="http://schemas.microsoft.com/office/spreadsheetml/2009/9/main" uri="{B025F937-C7B1-47D3-B67F-A62EFF666E3E}">
          <x14:id>{51F35C33-8DF7-4939-A375-329B68D1DB6D}</x14:id>
        </ext>
      </extLst>
    </cfRule>
  </conditionalFormatting>
  <conditionalFormatting sqref="F56">
    <cfRule type="dataBar" priority="210">
      <dataBar>
        <cfvo type="num" val="0"/>
        <cfvo type="num" val="1"/>
        <color theme="0" tint="-0.249977111117893"/>
      </dataBar>
      <extLst>
        <ext xmlns:x14="http://schemas.microsoft.com/office/spreadsheetml/2009/9/main" uri="{B025F937-C7B1-47D3-B67F-A62EFF666E3E}">
          <x14:id>{F8490C26-567B-4835-8A33-F3CD27733B43}</x14:id>
        </ext>
      </extLst>
    </cfRule>
  </conditionalFormatting>
  <conditionalFormatting sqref="F60">
    <cfRule type="dataBar" priority="119">
      <dataBar>
        <cfvo type="num" val="0"/>
        <cfvo type="num" val="1"/>
        <color theme="0" tint="-0.249977111117893"/>
      </dataBar>
      <extLst>
        <ext xmlns:x14="http://schemas.microsoft.com/office/spreadsheetml/2009/9/main" uri="{B025F937-C7B1-47D3-B67F-A62EFF666E3E}">
          <x14:id>{B6DEB625-8700-4790-9BD3-ECAF92DB4B87}</x14:id>
        </ext>
      </extLst>
    </cfRule>
  </conditionalFormatting>
  <conditionalFormatting sqref="F62">
    <cfRule type="dataBar" priority="181">
      <dataBar>
        <cfvo type="num" val="0"/>
        <cfvo type="num" val="1"/>
        <color theme="0" tint="-0.249977111117893"/>
      </dataBar>
      <extLst>
        <ext xmlns:x14="http://schemas.microsoft.com/office/spreadsheetml/2009/9/main" uri="{B025F937-C7B1-47D3-B67F-A62EFF666E3E}">
          <x14:id>{321F5CFA-3979-4DE5-92BF-2CCD199EF76A}</x14:id>
        </ext>
      </extLst>
    </cfRule>
  </conditionalFormatting>
  <conditionalFormatting sqref="F66">
    <cfRule type="dataBar" priority="117">
      <dataBar>
        <cfvo type="num" val="0"/>
        <cfvo type="num" val="1"/>
        <color theme="0" tint="-0.249977111117893"/>
      </dataBar>
      <extLst>
        <ext xmlns:x14="http://schemas.microsoft.com/office/spreadsheetml/2009/9/main" uri="{B025F937-C7B1-47D3-B67F-A62EFF666E3E}">
          <x14:id>{EEEA8183-8904-4A35-BE8A-E6FB756396A2}</x14:id>
        </ext>
      </extLst>
    </cfRule>
  </conditionalFormatting>
  <conditionalFormatting sqref="F68">
    <cfRule type="dataBar" priority="152">
      <dataBar>
        <cfvo type="num" val="0"/>
        <cfvo type="num" val="1"/>
        <color theme="0" tint="-0.249977111117893"/>
      </dataBar>
      <extLst>
        <ext xmlns:x14="http://schemas.microsoft.com/office/spreadsheetml/2009/9/main" uri="{B025F937-C7B1-47D3-B67F-A62EFF666E3E}">
          <x14:id>{423A237E-98C7-44D4-9DE5-BB0B18A330F6}</x14:id>
        </ext>
      </extLst>
    </cfRule>
  </conditionalFormatting>
  <conditionalFormatting sqref="F92:F93 G146 H92 F96:F97 H96 F104:F105 H104 F108:F109 H108 F120:F121 H120 F132:F133 H132 F144:F145 H144 F140:F141 H140 F128:F129 H128 F116:F117 H116">
    <cfRule type="dataBar" priority="116">
      <dataBar>
        <cfvo type="num" val="0"/>
        <cfvo type="num" val="1"/>
        <color theme="0" tint="-0.249977111117893"/>
      </dataBar>
      <extLst>
        <ext xmlns:x14="http://schemas.microsoft.com/office/spreadsheetml/2009/9/main" uri="{B025F937-C7B1-47D3-B67F-A62EFF666E3E}">
          <x14:id>{A00442FD-C760-4912-82D3-9BADC6CD8F50}</x14:id>
        </ext>
      </extLst>
    </cfRule>
  </conditionalFormatting>
  <conditionalFormatting sqref="F157">
    <cfRule type="containsText" dxfId="748" priority="985" operator="containsText" text="Stop">
      <formula>NOT(ISERROR(SEARCH("Stop",F157)))</formula>
    </cfRule>
    <cfRule type="containsText" dxfId="747" priority="984" operator="containsText" text="Continue">
      <formula>NOT(ISERROR(SEARCH("Continue",F157)))</formula>
    </cfRule>
    <cfRule type="dataBar" priority="983">
      <dataBar>
        <cfvo type="num" val="0"/>
        <cfvo type="num" val="1"/>
        <color theme="0" tint="-0.249977111117893"/>
      </dataBar>
      <extLst>
        <ext xmlns:x14="http://schemas.microsoft.com/office/spreadsheetml/2009/9/main" uri="{B025F937-C7B1-47D3-B67F-A62EFF666E3E}">
          <x14:id>{0A9F2FA2-705A-402B-AD11-43A429454AF5}</x14:id>
        </ext>
      </extLst>
    </cfRule>
    <cfRule type="containsText" dxfId="746" priority="990" operator="containsText" text="Under">
      <formula>NOT(ISERROR(SEARCH("Under",F157)))</formula>
    </cfRule>
    <cfRule type="containsText" dxfId="745" priority="989" operator="containsText" text="Meets">
      <formula>NOT(ISERROR(SEARCH("Meets",F157)))</formula>
    </cfRule>
    <cfRule type="containsText" dxfId="744" priority="988" operator="containsText" text="Exceeds">
      <formula>NOT(ISERROR(SEARCH("Exceeds",F157)))</formula>
    </cfRule>
    <cfRule type="containsText" dxfId="743" priority="987" operator="containsText" text="N/A">
      <formula>NOT(ISERROR(SEARCH("N/A",F157)))</formula>
    </cfRule>
    <cfRule type="dataBar" priority="991">
      <dataBar>
        <cfvo type="num" val="0"/>
        <cfvo type="num" val="1"/>
        <color rgb="FF63C384"/>
      </dataBar>
      <extLst>
        <ext xmlns:x14="http://schemas.microsoft.com/office/spreadsheetml/2009/9/main" uri="{B025F937-C7B1-47D3-B67F-A62EFF666E3E}">
          <x14:id>{AF408706-C417-4A31-83D3-41D5C4E547E6}</x14:id>
        </ext>
      </extLst>
    </cfRule>
    <cfRule type="containsText" dxfId="742" priority="986" operator="containsText" text="Start">
      <formula>NOT(ISERROR(SEARCH("Start",F157)))</formula>
    </cfRule>
  </conditionalFormatting>
  <conditionalFormatting sqref="F162">
    <cfRule type="containsText" dxfId="741" priority="472" operator="containsText" text="Exceeds">
      <formula>NOT(ISERROR(SEARCH("Exceeds",F162)))</formula>
    </cfRule>
    <cfRule type="containsText" dxfId="740" priority="473" operator="containsText" text="Meets">
      <formula>NOT(ISERROR(SEARCH("Meets",F162)))</formula>
    </cfRule>
    <cfRule type="containsText" dxfId="739" priority="474" operator="containsText" text="Under">
      <formula>NOT(ISERROR(SEARCH("Under",F162)))</formula>
    </cfRule>
    <cfRule type="dataBar" priority="475">
      <dataBar>
        <cfvo type="num" val="0"/>
        <cfvo type="num" val="1"/>
        <color rgb="FF63C384"/>
      </dataBar>
      <extLst>
        <ext xmlns:x14="http://schemas.microsoft.com/office/spreadsheetml/2009/9/main" uri="{B025F937-C7B1-47D3-B67F-A62EFF666E3E}">
          <x14:id>{D5B011AE-31B7-4F79-9803-181C459D865E}</x14:id>
        </ext>
      </extLst>
    </cfRule>
    <cfRule type="containsText" dxfId="738" priority="470" operator="containsText" text="Start">
      <formula>NOT(ISERROR(SEARCH("Start",F162)))</formula>
    </cfRule>
    <cfRule type="containsText" dxfId="737" priority="469" operator="containsText" text="Stop">
      <formula>NOT(ISERROR(SEARCH("Stop",F162)))</formula>
    </cfRule>
    <cfRule type="dataBar" priority="467">
      <dataBar>
        <cfvo type="num" val="0"/>
        <cfvo type="num" val="1"/>
        <color theme="0" tint="-0.249977111117893"/>
      </dataBar>
      <extLst>
        <ext xmlns:x14="http://schemas.microsoft.com/office/spreadsheetml/2009/9/main" uri="{B025F937-C7B1-47D3-B67F-A62EFF666E3E}">
          <x14:id>{44A894E2-A760-4AE8-928B-8D16C4D66262}</x14:id>
        </ext>
      </extLst>
    </cfRule>
    <cfRule type="containsText" dxfId="736" priority="471" operator="containsText" text="N/A">
      <formula>NOT(ISERROR(SEARCH("N/A",F162)))</formula>
    </cfRule>
    <cfRule type="containsText" dxfId="735" priority="468" operator="containsText" text="Continue">
      <formula>NOT(ISERROR(SEARCH("Continue",F162)))</formula>
    </cfRule>
  </conditionalFormatting>
  <conditionalFormatting sqref="F167">
    <cfRule type="dataBar" priority="443">
      <dataBar>
        <cfvo type="num" val="0"/>
        <cfvo type="num" val="1"/>
        <color rgb="FF63C384"/>
      </dataBar>
      <extLst>
        <ext xmlns:x14="http://schemas.microsoft.com/office/spreadsheetml/2009/9/main" uri="{B025F937-C7B1-47D3-B67F-A62EFF666E3E}">
          <x14:id>{30C7B1DB-78EB-40F3-86A1-94D218386F37}</x14:id>
        </ext>
      </extLst>
    </cfRule>
    <cfRule type="containsText" dxfId="734" priority="442" operator="containsText" text="Under">
      <formula>NOT(ISERROR(SEARCH("Under",F167)))</formula>
    </cfRule>
    <cfRule type="containsText" dxfId="733" priority="441" operator="containsText" text="Meets">
      <formula>NOT(ISERROR(SEARCH("Meets",F167)))</formula>
    </cfRule>
    <cfRule type="containsText" dxfId="732" priority="439" operator="containsText" text="N/A">
      <formula>NOT(ISERROR(SEARCH("N/A",F167)))</formula>
    </cfRule>
    <cfRule type="dataBar" priority="435">
      <dataBar>
        <cfvo type="num" val="0"/>
        <cfvo type="num" val="1"/>
        <color theme="0" tint="-0.249977111117893"/>
      </dataBar>
      <extLst>
        <ext xmlns:x14="http://schemas.microsoft.com/office/spreadsheetml/2009/9/main" uri="{B025F937-C7B1-47D3-B67F-A62EFF666E3E}">
          <x14:id>{12751B78-4159-4F6D-B1EB-CFF4FF6FC63A}</x14:id>
        </ext>
      </extLst>
    </cfRule>
    <cfRule type="containsText" dxfId="731" priority="436" operator="containsText" text="Continue">
      <formula>NOT(ISERROR(SEARCH("Continue",F167)))</formula>
    </cfRule>
    <cfRule type="containsText" dxfId="730" priority="438" operator="containsText" text="Start">
      <formula>NOT(ISERROR(SEARCH("Start",F167)))</formula>
    </cfRule>
    <cfRule type="containsText" dxfId="729" priority="440" operator="containsText" text="Exceeds">
      <formula>NOT(ISERROR(SEARCH("Exceeds",F167)))</formula>
    </cfRule>
    <cfRule type="containsText" dxfId="728" priority="437" operator="containsText" text="Stop">
      <formula>NOT(ISERROR(SEARCH("Stop",F167)))</formula>
    </cfRule>
  </conditionalFormatting>
  <conditionalFormatting sqref="F172">
    <cfRule type="dataBar" priority="396">
      <dataBar>
        <cfvo type="num" val="0"/>
        <cfvo type="num" val="1"/>
        <color theme="0" tint="-0.249977111117893"/>
      </dataBar>
      <extLst>
        <ext xmlns:x14="http://schemas.microsoft.com/office/spreadsheetml/2009/9/main" uri="{B025F937-C7B1-47D3-B67F-A62EFF666E3E}">
          <x14:id>{6585D62D-F591-44D3-A885-365C20659360}</x14:id>
        </ext>
      </extLst>
    </cfRule>
    <cfRule type="containsText" dxfId="727" priority="403" operator="containsText" text="Under">
      <formula>NOT(ISERROR(SEARCH("Under",F172)))</formula>
    </cfRule>
    <cfRule type="containsText" dxfId="726" priority="402" operator="containsText" text="Meets">
      <formula>NOT(ISERROR(SEARCH("Meets",F172)))</formula>
    </cfRule>
    <cfRule type="containsText" dxfId="725" priority="401" operator="containsText" text="Exceeds">
      <formula>NOT(ISERROR(SEARCH("Exceeds",F172)))</formula>
    </cfRule>
    <cfRule type="containsText" dxfId="724" priority="400" operator="containsText" text="N/A">
      <formula>NOT(ISERROR(SEARCH("N/A",F172)))</formula>
    </cfRule>
    <cfRule type="dataBar" priority="404">
      <dataBar>
        <cfvo type="num" val="0"/>
        <cfvo type="num" val="1"/>
        <color rgb="FF63C384"/>
      </dataBar>
      <extLst>
        <ext xmlns:x14="http://schemas.microsoft.com/office/spreadsheetml/2009/9/main" uri="{B025F937-C7B1-47D3-B67F-A62EFF666E3E}">
          <x14:id>{A079EE5B-3A98-4BF1-80C8-A933CD792F4E}</x14:id>
        </ext>
      </extLst>
    </cfRule>
    <cfRule type="containsText" dxfId="723" priority="399" operator="containsText" text="Start">
      <formula>NOT(ISERROR(SEARCH("Start",F172)))</formula>
    </cfRule>
    <cfRule type="containsText" dxfId="722" priority="398" operator="containsText" text="Stop">
      <formula>NOT(ISERROR(SEARCH("Stop",F172)))</formula>
    </cfRule>
    <cfRule type="containsText" dxfId="721" priority="397" operator="containsText" text="Continue">
      <formula>NOT(ISERROR(SEARCH("Continue",F172)))</formula>
    </cfRule>
  </conditionalFormatting>
  <conditionalFormatting sqref="F30:G30">
    <cfRule type="dataBar" priority="122">
      <dataBar>
        <cfvo type="num" val="0"/>
        <cfvo type="num" val="1"/>
        <color theme="0" tint="-0.249977111117893"/>
      </dataBar>
      <extLst>
        <ext xmlns:x14="http://schemas.microsoft.com/office/spreadsheetml/2009/9/main" uri="{B025F937-C7B1-47D3-B67F-A62EFF666E3E}">
          <x14:id>{B937BC51-6F69-46AA-A0F6-56CD87BCD0FB}</x14:id>
        </ext>
      </extLst>
    </cfRule>
  </conditionalFormatting>
  <conditionalFormatting sqref="F148:G148 G25 H147 K73:K80">
    <cfRule type="dataBar" priority="2042">
      <dataBar>
        <cfvo type="num" val="0"/>
        <cfvo type="num" val="1"/>
        <color theme="0" tint="-0.249977111117893"/>
      </dataBar>
      <extLst>
        <ext xmlns:x14="http://schemas.microsoft.com/office/spreadsheetml/2009/9/main" uri="{B025F937-C7B1-47D3-B67F-A62EFF666E3E}">
          <x14:id>{79A20887-B72D-4226-A093-ACFA0DB4C085}</x14:id>
        </ext>
      </extLst>
    </cfRule>
  </conditionalFormatting>
  <conditionalFormatting sqref="F155:G155">
    <cfRule type="dataBar" priority="992">
      <dataBar>
        <cfvo type="num" val="0"/>
        <cfvo type="num" val="1"/>
        <color theme="0" tint="-0.249977111117893"/>
      </dataBar>
      <extLst>
        <ext xmlns:x14="http://schemas.microsoft.com/office/spreadsheetml/2009/9/main" uri="{B025F937-C7B1-47D3-B67F-A62EFF666E3E}">
          <x14:id>{A729A512-5AE0-461C-8FBD-48E00AFCFA07}</x14:id>
        </ext>
      </extLst>
    </cfRule>
    <cfRule type="containsText" dxfId="720" priority="993" operator="containsText" text="Continue">
      <formula>NOT(ISERROR(SEARCH("Continue",F155)))</formula>
    </cfRule>
    <cfRule type="containsText" dxfId="719" priority="994" operator="containsText" text="Stop">
      <formula>NOT(ISERROR(SEARCH("Stop",F155)))</formula>
    </cfRule>
    <cfRule type="containsText" dxfId="718" priority="995" operator="containsText" text="Start">
      <formula>NOT(ISERROR(SEARCH("Start",F155)))</formula>
    </cfRule>
    <cfRule type="containsText" dxfId="717" priority="996" operator="containsText" text="N/A">
      <formula>NOT(ISERROR(SEARCH("N/A",F155)))</formula>
    </cfRule>
    <cfRule type="containsText" dxfId="716" priority="997" operator="containsText" text="Exceeds">
      <formula>NOT(ISERROR(SEARCH("Exceeds",F155)))</formula>
    </cfRule>
    <cfRule type="containsText" dxfId="715" priority="998" operator="containsText" text="Meets">
      <formula>NOT(ISERROR(SEARCH("Meets",F155)))</formula>
    </cfRule>
    <cfRule type="containsText" dxfId="714" priority="999" operator="containsText" text="Under">
      <formula>NOT(ISERROR(SEARCH("Under",F155)))</formula>
    </cfRule>
    <cfRule type="dataBar" priority="1000">
      <dataBar>
        <cfvo type="num" val="0"/>
        <cfvo type="num" val="1"/>
        <color rgb="FF63C384"/>
      </dataBar>
      <extLst>
        <ext xmlns:x14="http://schemas.microsoft.com/office/spreadsheetml/2009/9/main" uri="{B025F937-C7B1-47D3-B67F-A62EFF666E3E}">
          <x14:id>{1DE4EA2B-5B74-405A-8C1D-3524834A0CB8}</x14:id>
        </ext>
      </extLst>
    </cfRule>
  </conditionalFormatting>
  <conditionalFormatting sqref="F160:G160">
    <cfRule type="dataBar" priority="484">
      <dataBar>
        <cfvo type="num" val="0"/>
        <cfvo type="num" val="1"/>
        <color rgb="FF63C384"/>
      </dataBar>
      <extLst>
        <ext xmlns:x14="http://schemas.microsoft.com/office/spreadsheetml/2009/9/main" uri="{B025F937-C7B1-47D3-B67F-A62EFF666E3E}">
          <x14:id>{4904B687-812D-4161-A0BF-F4EEC7B1888B}</x14:id>
        </ext>
      </extLst>
    </cfRule>
    <cfRule type="containsText" dxfId="713" priority="483" operator="containsText" text="Under">
      <formula>NOT(ISERROR(SEARCH("Under",F160)))</formula>
    </cfRule>
    <cfRule type="containsText" dxfId="712" priority="482" operator="containsText" text="Meets">
      <formula>NOT(ISERROR(SEARCH("Meets",F160)))</formula>
    </cfRule>
    <cfRule type="containsText" dxfId="711" priority="481" operator="containsText" text="Exceeds">
      <formula>NOT(ISERROR(SEARCH("Exceeds",F160)))</formula>
    </cfRule>
    <cfRule type="containsText" dxfId="710" priority="480" operator="containsText" text="N/A">
      <formula>NOT(ISERROR(SEARCH("N/A",F160)))</formula>
    </cfRule>
    <cfRule type="containsText" dxfId="709" priority="479" operator="containsText" text="Start">
      <formula>NOT(ISERROR(SEARCH("Start",F160)))</formula>
    </cfRule>
    <cfRule type="containsText" dxfId="708" priority="478" operator="containsText" text="Stop">
      <formula>NOT(ISERROR(SEARCH("Stop",F160)))</formula>
    </cfRule>
    <cfRule type="containsText" dxfId="707" priority="477" operator="containsText" text="Continue">
      <formula>NOT(ISERROR(SEARCH("Continue",F160)))</formula>
    </cfRule>
    <cfRule type="dataBar" priority="476">
      <dataBar>
        <cfvo type="num" val="0"/>
        <cfvo type="num" val="1"/>
        <color theme="0" tint="-0.249977111117893"/>
      </dataBar>
      <extLst>
        <ext xmlns:x14="http://schemas.microsoft.com/office/spreadsheetml/2009/9/main" uri="{B025F937-C7B1-47D3-B67F-A62EFF666E3E}">
          <x14:id>{D1B5FDBE-A952-495D-AC85-47932AFAA1B4}</x14:id>
        </ext>
      </extLst>
    </cfRule>
  </conditionalFormatting>
  <conditionalFormatting sqref="F165:G165">
    <cfRule type="containsText" dxfId="706" priority="338" operator="containsText" text="Meets">
      <formula>NOT(ISERROR(SEARCH("Meets",F165)))</formula>
    </cfRule>
    <cfRule type="containsText" dxfId="705" priority="335" operator="containsText" text="Start">
      <formula>NOT(ISERROR(SEARCH("Start",F165)))</formula>
    </cfRule>
    <cfRule type="containsText" dxfId="704" priority="337" operator="containsText" text="Exceeds">
      <formula>NOT(ISERROR(SEARCH("Exceeds",F165)))</formula>
    </cfRule>
    <cfRule type="dataBar" priority="332">
      <dataBar>
        <cfvo type="num" val="0"/>
        <cfvo type="num" val="1"/>
        <color theme="0" tint="-0.249977111117893"/>
      </dataBar>
      <extLst>
        <ext xmlns:x14="http://schemas.microsoft.com/office/spreadsheetml/2009/9/main" uri="{B025F937-C7B1-47D3-B67F-A62EFF666E3E}">
          <x14:id>{B24D1F73-A17D-464F-9B3A-9575380E81B8}</x14:id>
        </ext>
      </extLst>
    </cfRule>
    <cfRule type="containsText" dxfId="703" priority="333" operator="containsText" text="Continue">
      <formula>NOT(ISERROR(SEARCH("Continue",F165)))</formula>
    </cfRule>
    <cfRule type="containsText" dxfId="702" priority="336" operator="containsText" text="N/A">
      <formula>NOT(ISERROR(SEARCH("N/A",F165)))</formula>
    </cfRule>
    <cfRule type="containsText" dxfId="701" priority="334" operator="containsText" text="Stop">
      <formula>NOT(ISERROR(SEARCH("Stop",F165)))</formula>
    </cfRule>
    <cfRule type="containsText" dxfId="700" priority="339" operator="containsText" text="Under">
      <formula>NOT(ISERROR(SEARCH("Under",F165)))</formula>
    </cfRule>
    <cfRule type="dataBar" priority="340">
      <dataBar>
        <cfvo type="num" val="0"/>
        <cfvo type="num" val="1"/>
        <color rgb="FF63C384"/>
      </dataBar>
      <extLst>
        <ext xmlns:x14="http://schemas.microsoft.com/office/spreadsheetml/2009/9/main" uri="{B025F937-C7B1-47D3-B67F-A62EFF666E3E}">
          <x14:id>{B4834E7E-4229-4D61-B58D-68AF8520D4DF}</x14:id>
        </ext>
      </extLst>
    </cfRule>
  </conditionalFormatting>
  <conditionalFormatting sqref="F170:G170">
    <cfRule type="dataBar" priority="323">
      <dataBar>
        <cfvo type="num" val="0"/>
        <cfvo type="num" val="1"/>
        <color theme="0" tint="-0.249977111117893"/>
      </dataBar>
      <extLst>
        <ext xmlns:x14="http://schemas.microsoft.com/office/spreadsheetml/2009/9/main" uri="{B025F937-C7B1-47D3-B67F-A62EFF666E3E}">
          <x14:id>{94B04C2F-868A-4ED7-9773-C232C6BEC0A0}</x14:id>
        </ext>
      </extLst>
    </cfRule>
    <cfRule type="containsText" dxfId="699" priority="325" operator="containsText" text="Stop">
      <formula>NOT(ISERROR(SEARCH("Stop",F170)))</formula>
    </cfRule>
    <cfRule type="containsText" dxfId="698" priority="324" operator="containsText" text="Continue">
      <formula>NOT(ISERROR(SEARCH("Continue",F170)))</formula>
    </cfRule>
    <cfRule type="containsText" dxfId="697" priority="326" operator="containsText" text="Start">
      <formula>NOT(ISERROR(SEARCH("Start",F170)))</formula>
    </cfRule>
    <cfRule type="containsText" dxfId="696" priority="327" operator="containsText" text="N/A">
      <formula>NOT(ISERROR(SEARCH("N/A",F170)))</formula>
    </cfRule>
    <cfRule type="containsText" dxfId="695" priority="328" operator="containsText" text="Exceeds">
      <formula>NOT(ISERROR(SEARCH("Exceeds",F170)))</formula>
    </cfRule>
    <cfRule type="containsText" dxfId="694" priority="329" operator="containsText" text="Meets">
      <formula>NOT(ISERROR(SEARCH("Meets",F170)))</formula>
    </cfRule>
    <cfRule type="dataBar" priority="331">
      <dataBar>
        <cfvo type="num" val="0"/>
        <cfvo type="num" val="1"/>
        <color rgb="FF63C384"/>
      </dataBar>
      <extLst>
        <ext xmlns:x14="http://schemas.microsoft.com/office/spreadsheetml/2009/9/main" uri="{B025F937-C7B1-47D3-B67F-A62EFF666E3E}">
          <x14:id>{2247779D-632E-4BC7-8E23-FDD639732A25}</x14:id>
        </ext>
      </extLst>
    </cfRule>
    <cfRule type="containsText" dxfId="693" priority="330" operator="containsText" text="Under">
      <formula>NOT(ISERROR(SEARCH("Under",F170)))</formula>
    </cfRule>
  </conditionalFormatting>
  <conditionalFormatting sqref="F178:G178">
    <cfRule type="dataBar" priority="322">
      <dataBar>
        <cfvo type="num" val="0"/>
        <cfvo type="num" val="1"/>
        <color rgb="FF63C384"/>
      </dataBar>
      <extLst>
        <ext xmlns:x14="http://schemas.microsoft.com/office/spreadsheetml/2009/9/main" uri="{B025F937-C7B1-47D3-B67F-A62EFF666E3E}">
          <x14:id>{A66BAA16-37D6-4E95-9029-0C1F5ADDB9F9}</x14:id>
        </ext>
      </extLst>
    </cfRule>
    <cfRule type="containsText" dxfId="692" priority="318" operator="containsText" text="N/A">
      <formula>NOT(ISERROR(SEARCH("N/A",F178)))</formula>
    </cfRule>
    <cfRule type="containsText" dxfId="691" priority="321" operator="containsText" text="Under">
      <formula>NOT(ISERROR(SEARCH("Under",F178)))</formula>
    </cfRule>
    <cfRule type="dataBar" priority="314">
      <dataBar>
        <cfvo type="num" val="0"/>
        <cfvo type="num" val="1"/>
        <color theme="0" tint="-0.249977111117893"/>
      </dataBar>
      <extLst>
        <ext xmlns:x14="http://schemas.microsoft.com/office/spreadsheetml/2009/9/main" uri="{B025F937-C7B1-47D3-B67F-A62EFF666E3E}">
          <x14:id>{2298544A-BAFB-4902-9142-C8729422BCFE}</x14:id>
        </ext>
      </extLst>
    </cfRule>
    <cfRule type="containsText" dxfId="690" priority="315" operator="containsText" text="Continue">
      <formula>NOT(ISERROR(SEARCH("Continue",F178)))</formula>
    </cfRule>
    <cfRule type="containsText" dxfId="689" priority="316" operator="containsText" text="Stop">
      <formula>NOT(ISERROR(SEARCH("Stop",F178)))</formula>
    </cfRule>
    <cfRule type="containsText" dxfId="688" priority="317" operator="containsText" text="Start">
      <formula>NOT(ISERROR(SEARCH("Start",F178)))</formula>
    </cfRule>
    <cfRule type="containsText" dxfId="687" priority="319" operator="containsText" text="Exceeds">
      <formula>NOT(ISERROR(SEARCH("Exceeds",F178)))</formula>
    </cfRule>
    <cfRule type="containsText" dxfId="686" priority="320" operator="containsText" text="Meets">
      <formula>NOT(ISERROR(SEARCH("Meets",F178)))</formula>
    </cfRule>
  </conditionalFormatting>
  <conditionalFormatting sqref="G29">
    <cfRule type="containsText" dxfId="685" priority="875" operator="containsText" text="Exceeds">
      <formula>NOT(ISERROR(SEARCH("Exceeds",G29)))</formula>
    </cfRule>
    <cfRule type="containsText" dxfId="684" priority="877" operator="containsText" text="Under">
      <formula>NOT(ISERROR(SEARCH("Under",G29)))</formula>
    </cfRule>
    <cfRule type="containsText" dxfId="683" priority="873" operator="containsText" text="Start">
      <formula>NOT(ISERROR(SEARCH("Start",G29)))</formula>
    </cfRule>
    <cfRule type="containsText" dxfId="682" priority="872" operator="containsText" text="Stop">
      <formula>NOT(ISERROR(SEARCH("Stop",G29)))</formula>
    </cfRule>
    <cfRule type="containsText" dxfId="681" priority="871" operator="containsText" text="Continue">
      <formula>NOT(ISERROR(SEARCH("Continue",G29)))</formula>
    </cfRule>
    <cfRule type="containsText" dxfId="680" priority="876" operator="containsText" text="Meets">
      <formula>NOT(ISERROR(SEARCH("Meets",G29)))</formula>
    </cfRule>
    <cfRule type="containsText" dxfId="679" priority="874" operator="containsText" text="N/A">
      <formula>NOT(ISERROR(SEARCH("N/A",G29)))</formula>
    </cfRule>
  </conditionalFormatting>
  <conditionalFormatting sqref="G31">
    <cfRule type="containsText" dxfId="678" priority="34" operator="containsText" text="Meets">
      <formula>NOT(ISERROR(SEARCH("Meets",G31)))</formula>
    </cfRule>
    <cfRule type="containsText" dxfId="677" priority="33" operator="containsText" text="Exceeds">
      <formula>NOT(ISERROR(SEARCH("Exceeds",G31)))</formula>
    </cfRule>
    <cfRule type="containsText" dxfId="676" priority="31" operator="containsText" text="Start">
      <formula>NOT(ISERROR(SEARCH("Start",G31)))</formula>
    </cfRule>
    <cfRule type="containsText" dxfId="675" priority="30" operator="containsText" text="Stop">
      <formula>NOT(ISERROR(SEARCH("Stop",G31)))</formula>
    </cfRule>
    <cfRule type="containsText" dxfId="674" priority="29" operator="containsText" text="Continue">
      <formula>NOT(ISERROR(SEARCH("Continue",G31)))</formula>
    </cfRule>
    <cfRule type="containsText" dxfId="673" priority="35" operator="containsText" text="Under">
      <formula>NOT(ISERROR(SEARCH("Under",G31)))</formula>
    </cfRule>
    <cfRule type="containsText" dxfId="672" priority="32" operator="containsText" text="N/A">
      <formula>NOT(ISERROR(SEARCH("N/A",G31)))</formula>
    </cfRule>
  </conditionalFormatting>
  <conditionalFormatting sqref="G35">
    <cfRule type="containsText" dxfId="671" priority="97" operator="containsText" text="Exceeds">
      <formula>NOT(ISERROR(SEARCH("Exceeds",G35)))</formula>
    </cfRule>
    <cfRule type="containsText" dxfId="670" priority="98" operator="containsText" text="Meets">
      <formula>NOT(ISERROR(SEARCH("Meets",G35)))</formula>
    </cfRule>
    <cfRule type="containsText" dxfId="669" priority="99" operator="containsText" text="Under">
      <formula>NOT(ISERROR(SEARCH("Under",G35)))</formula>
    </cfRule>
    <cfRule type="containsText" dxfId="668" priority="94" operator="containsText" text="Stop">
      <formula>NOT(ISERROR(SEARCH("Stop",G35)))</formula>
    </cfRule>
    <cfRule type="containsText" dxfId="667" priority="93" operator="containsText" text="Continue">
      <formula>NOT(ISERROR(SEARCH("Continue",G35)))</formula>
    </cfRule>
    <cfRule type="containsText" dxfId="666" priority="96" operator="containsText" text="N/A">
      <formula>NOT(ISERROR(SEARCH("N/A",G35)))</formula>
    </cfRule>
    <cfRule type="containsText" dxfId="665"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{CF72DFDB-00BB-43D4-ADE1-87E2D64D896A}</x14:id>
        </ext>
      </extLst>
    </cfRule>
  </conditionalFormatting>
  <conditionalFormatting sqref="G37">
    <cfRule type="containsText" dxfId="664" priority="25" operator="containsText" text="N/A">
      <formula>NOT(ISERROR(SEARCH("N/A",G37)))</formula>
    </cfRule>
    <cfRule type="containsText" dxfId="663" priority="26" operator="containsText" text="Exceeds">
      <formula>NOT(ISERROR(SEARCH("Exceeds",G37)))</formula>
    </cfRule>
    <cfRule type="containsText" dxfId="662" priority="27" operator="containsText" text="Meets">
      <formula>NOT(ISERROR(SEARCH("Meets",G37)))</formula>
    </cfRule>
    <cfRule type="containsText" dxfId="661" priority="28" operator="containsText" text="Under">
      <formula>NOT(ISERROR(SEARCH("Under",G37)))</formula>
    </cfRule>
    <cfRule type="containsText" dxfId="660" priority="22" operator="containsText" text="Continue">
      <formula>NOT(ISERROR(SEARCH("Continue",G37)))</formula>
    </cfRule>
    <cfRule type="containsText" dxfId="659" priority="23" operator="containsText" text="Stop">
      <formula>NOT(ISERROR(SEARCH("Stop",G37)))</formula>
    </cfRule>
    <cfRule type="containsText" dxfId="658" priority="24" operator="containsText" text="Start">
      <formula>NOT(ISERROR(SEARCH("Start",G37)))</formula>
    </cfRule>
  </conditionalFormatting>
  <conditionalFormatting sqref="G41">
    <cfRule type="containsText" dxfId="657" priority="85" operator="containsText" text="Continue">
      <formula>NOT(ISERROR(SEARCH("Continue",G41)))</formula>
    </cfRule>
    <cfRule type="containsText" dxfId="656" priority="86" operator="containsText" text="Stop">
      <formula>NOT(ISERROR(SEARCH("Stop",G41)))</formula>
    </cfRule>
    <cfRule type="containsText" dxfId="655" priority="87" operator="containsText" text="Start">
      <formula>NOT(ISERROR(SEARCH("Start",G41)))</formula>
    </cfRule>
    <cfRule type="containsText" dxfId="654" priority="88" operator="containsText" text="N/A">
      <formula>NOT(ISERROR(SEARCH("N/A",G41)))</formula>
    </cfRule>
    <cfRule type="containsText" dxfId="653" priority="89" operator="containsText" text="Exceeds">
      <formula>NOT(ISERROR(SEARCH("Exceeds",G41)))</formula>
    </cfRule>
    <cfRule type="containsText" dxfId="652" priority="90" operator="containsText" text="Meets">
      <formula>NOT(ISERROR(SEARCH("Meets",G41)))</formula>
    </cfRule>
    <cfRule type="containsText" dxfId="651"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{F264F816-88D5-4F53-A470-AAE089E78F4B}</x14:id>
        </ext>
      </extLst>
    </cfRule>
  </conditionalFormatting>
  <conditionalFormatting sqref="G43">
    <cfRule type="containsText" dxfId="650" priority="17" operator="containsText" text="Start">
      <formula>NOT(ISERROR(SEARCH("Start",G43)))</formula>
    </cfRule>
    <cfRule type="containsText" dxfId="649" priority="16" operator="containsText" text="Stop">
      <formula>NOT(ISERROR(SEARCH("Stop",G43)))</formula>
    </cfRule>
    <cfRule type="containsText" dxfId="648" priority="20" operator="containsText" text="Meets">
      <formula>NOT(ISERROR(SEARCH("Meets",G43)))</formula>
    </cfRule>
    <cfRule type="containsText" dxfId="647" priority="15" operator="containsText" text="Continue">
      <formula>NOT(ISERROR(SEARCH("Continue",G43)))</formula>
    </cfRule>
    <cfRule type="containsText" dxfId="646" priority="19" operator="containsText" text="Exceeds">
      <formula>NOT(ISERROR(SEARCH("Exceeds",G43)))</formula>
    </cfRule>
    <cfRule type="containsText" dxfId="645" priority="21" operator="containsText" text="Under">
      <formula>NOT(ISERROR(SEARCH("Under",G43)))</formula>
    </cfRule>
    <cfRule type="containsText" dxfId="644" priority="18" operator="containsText" text="N/A">
      <formula>NOT(ISERROR(SEARCH("N/A",G43)))</formula>
    </cfRule>
  </conditionalFormatting>
  <conditionalFormatting sqref="G47">
    <cfRule type="containsText" dxfId="643" priority="78" operator="containsText" text="Stop">
      <formula>NOT(ISERROR(SEARCH("Stop",G47)))</formula>
    </cfRule>
    <cfRule type="containsText" dxfId="642" priority="77" operator="containsText" text="Continue">
      <formula>NOT(ISERROR(SEARCH("Continue",G47)))</formula>
    </cfRule>
    <cfRule type="containsText" dxfId="641" priority="79" operator="containsText" text="Start">
      <formula>NOT(ISERROR(SEARCH("Start",G47)))</formula>
    </cfRule>
    <cfRule type="containsText" dxfId="640" priority="80" operator="containsText" text="N/A">
      <formula>NOT(ISERROR(SEARCH("N/A",G47)))</formula>
    </cfRule>
    <cfRule type="containsText" dxfId="639" priority="81" operator="containsText" text="Exceeds">
      <formula>NOT(ISERROR(SEARCH("Exceeds",G47)))</formula>
    </cfRule>
    <cfRule type="containsText" dxfId="638" priority="82" operator="containsText" text="Meets">
      <formula>NOT(ISERROR(SEARCH("Meets",G47)))</formula>
    </cfRule>
    <cfRule type="containsText" dxfId="637"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{DB69FAC3-BB60-4968-B11E-46F2A5E7F1F7}</x14:id>
        </ext>
      </extLst>
    </cfRule>
  </conditionalFormatting>
  <conditionalFormatting sqref="G49">
    <cfRule type="containsText" dxfId="636" priority="14" operator="containsText" text="Under">
      <formula>NOT(ISERROR(SEARCH("Under",G49)))</formula>
    </cfRule>
    <cfRule type="containsText" dxfId="635" priority="13" operator="containsText" text="Meets">
      <formula>NOT(ISERROR(SEARCH("Meets",G49)))</formula>
    </cfRule>
    <cfRule type="containsText" dxfId="634" priority="12" operator="containsText" text="Exceeds">
      <formula>NOT(ISERROR(SEARCH("Exceeds",G49)))</formula>
    </cfRule>
    <cfRule type="containsText" dxfId="633" priority="11" operator="containsText" text="N/A">
      <formula>NOT(ISERROR(SEARCH("N/A",G49)))</formula>
    </cfRule>
    <cfRule type="containsText" dxfId="632" priority="10" operator="containsText" text="Start">
      <formula>NOT(ISERROR(SEARCH("Start",G49)))</formula>
    </cfRule>
    <cfRule type="containsText" dxfId="631" priority="9" operator="containsText" text="Stop">
      <formula>NOT(ISERROR(SEARCH("Stop",G49)))</formula>
    </cfRule>
    <cfRule type="containsText" dxfId="630" priority="8" operator="containsText" text="Continue">
      <formula>NOT(ISERROR(SEARCH("Continue",G49)))</formula>
    </cfRule>
  </conditionalFormatting>
  <conditionalFormatting sqref="G53">
    <cfRule type="containsText" dxfId="629" priority="73" operator="containsText" text="Exceeds">
      <formula>NOT(ISERROR(SEARCH("Exceeds",G53)))</formula>
    </cfRule>
    <cfRule type="containsText" dxfId="628" priority="69" operator="containsText" text="Continue">
      <formula>NOT(ISERROR(SEARCH("Continue",G53)))</formula>
    </cfRule>
    <cfRule type="containsText" dxfId="627" priority="74" operator="containsText" text="Meets">
      <formula>NOT(ISERROR(SEARCH("Meets",G53)))</formula>
    </cfRule>
    <cfRule type="containsText" dxfId="626" priority="71" operator="containsText" text="Start">
      <formula>NOT(ISERROR(SEARCH("Start",G53)))</formula>
    </cfRule>
    <cfRule type="containsText" dxfId="625" priority="72" operator="containsText" text="N/A">
      <formula>NOT(ISERROR(SEARCH("N/A",G53)))</formula>
    </cfRule>
    <cfRule type="containsText" dxfId="624" priority="75" operator="containsText" text="Under">
      <formula>NOT(ISERROR(SEARCH("Under",G53)))</formula>
    </cfRule>
    <cfRule type="containsText" dxfId="623"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{5F636DA8-8F99-41D9-AA02-5C772FC62E6D}</x14:id>
        </ext>
      </extLst>
    </cfRule>
  </conditionalFormatting>
  <conditionalFormatting sqref="G55">
    <cfRule type="containsText" dxfId="622" priority="7" operator="containsText" text="Under">
      <formula>NOT(ISERROR(SEARCH("Under",G55)))</formula>
    </cfRule>
    <cfRule type="containsText" dxfId="621" priority="1" operator="containsText" text="Continue">
      <formula>NOT(ISERROR(SEARCH("Continue",G55)))</formula>
    </cfRule>
    <cfRule type="containsText" dxfId="620" priority="2" operator="containsText" text="Stop">
      <formula>NOT(ISERROR(SEARCH("Stop",G55)))</formula>
    </cfRule>
    <cfRule type="containsText" dxfId="619" priority="3" operator="containsText" text="Start">
      <formula>NOT(ISERROR(SEARCH("Start",G55)))</formula>
    </cfRule>
    <cfRule type="containsText" dxfId="618" priority="4" operator="containsText" text="N/A">
      <formula>NOT(ISERROR(SEARCH("N/A",G55)))</formula>
    </cfRule>
    <cfRule type="containsText" dxfId="617" priority="5" operator="containsText" text="Exceeds">
      <formula>NOT(ISERROR(SEARCH("Exceeds",G55)))</formula>
    </cfRule>
    <cfRule type="containsText" dxfId="616" priority="6" operator="containsText" text="Meets">
      <formula>NOT(ISERROR(SEARCH("Meets",G55)))</formula>
    </cfRule>
  </conditionalFormatting>
  <conditionalFormatting sqref="G59">
    <cfRule type="containsText" dxfId="615" priority="67" operator="containsText" text="Under">
      <formula>NOT(ISERROR(SEARCH("Under",G59)))</formula>
    </cfRule>
    <cfRule type="containsText" dxfId="614" priority="66" operator="containsText" text="Meets">
      <formula>NOT(ISERROR(SEARCH("Meets",G59)))</formula>
    </cfRule>
    <cfRule type="containsText" dxfId="613" priority="65" operator="containsText" text="Exceeds">
      <formula>NOT(ISERROR(SEARCH("Exceeds",G59)))</formula>
    </cfRule>
    <cfRule type="containsText" dxfId="612" priority="61" operator="containsText" text="Continue">
      <formula>NOT(ISERROR(SEARCH("Continue",G59)))</formula>
    </cfRule>
    <cfRule type="containsText" dxfId="611" priority="62" operator="containsText" text="Stop">
      <formula>NOT(ISERROR(SEARCH("Stop",G59)))</formula>
    </cfRule>
    <cfRule type="containsText" dxfId="610" priority="63" operator="containsText" text="Start">
      <formula>NOT(ISERROR(SEARCH("Start",G59)))</formula>
    </cfRule>
    <cfRule type="containsText" dxfId="609"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{778328BC-40EB-4DC7-9543-E45C6DFFADBC}</x14:id>
        </ext>
      </extLst>
    </cfRule>
  </conditionalFormatting>
  <conditionalFormatting sqref="G61">
    <cfRule type="containsText" dxfId="608" priority="41" operator="containsText" text="Exceeds">
      <formula>NOT(ISERROR(SEARCH("Exceeds",G61)))</formula>
    </cfRule>
    <cfRule type="containsText" dxfId="607" priority="42" operator="containsText" text="Meets">
      <formula>NOT(ISERROR(SEARCH("Meets",G61)))</formula>
    </cfRule>
    <cfRule type="containsText" dxfId="606" priority="43" operator="containsText" text="Under">
      <formula>NOT(ISERROR(SEARCH("Under",G61)))</formula>
    </cfRule>
    <cfRule type="containsText" dxfId="605" priority="40" operator="containsText" text="N/A">
      <formula>NOT(ISERROR(SEARCH("N/A",G61)))</formula>
    </cfRule>
    <cfRule type="containsText" dxfId="604" priority="39" operator="containsText" text="Start">
      <formula>NOT(ISERROR(SEARCH("Start",G61)))</formula>
    </cfRule>
    <cfRule type="containsText" dxfId="603" priority="38" operator="containsText" text="Stop">
      <formula>NOT(ISERROR(SEARCH("Stop",G61)))</formula>
    </cfRule>
    <cfRule type="containsText" dxfId="602"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{2012A304-F66D-4871-B836-543725B309E4}</x14:id>
        </ext>
      </extLst>
    </cfRule>
  </conditionalFormatting>
  <conditionalFormatting sqref="G65">
    <cfRule type="containsText" dxfId="601" priority="59" operator="containsText" text="Under">
      <formula>NOT(ISERROR(SEARCH("Under",G65)))</formula>
    </cfRule>
    <cfRule type="containsText" dxfId="600" priority="57" operator="containsText" text="Exceeds">
      <formula>NOT(ISERROR(SEARCH("Exceeds",G65)))</formula>
    </cfRule>
    <cfRule type="containsText" dxfId="599" priority="56" operator="containsText" text="N/A">
      <formula>NOT(ISERROR(SEARCH("N/A",G65)))</formula>
    </cfRule>
    <cfRule type="containsText" dxfId="598" priority="53" operator="containsText" text="Continue">
      <formula>NOT(ISERROR(SEARCH("Continue",G65)))</formula>
    </cfRule>
    <cfRule type="containsText" dxfId="597" priority="54" operator="containsText" text="Stop">
      <formula>NOT(ISERROR(SEARCH("Stop",G65)))</formula>
    </cfRule>
    <cfRule type="containsText" dxfId="596" priority="58" operator="containsText" text="Meets">
      <formula>NOT(ISERROR(SEARCH("Meets",G65)))</formula>
    </cfRule>
    <cfRule type="containsText" dxfId="595"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{74DE6C48-5460-4082-9A06-5A8B44A39CCA}</x14:id>
        </ext>
      </extLst>
    </cfRule>
  </conditionalFormatting>
  <conditionalFormatting sqref="G67">
    <cfRule type="containsText" dxfId="594" priority="45" operator="containsText" text="Continue">
      <formula>NOT(ISERROR(SEARCH("Continue",G67)))</formula>
    </cfRule>
    <cfRule type="containsText" dxfId="593" priority="47" operator="containsText" text="Start">
      <formula>NOT(ISERROR(SEARCH("Start",G67)))</formula>
    </cfRule>
    <cfRule type="containsText" dxfId="592" priority="48" operator="containsText" text="N/A">
      <formula>NOT(ISERROR(SEARCH("N/A",G67)))</formula>
    </cfRule>
    <cfRule type="containsText" dxfId="591" priority="49" operator="containsText" text="Exceeds">
      <formula>NOT(ISERROR(SEARCH("Exceeds",G67)))</formula>
    </cfRule>
    <cfRule type="containsText" dxfId="590" priority="50" operator="containsText" text="Meets">
      <formula>NOT(ISERROR(SEARCH("Meets",G67)))</formula>
    </cfRule>
    <cfRule type="containsText" dxfId="589" priority="46" operator="containsText" text="Stop">
      <formula>NOT(ISERROR(SEARCH("Stop",G67)))</formula>
    </cfRule>
    <cfRule type="containsText" dxfId="588"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{9511C6E1-DEB5-44E5-90AC-2658C173902A}</x14:id>
        </ext>
      </extLst>
    </cfRule>
  </conditionalFormatting>
  <conditionalFormatting sqref="G159 G161">
    <cfRule type="containsText" dxfId="587" priority="460" operator="containsText" text="Continue">
      <formula>NOT(ISERROR(SEARCH("Continue",G159)))</formula>
    </cfRule>
    <cfRule type="containsText" dxfId="586" priority="461" operator="containsText" text="Stop">
      <formula>NOT(ISERROR(SEARCH("Stop",G159)))</formula>
    </cfRule>
    <cfRule type="containsText" dxfId="585" priority="462" operator="containsText" text="Start">
      <formula>NOT(ISERROR(SEARCH("Start",G159)))</formula>
    </cfRule>
    <cfRule type="containsText" dxfId="584" priority="463" operator="containsText" text="N/A">
      <formula>NOT(ISERROR(SEARCH("N/A",G159)))</formula>
    </cfRule>
    <cfRule type="containsText" dxfId="583" priority="464" operator="containsText" text="Exceeds">
      <formula>NOT(ISERROR(SEARCH("Exceeds",G159)))</formula>
    </cfRule>
    <cfRule type="containsText" dxfId="582" priority="466" operator="containsText" text="Under">
      <formula>NOT(ISERROR(SEARCH("Under",G159)))</formula>
    </cfRule>
    <cfRule type="containsText" dxfId="581" priority="465" operator="containsText" text="Meets">
      <formula>NOT(ISERROR(SEARCH("Meets",G159)))</formula>
    </cfRule>
  </conditionalFormatting>
  <conditionalFormatting sqref="G164 G166">
    <cfRule type="containsText" dxfId="580" priority="434" operator="containsText" text="Under">
      <formula>NOT(ISERROR(SEARCH("Under",G164)))</formula>
    </cfRule>
    <cfRule type="containsText" dxfId="579" priority="428" operator="containsText" text="Continue">
      <formula>NOT(ISERROR(SEARCH("Continue",G164)))</formula>
    </cfRule>
    <cfRule type="containsText" dxfId="578" priority="429" operator="containsText" text="Stop">
      <formula>NOT(ISERROR(SEARCH("Stop",G164)))</formula>
    </cfRule>
    <cfRule type="containsText" dxfId="577" priority="431" operator="containsText" text="N/A">
      <formula>NOT(ISERROR(SEARCH("N/A",G164)))</formula>
    </cfRule>
    <cfRule type="containsText" dxfId="576" priority="432" operator="containsText" text="Exceeds">
      <formula>NOT(ISERROR(SEARCH("Exceeds",G164)))</formula>
    </cfRule>
    <cfRule type="containsText" dxfId="575" priority="433" operator="containsText" text="Meets">
      <formula>NOT(ISERROR(SEARCH("Meets",G164)))</formula>
    </cfRule>
    <cfRule type="containsText" dxfId="574" priority="430" operator="containsText" text="Start">
      <formula>NOT(ISERROR(SEARCH("Start",G164)))</formula>
    </cfRule>
  </conditionalFormatting>
  <conditionalFormatting sqref="G169 G171">
    <cfRule type="containsText" dxfId="573" priority="392" operator="containsText" text="N/A">
      <formula>NOT(ISERROR(SEARCH("N/A",G169)))</formula>
    </cfRule>
    <cfRule type="containsText" dxfId="572" priority="393" operator="containsText" text="Exceeds">
      <formula>NOT(ISERROR(SEARCH("Exceeds",G169)))</formula>
    </cfRule>
    <cfRule type="containsText" dxfId="571" priority="394" operator="containsText" text="Meets">
      <formula>NOT(ISERROR(SEARCH("Meets",G169)))</formula>
    </cfRule>
    <cfRule type="containsText" dxfId="570" priority="395" operator="containsText" text="Under">
      <formula>NOT(ISERROR(SEARCH("Under",G169)))</formula>
    </cfRule>
    <cfRule type="containsText" dxfId="569" priority="390" operator="containsText" text="Stop">
      <formula>NOT(ISERROR(SEARCH("Stop",G169)))</formula>
    </cfRule>
    <cfRule type="containsText" dxfId="568" priority="391" operator="containsText" text="Start">
      <formula>NOT(ISERROR(SEARCH("Start",G169)))</formula>
    </cfRule>
    <cfRule type="containsText" dxfId="567" priority="389" operator="containsText" text="Continue">
      <formula>NOT(ISERROR(SEARCH("Continue",G169)))</formula>
    </cfRule>
  </conditionalFormatting>
  <conditionalFormatting sqref="J29">
    <cfRule type="containsText" dxfId="566" priority="857" operator="containsText" text="Continue">
      <formula>NOT(ISERROR(SEARCH("Continue",J29)))</formula>
    </cfRule>
    <cfRule type="containsText" dxfId="565" priority="862" operator="containsText" text="Meets">
      <formula>NOT(ISERROR(SEARCH("Meets",J29)))</formula>
    </cfRule>
    <cfRule type="containsText" dxfId="564" priority="863" operator="containsText" text="Under">
      <formula>NOT(ISERROR(SEARCH("Under",J29)))</formula>
    </cfRule>
    <cfRule type="containsText" dxfId="563" priority="861" operator="containsText" text="Exceeds">
      <formula>NOT(ISERROR(SEARCH("Exceeds",J29)))</formula>
    </cfRule>
    <cfRule type="containsText" dxfId="562" priority="860" operator="containsText" text="N/A">
      <formula>NOT(ISERROR(SEARCH("N/A",J29)))</formula>
    </cfRule>
    <cfRule type="containsText" dxfId="561" priority="859" operator="containsText" text="Start">
      <formula>NOT(ISERROR(SEARCH("Start",J29)))</formula>
    </cfRule>
    <cfRule type="containsText" dxfId="560" priority="858" operator="containsText" text="Stop">
      <formula>NOT(ISERROR(SEARCH("Stop",J29)))</formula>
    </cfRule>
  </conditionalFormatting>
  <conditionalFormatting sqref="J31">
    <cfRule type="containsText" dxfId="559" priority="299" operator="containsText" text="Stop">
      <formula>NOT(ISERROR(SEARCH("Stop",J31)))</formula>
    </cfRule>
    <cfRule type="containsText" dxfId="558" priority="303" operator="containsText" text="Meets">
      <formula>NOT(ISERROR(SEARCH("Meets",J31)))</formula>
    </cfRule>
    <cfRule type="containsText" dxfId="557" priority="302" operator="containsText" text="Exceeds">
      <formula>NOT(ISERROR(SEARCH("Exceeds",J31)))</formula>
    </cfRule>
    <cfRule type="containsText" dxfId="556" priority="301" operator="containsText" text="N/A">
      <formula>NOT(ISERROR(SEARCH("N/A",J31)))</formula>
    </cfRule>
    <cfRule type="containsText" dxfId="555" priority="300" operator="containsText" text="Start">
      <formula>NOT(ISERROR(SEARCH("Start",J31)))</formula>
    </cfRule>
    <cfRule type="containsText" dxfId="554" priority="298" operator="containsText" text="Continue">
      <formula>NOT(ISERROR(SEARCH("Continue",J31)))</formula>
    </cfRule>
    <cfRule type="containsText" dxfId="553" priority="304" operator="containsText" text="Under">
      <formula>NOT(ISERROR(SEARCH("Under",J31)))</formula>
    </cfRule>
  </conditionalFormatting>
  <conditionalFormatting sqref="J35">
    <cfRule type="containsText" dxfId="552" priority="289" operator="containsText" text="Under">
      <formula>NOT(ISERROR(SEARCH("Under",J35)))</formula>
    </cfRule>
    <cfRule type="containsText" dxfId="551" priority="283" operator="containsText" text="Continue">
      <formula>NOT(ISERROR(SEARCH("Continue",J35)))</formula>
    </cfRule>
    <cfRule type="containsText" dxfId="550" priority="284" operator="containsText" text="Stop">
      <formula>NOT(ISERROR(SEARCH("Stop",J35)))</formula>
    </cfRule>
    <cfRule type="containsText" dxfId="549" priority="285" operator="containsText" text="Start">
      <formula>NOT(ISERROR(SEARCH("Start",J35)))</formula>
    </cfRule>
    <cfRule type="containsText" dxfId="548" priority="288" operator="containsText" text="Meets">
      <formula>NOT(ISERROR(SEARCH("Meets",J35)))</formula>
    </cfRule>
    <cfRule type="containsText" dxfId="547" priority="287" operator="containsText" text="Exceeds">
      <formula>NOT(ISERROR(SEARCH("Exceeds",J35)))</formula>
    </cfRule>
    <cfRule type="containsText" dxfId="546" priority="286" operator="containsText" text="N/A">
      <formula>NOT(ISERROR(SEARCH("N/A",J35)))</formula>
    </cfRule>
  </conditionalFormatting>
  <conditionalFormatting sqref="J37">
    <cfRule type="containsText" dxfId="545" priority="272" operator="containsText" text="N/A">
      <formula>NOT(ISERROR(SEARCH("N/A",J37)))</formula>
    </cfRule>
    <cfRule type="containsText" dxfId="544" priority="273" operator="containsText" text="Exceeds">
      <formula>NOT(ISERROR(SEARCH("Exceeds",J37)))</formula>
    </cfRule>
    <cfRule type="containsText" dxfId="543" priority="271" operator="containsText" text="Start">
      <formula>NOT(ISERROR(SEARCH("Start",J37)))</formula>
    </cfRule>
    <cfRule type="containsText" dxfId="542" priority="270" operator="containsText" text="Stop">
      <formula>NOT(ISERROR(SEARCH("Stop",J37)))</formula>
    </cfRule>
    <cfRule type="containsText" dxfId="541" priority="269" operator="containsText" text="Continue">
      <formula>NOT(ISERROR(SEARCH("Continue",J37)))</formula>
    </cfRule>
    <cfRule type="containsText" dxfId="540" priority="274" operator="containsText" text="Meets">
      <formula>NOT(ISERROR(SEARCH("Meets",J37)))</formula>
    </cfRule>
    <cfRule type="containsText" dxfId="539" priority="275" operator="containsText" text="Under">
      <formula>NOT(ISERROR(SEARCH("Under",J37)))</formula>
    </cfRule>
  </conditionalFormatting>
  <conditionalFormatting sqref="J41">
    <cfRule type="containsText" dxfId="538" priority="259" operator="containsText" text="Meets">
      <formula>NOT(ISERROR(SEARCH("Meets",J41)))</formula>
    </cfRule>
    <cfRule type="containsText" dxfId="537" priority="256" operator="containsText" text="Start">
      <formula>NOT(ISERROR(SEARCH("Start",J41)))</formula>
    </cfRule>
    <cfRule type="containsText" dxfId="536" priority="257" operator="containsText" text="N/A">
      <formula>NOT(ISERROR(SEARCH("N/A",J41)))</formula>
    </cfRule>
    <cfRule type="containsText" dxfId="535" priority="258" operator="containsText" text="Exceeds">
      <formula>NOT(ISERROR(SEARCH("Exceeds",J41)))</formula>
    </cfRule>
    <cfRule type="containsText" dxfId="534" priority="260" operator="containsText" text="Under">
      <formula>NOT(ISERROR(SEARCH("Under",J41)))</formula>
    </cfRule>
    <cfRule type="containsText" dxfId="533" priority="254" operator="containsText" text="Continue">
      <formula>NOT(ISERROR(SEARCH("Continue",J41)))</formula>
    </cfRule>
    <cfRule type="containsText" dxfId="532" priority="255" operator="containsText" text="Stop">
      <formula>NOT(ISERROR(SEARCH("Stop",J41)))</formula>
    </cfRule>
  </conditionalFormatting>
  <conditionalFormatting sqref="J43">
    <cfRule type="containsText" dxfId="531" priority="242" operator="containsText" text="Start">
      <formula>NOT(ISERROR(SEARCH("Start",J43)))</formula>
    </cfRule>
    <cfRule type="containsText" dxfId="530" priority="245" operator="containsText" text="Meets">
      <formula>NOT(ISERROR(SEARCH("Meets",J43)))</formula>
    </cfRule>
    <cfRule type="containsText" dxfId="529" priority="240" operator="containsText" text="Continue">
      <formula>NOT(ISERROR(SEARCH("Continue",J43)))</formula>
    </cfRule>
    <cfRule type="containsText" dxfId="528" priority="243" operator="containsText" text="N/A">
      <formula>NOT(ISERROR(SEARCH("N/A",J43)))</formula>
    </cfRule>
    <cfRule type="containsText" dxfId="527" priority="246" operator="containsText" text="Under">
      <formula>NOT(ISERROR(SEARCH("Under",J43)))</formula>
    </cfRule>
    <cfRule type="containsText" dxfId="526" priority="244" operator="containsText" text="Exceeds">
      <formula>NOT(ISERROR(SEARCH("Exceeds",J43)))</formula>
    </cfRule>
    <cfRule type="containsText" dxfId="525" priority="241" operator="containsText" text="Stop">
      <formula>NOT(ISERROR(SEARCH("Stop",J43)))</formula>
    </cfRule>
  </conditionalFormatting>
  <conditionalFormatting sqref="J47">
    <cfRule type="containsText" dxfId="524" priority="229" operator="containsText" text="Exceeds">
      <formula>NOT(ISERROR(SEARCH("Exceeds",J47)))</formula>
    </cfRule>
    <cfRule type="containsText" dxfId="523" priority="225" operator="containsText" text="Continue">
      <formula>NOT(ISERROR(SEARCH("Continue",J47)))</formula>
    </cfRule>
    <cfRule type="containsText" dxfId="522" priority="226" operator="containsText" text="Stop">
      <formula>NOT(ISERROR(SEARCH("Stop",J47)))</formula>
    </cfRule>
    <cfRule type="containsText" dxfId="521" priority="228" operator="containsText" text="N/A">
      <formula>NOT(ISERROR(SEARCH("N/A",J47)))</formula>
    </cfRule>
    <cfRule type="containsText" dxfId="520" priority="230" operator="containsText" text="Meets">
      <formula>NOT(ISERROR(SEARCH("Meets",J47)))</formula>
    </cfRule>
    <cfRule type="containsText" dxfId="519" priority="231" operator="containsText" text="Under">
      <formula>NOT(ISERROR(SEARCH("Under",J47)))</formula>
    </cfRule>
    <cfRule type="containsText" dxfId="518" priority="227" operator="containsText" text="Start">
      <formula>NOT(ISERROR(SEARCH("Start",J47)))</formula>
    </cfRule>
  </conditionalFormatting>
  <conditionalFormatting sqref="J49">
    <cfRule type="containsText" dxfId="517" priority="217" operator="containsText" text="Under">
      <formula>NOT(ISERROR(SEARCH("Under",J49)))</formula>
    </cfRule>
    <cfRule type="containsText" dxfId="516" priority="212" operator="containsText" text="Stop">
      <formula>NOT(ISERROR(SEARCH("Stop",J49)))</formula>
    </cfRule>
    <cfRule type="containsText" dxfId="515" priority="216" operator="containsText" text="Meets">
      <formula>NOT(ISERROR(SEARCH("Meets",J49)))</formula>
    </cfRule>
    <cfRule type="containsText" dxfId="514" priority="213" operator="containsText" text="Start">
      <formula>NOT(ISERROR(SEARCH("Start",J49)))</formula>
    </cfRule>
    <cfRule type="containsText" dxfId="513" priority="211" operator="containsText" text="Continue">
      <formula>NOT(ISERROR(SEARCH("Continue",J49)))</formula>
    </cfRule>
    <cfRule type="containsText" dxfId="512" priority="214" operator="containsText" text="N/A">
      <formula>NOT(ISERROR(SEARCH("N/A",J49)))</formula>
    </cfRule>
    <cfRule type="containsText" dxfId="511" priority="215" operator="containsText" text="Exceeds">
      <formula>NOT(ISERROR(SEARCH("Exceeds",J49)))</formula>
    </cfRule>
  </conditionalFormatting>
  <conditionalFormatting sqref="J53">
    <cfRule type="containsText" dxfId="510" priority="196" operator="containsText" text="Continue">
      <formula>NOT(ISERROR(SEARCH("Continue",J53)))</formula>
    </cfRule>
    <cfRule type="containsText" dxfId="509" priority="197" operator="containsText" text="Stop">
      <formula>NOT(ISERROR(SEARCH("Stop",J53)))</formula>
    </cfRule>
    <cfRule type="containsText" dxfId="508" priority="198" operator="containsText" text="Start">
      <formula>NOT(ISERROR(SEARCH("Start",J53)))</formula>
    </cfRule>
    <cfRule type="containsText" dxfId="507" priority="199" operator="containsText" text="N/A">
      <formula>NOT(ISERROR(SEARCH("N/A",J53)))</formula>
    </cfRule>
    <cfRule type="containsText" dxfId="506" priority="200" operator="containsText" text="Exceeds">
      <formula>NOT(ISERROR(SEARCH("Exceeds",J53)))</formula>
    </cfRule>
    <cfRule type="containsText" dxfId="505" priority="201" operator="containsText" text="Meets">
      <formula>NOT(ISERROR(SEARCH("Meets",J53)))</formula>
    </cfRule>
    <cfRule type="containsText" dxfId="504" priority="202" operator="containsText" text="Under">
      <formula>NOT(ISERROR(SEARCH("Under",J53)))</formula>
    </cfRule>
  </conditionalFormatting>
  <conditionalFormatting sqref="J55">
    <cfRule type="containsText" dxfId="503" priority="182" operator="containsText" text="Continue">
      <formula>NOT(ISERROR(SEARCH("Continue",J55)))</formula>
    </cfRule>
    <cfRule type="containsText" dxfId="502" priority="186" operator="containsText" text="Exceeds">
      <formula>NOT(ISERROR(SEARCH("Exceeds",J55)))</formula>
    </cfRule>
    <cfRule type="containsText" dxfId="501" priority="187" operator="containsText" text="Meets">
      <formula>NOT(ISERROR(SEARCH("Meets",J55)))</formula>
    </cfRule>
    <cfRule type="containsText" dxfId="500" priority="188" operator="containsText" text="Under">
      <formula>NOT(ISERROR(SEARCH("Under",J55)))</formula>
    </cfRule>
    <cfRule type="containsText" dxfId="499" priority="183" operator="containsText" text="Stop">
      <formula>NOT(ISERROR(SEARCH("Stop",J55)))</formula>
    </cfRule>
    <cfRule type="containsText" dxfId="498" priority="184" operator="containsText" text="Start">
      <formula>NOT(ISERROR(SEARCH("Start",J55)))</formula>
    </cfRule>
    <cfRule type="containsText" dxfId="497" priority="185" operator="containsText" text="N/A">
      <formula>NOT(ISERROR(SEARCH("N/A",J55)))</formula>
    </cfRule>
  </conditionalFormatting>
  <conditionalFormatting sqref="J59">
    <cfRule type="containsText" dxfId="496" priority="167" operator="containsText" text="Continue">
      <formula>NOT(ISERROR(SEARCH("Continue",J59)))</formula>
    </cfRule>
    <cfRule type="containsText" dxfId="495" priority="168" operator="containsText" text="Stop">
      <formula>NOT(ISERROR(SEARCH("Stop",J59)))</formula>
    </cfRule>
    <cfRule type="containsText" dxfId="494" priority="169" operator="containsText" text="Start">
      <formula>NOT(ISERROR(SEARCH("Start",J59)))</formula>
    </cfRule>
    <cfRule type="containsText" dxfId="493" priority="170" operator="containsText" text="N/A">
      <formula>NOT(ISERROR(SEARCH("N/A",J59)))</formula>
    </cfRule>
    <cfRule type="containsText" dxfId="492" priority="171" operator="containsText" text="Exceeds">
      <formula>NOT(ISERROR(SEARCH("Exceeds",J59)))</formula>
    </cfRule>
    <cfRule type="containsText" dxfId="491" priority="172" operator="containsText" text="Meets">
      <formula>NOT(ISERROR(SEARCH("Meets",J59)))</formula>
    </cfRule>
    <cfRule type="containsText" dxfId="490" priority="173" operator="containsText" text="Under">
      <formula>NOT(ISERROR(SEARCH("Under",J59)))</formula>
    </cfRule>
  </conditionalFormatting>
  <conditionalFormatting sqref="J61">
    <cfRule type="containsText" dxfId="489" priority="155" operator="containsText" text="Start">
      <formula>NOT(ISERROR(SEARCH("Start",J61)))</formula>
    </cfRule>
    <cfRule type="containsText" dxfId="488" priority="154" operator="containsText" text="Stop">
      <formula>NOT(ISERROR(SEARCH("Stop",J61)))</formula>
    </cfRule>
    <cfRule type="containsText" dxfId="487" priority="156" operator="containsText" text="N/A">
      <formula>NOT(ISERROR(SEARCH("N/A",J61)))</formula>
    </cfRule>
    <cfRule type="containsText" dxfId="486" priority="153" operator="containsText" text="Continue">
      <formula>NOT(ISERROR(SEARCH("Continue",J61)))</formula>
    </cfRule>
    <cfRule type="containsText" dxfId="485" priority="157" operator="containsText" text="Exceeds">
      <formula>NOT(ISERROR(SEARCH("Exceeds",J61)))</formula>
    </cfRule>
    <cfRule type="containsText" dxfId="484" priority="158" operator="containsText" text="Meets">
      <formula>NOT(ISERROR(SEARCH("Meets",J61)))</formula>
    </cfRule>
    <cfRule type="containsText" dxfId="483" priority="159" operator="containsText" text="Under">
      <formula>NOT(ISERROR(SEARCH("Under",J61)))</formula>
    </cfRule>
  </conditionalFormatting>
  <conditionalFormatting sqref="J65">
    <cfRule type="containsText" dxfId="482" priority="141" operator="containsText" text="N/A">
      <formula>NOT(ISERROR(SEARCH("N/A",J65)))</formula>
    </cfRule>
    <cfRule type="containsText" dxfId="481" priority="140" operator="containsText" text="Start">
      <formula>NOT(ISERROR(SEARCH("Start",J65)))</formula>
    </cfRule>
    <cfRule type="containsText" dxfId="480" priority="139" operator="containsText" text="Stop">
      <formula>NOT(ISERROR(SEARCH("Stop",J65)))</formula>
    </cfRule>
    <cfRule type="containsText" dxfId="479" priority="138" operator="containsText" text="Continue">
      <formula>NOT(ISERROR(SEARCH("Continue",J65)))</formula>
    </cfRule>
    <cfRule type="containsText" dxfId="478" priority="144" operator="containsText" text="Under">
      <formula>NOT(ISERROR(SEARCH("Under",J65)))</formula>
    </cfRule>
    <cfRule type="containsText" dxfId="477" priority="143" operator="containsText" text="Meets">
      <formula>NOT(ISERROR(SEARCH("Meets",J65)))</formula>
    </cfRule>
    <cfRule type="containsText" dxfId="476" priority="142" operator="containsText" text="Exceeds">
      <formula>NOT(ISERROR(SEARCH("Exceeds",J65)))</formula>
    </cfRule>
  </conditionalFormatting>
  <conditionalFormatting sqref="J67">
    <cfRule type="containsText" dxfId="475" priority="128" operator="containsText" text="Exceeds">
      <formula>NOT(ISERROR(SEARCH("Exceeds",J67)))</formula>
    </cfRule>
    <cfRule type="containsText" dxfId="474" priority="127" operator="containsText" text="N/A">
      <formula>NOT(ISERROR(SEARCH("N/A",J67)))</formula>
    </cfRule>
    <cfRule type="containsText" dxfId="473" priority="126" operator="containsText" text="Start">
      <formula>NOT(ISERROR(SEARCH("Start",J67)))</formula>
    </cfRule>
    <cfRule type="containsText" dxfId="472" priority="125" operator="containsText" text="Stop">
      <formula>NOT(ISERROR(SEARCH("Stop",J67)))</formula>
    </cfRule>
    <cfRule type="containsText" dxfId="471" priority="124" operator="containsText" text="Continue">
      <formula>NOT(ISERROR(SEARCH("Continue",J67)))</formula>
    </cfRule>
    <cfRule type="containsText" dxfId="470" priority="130" operator="containsText" text="Under">
      <formula>NOT(ISERROR(SEARCH("Under",J67)))</formula>
    </cfRule>
    <cfRule type="containsText" dxfId="469" priority="129" operator="containsText" text="Meets">
      <formula>NOT(ISERROR(SEARCH("Meets",J67)))</formula>
    </cfRule>
  </conditionalFormatting>
  <conditionalFormatting sqref="J154:J156">
    <cfRule type="containsText" dxfId="468" priority="106" operator="containsText" text="Under">
      <formula>NOT(ISERROR(SEARCH("Under",J154)))</formula>
    </cfRule>
    <cfRule type="containsText" dxfId="467" priority="105" operator="containsText" text="Meets">
      <formula>NOT(ISERROR(SEARCH("Meets",J154)))</formula>
    </cfRule>
    <cfRule type="containsText" dxfId="466" priority="104" operator="containsText" text="Exceeds">
      <formula>NOT(ISERROR(SEARCH("Exceeds",J154)))</formula>
    </cfRule>
    <cfRule type="containsText" dxfId="465" priority="103" operator="containsText" text="N/A">
      <formula>NOT(ISERROR(SEARCH("N/A",J154)))</formula>
    </cfRule>
    <cfRule type="containsText" dxfId="464" priority="102" operator="containsText" text="Start">
      <formula>NOT(ISERROR(SEARCH("Start",J154)))</formula>
    </cfRule>
    <cfRule type="containsText" dxfId="463" priority="101" operator="containsText" text="Stop">
      <formula>NOT(ISERROR(SEARCH("Stop",J154)))</formula>
    </cfRule>
    <cfRule type="containsText" dxfId="462" priority="100" operator="containsText" text="Continue">
      <formula>NOT(ISERROR(SEARCH("Continue",J154)))</formula>
    </cfRule>
  </conditionalFormatting>
  <conditionalFormatting sqref="J155">
    <cfRule type="dataBar" priority="115">
      <dataBar>
        <cfvo type="num" val="0"/>
        <cfvo type="num" val="1"/>
        <color rgb="FF63C384"/>
      </dataBar>
      <extLst>
        <ext xmlns:x14="http://schemas.microsoft.com/office/spreadsheetml/2009/9/main" uri="{B025F937-C7B1-47D3-B67F-A62EFF666E3E}">
          <x14:id>{6B0A676D-2166-4DBB-A050-34B3908933B9}</x14:id>
        </ext>
      </extLst>
    </cfRule>
    <cfRule type="dataBar" priority="107">
      <dataBar>
        <cfvo type="num" val="0"/>
        <cfvo type="num" val="1"/>
        <color theme="0" tint="-0.249977111117893"/>
      </dataBar>
      <extLst>
        <ext xmlns:x14="http://schemas.microsoft.com/office/spreadsheetml/2009/9/main" uri="{B025F937-C7B1-47D3-B67F-A62EFF666E3E}">
          <x14:id>{994DD667-C841-49D9-9754-380E39504E2A}</x14:id>
        </ext>
      </extLst>
    </cfRule>
  </conditionalFormatting>
  <conditionalFormatting sqref="J159 J164">
    <cfRule type="containsText" dxfId="461" priority="1023" operator="containsText" text="Stop">
      <formula>NOT(ISERROR(SEARCH("Stop",J159)))</formula>
    </cfRule>
    <cfRule type="containsText" dxfId="460" priority="1025" operator="containsText" text="N/A">
      <formula>NOT(ISERROR(SEARCH("N/A",J159)))</formula>
    </cfRule>
    <cfRule type="containsText" dxfId="459" priority="1024" operator="containsText" text="Start">
      <formula>NOT(ISERROR(SEARCH("Start",J159)))</formula>
    </cfRule>
    <cfRule type="containsText" dxfId="458" priority="1026" operator="containsText" text="Exceeds">
      <formula>NOT(ISERROR(SEARCH("Exceeds",J159)))</formula>
    </cfRule>
    <cfRule type="containsText" dxfId="457" priority="1027" operator="containsText" text="Meets">
      <formula>NOT(ISERROR(SEARCH("Meets",J159)))</formula>
    </cfRule>
    <cfRule type="containsText" dxfId="456" priority="1028" operator="containsText" text="Under">
      <formula>NOT(ISERROR(SEARCH("Under",J159)))</formula>
    </cfRule>
    <cfRule type="containsText" dxfId="455" priority="1022" operator="containsText" text="Continue">
      <formula>NOT(ISERROR(SEARCH("Continue",J159)))</formula>
    </cfRule>
  </conditionalFormatting>
  <conditionalFormatting sqref="J161">
    <cfRule type="containsText" dxfId="454" priority="458" operator="containsText" text="Meets">
      <formula>NOT(ISERROR(SEARCH("Meets",J161)))</formula>
    </cfRule>
    <cfRule type="containsText" dxfId="453" priority="457" operator="containsText" text="Exceeds">
      <formula>NOT(ISERROR(SEARCH("Exceeds",J161)))</formula>
    </cfRule>
    <cfRule type="containsText" dxfId="452" priority="456" operator="containsText" text="N/A">
      <formula>NOT(ISERROR(SEARCH("N/A",J161)))</formula>
    </cfRule>
    <cfRule type="containsText" dxfId="451" priority="455" operator="containsText" text="Start">
      <formula>NOT(ISERROR(SEARCH("Start",J161)))</formula>
    </cfRule>
    <cfRule type="containsText" dxfId="450" priority="454" operator="containsText" text="Stop">
      <formula>NOT(ISERROR(SEARCH("Stop",J161)))</formula>
    </cfRule>
    <cfRule type="containsText" dxfId="449" priority="453" operator="containsText" text="Continue">
      <formula>NOT(ISERROR(SEARCH("Continue",J161)))</formula>
    </cfRule>
    <cfRule type="containsText" dxfId="448" priority="459" operator="containsText" text="Under">
      <formula>NOT(ISERROR(SEARCH("Under",J161)))</formula>
    </cfRule>
  </conditionalFormatting>
  <conditionalFormatting sqref="J166">
    <cfRule type="containsText" dxfId="447" priority="425" operator="containsText" text="Exceeds">
      <formula>NOT(ISERROR(SEARCH("Exceeds",J166)))</formula>
    </cfRule>
    <cfRule type="containsText" dxfId="446" priority="427" operator="containsText" text="Under">
      <formula>NOT(ISERROR(SEARCH("Under",J166)))</formula>
    </cfRule>
    <cfRule type="containsText" dxfId="445" priority="424" operator="containsText" text="N/A">
      <formula>NOT(ISERROR(SEARCH("N/A",J166)))</formula>
    </cfRule>
    <cfRule type="containsText" dxfId="444" priority="423" operator="containsText" text="Start">
      <formula>NOT(ISERROR(SEARCH("Start",J166)))</formula>
    </cfRule>
    <cfRule type="containsText" dxfId="443" priority="422" operator="containsText" text="Stop">
      <formula>NOT(ISERROR(SEARCH("Stop",J166)))</formula>
    </cfRule>
    <cfRule type="containsText" dxfId="442" priority="421" operator="containsText" text="Continue">
      <formula>NOT(ISERROR(SEARCH("Continue",J166)))</formula>
    </cfRule>
    <cfRule type="containsText" dxfId="441" priority="426" operator="containsText" text="Meets">
      <formula>NOT(ISERROR(SEARCH("Meets",J166)))</formula>
    </cfRule>
  </conditionalFormatting>
  <conditionalFormatting sqref="J169">
    <cfRule type="containsText" dxfId="440" priority="416" operator="containsText" text="Start">
      <formula>NOT(ISERROR(SEARCH("Start",J169)))</formula>
    </cfRule>
    <cfRule type="containsText" dxfId="439" priority="415" operator="containsText" text="Stop">
      <formula>NOT(ISERROR(SEARCH("Stop",J169)))</formula>
    </cfRule>
    <cfRule type="containsText" dxfId="438" priority="419" operator="containsText" text="Meets">
      <formula>NOT(ISERROR(SEARCH("Meets",J169)))</formula>
    </cfRule>
    <cfRule type="containsText" dxfId="437" priority="414" operator="containsText" text="Continue">
      <formula>NOT(ISERROR(SEARCH("Continue",J169)))</formula>
    </cfRule>
    <cfRule type="containsText" dxfId="436" priority="420" operator="containsText" text="Under">
      <formula>NOT(ISERROR(SEARCH("Under",J169)))</formula>
    </cfRule>
    <cfRule type="containsText" dxfId="435" priority="417" operator="containsText" text="N/A">
      <formula>NOT(ISERROR(SEARCH("N/A",J169)))</formula>
    </cfRule>
    <cfRule type="containsText" dxfId="434" priority="418" operator="containsText" text="Exceeds">
      <formula>NOT(ISERROR(SEARCH("Exceeds",J169)))</formula>
    </cfRule>
  </conditionalFormatting>
  <conditionalFormatting sqref="J171">
    <cfRule type="containsText" dxfId="433" priority="382" operator="containsText" text="Continue">
      <formula>NOT(ISERROR(SEARCH("Continue",J171)))</formula>
    </cfRule>
    <cfRule type="containsText" dxfId="432" priority="383" operator="containsText" text="Stop">
      <formula>NOT(ISERROR(SEARCH("Stop",J171)))</formula>
    </cfRule>
    <cfRule type="containsText" dxfId="431" priority="385" operator="containsText" text="N/A">
      <formula>NOT(ISERROR(SEARCH("N/A",J171)))</formula>
    </cfRule>
    <cfRule type="containsText" dxfId="430" priority="386" operator="containsText" text="Exceeds">
      <formula>NOT(ISERROR(SEARCH("Exceeds",J171)))</formula>
    </cfRule>
    <cfRule type="containsText" dxfId="429" priority="384" operator="containsText" text="Start">
      <formula>NOT(ISERROR(SEARCH("Start",J171)))</formula>
    </cfRule>
    <cfRule type="containsText" dxfId="428" priority="387" operator="containsText" text="Meets">
      <formula>NOT(ISERROR(SEARCH("Meets",J171)))</formula>
    </cfRule>
    <cfRule type="containsText" dxfId="427" priority="388" operator="containsText" text="Under">
      <formula>NOT(ISERROR(SEARCH("Under",J171)))</formula>
    </cfRule>
  </conditionalFormatting>
  <conditionalFormatting sqref="M62 M68">
    <cfRule type="containsText" dxfId="426" priority="1850" operator="containsText" text="N/A">
      <formula>NOT(ISERROR(SEARCH("N/A",M62)))</formula>
    </cfRule>
    <cfRule type="containsText" dxfId="425" priority="1851" operator="containsText" text="Exceeds">
      <formula>NOT(ISERROR(SEARCH("Exceeds",M62)))</formula>
    </cfRule>
    <cfRule type="containsText" dxfId="424" priority="1852" operator="containsText" text="Meets">
      <formula>NOT(ISERROR(SEARCH("Meets",M62)))</formula>
    </cfRule>
    <cfRule type="containsText" dxfId="423" priority="1853" operator="containsText" text="Under">
      <formula>NOT(ISERROR(SEARCH("Under",M62)))</formula>
    </cfRule>
  </conditionalFormatting>
  <conditionalFormatting sqref="Q14:Q16">
    <cfRule type="containsText" dxfId="422" priority="1975" operator="containsText" text="Exceeds">
      <formula>NOT(ISERROR(SEARCH("Exceeds",Q14)))</formula>
    </cfRule>
    <cfRule type="containsText" dxfId="421" priority="1976" operator="containsText" text="Meets">
      <formula>NOT(ISERROR(SEARCH("Meets",Q14)))</formula>
    </cfRule>
    <cfRule type="containsText" dxfId="420" priority="1977" operator="containsText" text="Under">
      <formula>NOT(ISERROR(SEARCH("Under",Q14)))</formula>
    </cfRule>
    <cfRule type="containsText" dxfId="419" priority="1974" operator="containsText" text="N/A">
      <formula>NOT(ISERROR(SEARCH("N/A",Q14)))</formula>
    </cfRule>
  </conditionalFormatting>
  <dataValidations count="8">
    <dataValidation type="list" allowBlank="1" showInputMessage="1" showErrorMessage="1" sqref="L73:L80" xr:uid="{41AADC24-2491-48AB-92A3-A1070D2FE79B}">
      <formula1>"0, 1, 2, 3, 4, 5, 6, 7, 8, 9, 10"</formula1>
    </dataValidation>
    <dataValidation allowBlank="1" showInputMessage="1" showErrorMessage="1" prompt="Enter Company Name in cell B4._x000a_A legend is in cells I4 through AC4.  The Legend label is in cell G4." sqref="A2:C2" xr:uid="{F86B6265-E33F-4111-9FA6-E16DB2A21E3D}"/>
    <dataValidation allowBlank="1" showInputMessage="1" showErrorMessage="1" prompt="Cells I9 through BL9 contain the day number of the month for the Month represented in the cell block above each date cell and are auto calculated._x000a_Do not modify these cells._x000a_" sqref="A8:C8" xr:uid="{06F95B8A-16B8-41D8-A7FE-337CE751F139}"/>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F1A3B87C-8A84-4931-82CC-CF74A300F053}"/>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D9C193B-56EB-4652-9DB5-87D4648362DC}"/>
    <dataValidation type="list" allowBlank="1" showInputMessage="1" showErrorMessage="1" sqref="F178:F179" xr:uid="{738C168A-5E63-459A-AB1C-C10397A8D74F}">
      <formula1>"Ready for next, Happy for now"</formula1>
    </dataValidation>
    <dataValidation type="list" allowBlank="1" showInputMessage="1" showErrorMessage="1" sqref="G73:G80" xr:uid="{ECF77D46-2145-443E-A0D0-27C95A36EF2C}">
      <formula1>"Online self-paced, Online, Hybrid, In person, Peer learning"</formula1>
    </dataValidation>
    <dataValidation type="list" allowBlank="1" showInputMessage="1" showErrorMessage="1" sqref="J73:J80" xr:uid="{4CE37AC1-C027-426C-AB27-16FD28C729C8}">
      <formula1>"Yes, No"</formula1>
    </dataValidation>
  </dataValidations>
  <hyperlinks>
    <hyperlink ref="G85:H85" r:id="rId1" location=":~:text=use%20the%20method.-,Examples%20of%20SMART%20Goals,-We%20will%C2%A0create" display="Examples of SMART Goals" xr:uid="{416E2522-CEB2-4557-9287-29A5CD7B74FE}"/>
    <hyperlink ref="G85" r:id="rId2" location=":~:text=Examples%20of%20S.M.A.R.T.%20Goals" display="https://www.forbes.com/advisor/business/smart-goals/#:~:text=Examples%20of%20S.M.A.R.T.%20Goals" xr:uid="{645DC235-57FE-4A7A-9F30-0C9BDEFAB22F}"/>
    <hyperlink ref="I85" r:id="rId3" location=":~:text=use%20the%20method.-,Examples%20of%20SMART%20Goals,-We%20will%C2%A0create" display="Examples of SMART Goals" xr:uid="{BB695A85-7A55-415C-A3C1-FFB7DF4B958F}"/>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A8F8C207-A56F-4306-89B1-2D1C71F5C64E}">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F24FF897-AF89-4046-8F6E-77CF9B9646D9}">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98F2B64-A92E-4A64-886A-DC818E592776}">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CBB1FAA9-C97C-47BC-8B69-ADA007A5E98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ECD0F364-FBC4-4FA7-B94C-CC814058D0B9}">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3EE64423-439D-4ABC-97E3-73EAFE780581}">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51F35C33-8DF7-4939-A375-329B68D1DB6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F8490C26-567B-4835-8A33-F3CD27733B43}">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6DEB625-8700-4790-9BD3-ECAF92DB4B87}">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321F5CFA-3979-4DE5-92BF-2CCD199EF76A}">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EEEA8183-8904-4A35-BE8A-E6FB756396A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23A237E-98C7-44D4-9DE5-BB0B18A330F6}">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00442FD-C760-4912-82D3-9BADC6CD8F50}">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A9F2FA2-705A-402B-AD11-43A429454AF5}">
            <x14:dataBar minLength="0" maxLength="100" gradient="0">
              <x14:cfvo type="num">
                <xm:f>0</xm:f>
              </x14:cfvo>
              <x14:cfvo type="num">
                <xm:f>1</xm:f>
              </x14:cfvo>
              <x14:negativeFillColor rgb="FFFF0000"/>
              <x14:axisColor rgb="FF000000"/>
            </x14:dataBar>
          </x14:cfRule>
          <x14:cfRule type="dataBar" id="{AF408706-C417-4A31-83D3-41D5C4E547E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D5B011AE-31B7-4F79-9803-181C459D865E}">
            <x14:dataBar minLength="0" maxLength="100" gradient="0">
              <x14:cfvo type="num">
                <xm:f>0</xm:f>
              </x14:cfvo>
              <x14:cfvo type="num">
                <xm:f>1</xm:f>
              </x14:cfvo>
              <x14:negativeFillColor rgb="FFFF0000"/>
              <x14:axisColor rgb="FF000000"/>
            </x14:dataBar>
          </x14:cfRule>
          <x14:cfRule type="dataBar" id="{44A894E2-A760-4AE8-928B-8D16C4D66262}">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30C7B1DB-78EB-40F3-86A1-94D218386F37}">
            <x14:dataBar minLength="0" maxLength="100" gradient="0">
              <x14:cfvo type="num">
                <xm:f>0</xm:f>
              </x14:cfvo>
              <x14:cfvo type="num">
                <xm:f>1</xm:f>
              </x14:cfvo>
              <x14:negativeFillColor rgb="FFFF0000"/>
              <x14:axisColor rgb="FF000000"/>
            </x14:dataBar>
          </x14:cfRule>
          <x14:cfRule type="dataBar" id="{12751B78-4159-4F6D-B1EB-CFF4FF6FC63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6585D62D-F591-44D3-A885-365C20659360}">
            <x14:dataBar minLength="0" maxLength="100" gradient="0">
              <x14:cfvo type="num">
                <xm:f>0</xm:f>
              </x14:cfvo>
              <x14:cfvo type="num">
                <xm:f>1</xm:f>
              </x14:cfvo>
              <x14:negativeFillColor rgb="FFFF0000"/>
              <x14:axisColor rgb="FF000000"/>
            </x14:dataBar>
          </x14:cfRule>
          <x14:cfRule type="dataBar" id="{A079EE5B-3A98-4BF1-80C8-A933CD792F4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B937BC51-6F69-46AA-A0F6-56CD87BCD0FB}">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79A20887-B72D-4226-A093-ACFA0DB4C0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729A512-5AE0-461C-8FBD-48E00AFCFA07}">
            <x14:dataBar minLength="0" maxLength="100" gradient="0">
              <x14:cfvo type="num">
                <xm:f>0</xm:f>
              </x14:cfvo>
              <x14:cfvo type="num">
                <xm:f>1</xm:f>
              </x14:cfvo>
              <x14:negativeFillColor rgb="FFFF0000"/>
              <x14:axisColor rgb="FF000000"/>
            </x14:dataBar>
          </x14:cfRule>
          <x14:cfRule type="dataBar" id="{1DE4EA2B-5B74-405A-8C1D-3524834A0CB8}">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4904B687-812D-4161-A0BF-F4EEC7B1888B}">
            <x14:dataBar minLength="0" maxLength="100" gradient="0">
              <x14:cfvo type="num">
                <xm:f>0</xm:f>
              </x14:cfvo>
              <x14:cfvo type="num">
                <xm:f>1</xm:f>
              </x14:cfvo>
              <x14:negativeFillColor rgb="FFFF0000"/>
              <x14:axisColor rgb="FF000000"/>
            </x14:dataBar>
          </x14:cfRule>
          <x14:cfRule type="dataBar" id="{D1B5FDBE-A952-495D-AC85-47932AFAA1B4}">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B24D1F73-A17D-464F-9B3A-9575380E81B8}">
            <x14:dataBar minLength="0" maxLength="100" gradient="0">
              <x14:cfvo type="num">
                <xm:f>0</xm:f>
              </x14:cfvo>
              <x14:cfvo type="num">
                <xm:f>1</xm:f>
              </x14:cfvo>
              <x14:negativeFillColor rgb="FFFF0000"/>
              <x14:axisColor rgb="FF000000"/>
            </x14:dataBar>
          </x14:cfRule>
          <x14:cfRule type="dataBar" id="{B4834E7E-4229-4D61-B58D-68AF8520D4DF}">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94B04C2F-868A-4ED7-9773-C232C6BEC0A0}">
            <x14:dataBar minLength="0" maxLength="100" gradient="0">
              <x14:cfvo type="num">
                <xm:f>0</xm:f>
              </x14:cfvo>
              <x14:cfvo type="num">
                <xm:f>1</xm:f>
              </x14:cfvo>
              <x14:negativeFillColor rgb="FFFF0000"/>
              <x14:axisColor rgb="FF000000"/>
            </x14:dataBar>
          </x14:cfRule>
          <x14:cfRule type="dataBar" id="{2247779D-632E-4BC7-8E23-FDD639732A25}">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66BAA16-37D6-4E95-9029-0C1F5ADDB9F9}">
            <x14:dataBar minLength="0" maxLength="100" gradient="0">
              <x14:cfvo type="num">
                <xm:f>0</xm:f>
              </x14:cfvo>
              <x14:cfvo type="num">
                <xm:f>1</xm:f>
              </x14:cfvo>
              <x14:negativeFillColor rgb="FFFF0000"/>
              <x14:axisColor rgb="FF000000"/>
            </x14:dataBar>
          </x14:cfRule>
          <x14:cfRule type="dataBar" id="{2298544A-BAFB-4902-9142-C8729422BCF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CF72DFDB-00BB-43D4-ADE1-87E2D64D896A}">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F264F816-88D5-4F53-A470-AAE089E78F4B}">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69FAC3-BB60-4968-B11E-46F2A5E7F1F7}">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F636DA8-8F99-41D9-AA02-5C772FC62E6D}">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778328BC-40EB-4DC7-9543-E45C6DFFADBC}">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2012A304-F66D-4871-B836-543725B309E4}">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4DE6C48-5460-4082-9A06-5A8B44A39CCA}">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9511C6E1-DEB5-44E5-90AC-2658C173902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6B0A676D-2166-4DBB-A050-34B3908933B9}">
            <x14:dataBar minLength="0" maxLength="100" gradient="0">
              <x14:cfvo type="num">
                <xm:f>0</xm:f>
              </x14:cfvo>
              <x14:cfvo type="num">
                <xm:f>1</xm:f>
              </x14:cfvo>
              <x14:negativeFillColor rgb="FFFF0000"/>
              <x14:axisColor rgb="FF000000"/>
            </x14:dataBar>
          </x14:cfRule>
          <x14:cfRule type="dataBar" id="{994DD667-C841-49D9-9754-380E39504E2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47F2-1BB2-4619-98A1-AD9B65C72E75}">
  <sheetPr>
    <pageSetUpPr autoPageBreaks="0" fitToPage="1"/>
  </sheetPr>
  <dimension ref="A1:Q191"/>
  <sheetViews>
    <sheetView topLeftCell="B165" zoomScale="53" zoomScaleNormal="7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31.42578125" style="124" customWidth="1"/>
    <col min="8" max="8" width="35.85546875" style="124" customWidth="1"/>
    <col min="9" max="9" width="52.140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2" t="str">
        <f>'CC 2023'!E2</f>
        <v>Employee Name</v>
      </c>
      <c r="F2" s="542"/>
      <c r="G2" s="542"/>
      <c r="H2" s="542"/>
      <c r="I2" s="150"/>
      <c r="J2" s="150"/>
      <c r="K2" s="133"/>
      <c r="L2" s="144" t="e">
        <f>CONCATENATE(G146,"/",Q174)</f>
        <v>#DIV/0!</v>
      </c>
      <c r="M2" s="151"/>
      <c r="O2" s="149"/>
    </row>
    <row r="3" spans="1:17" s="148" customFormat="1" ht="23.25" customHeight="1">
      <c r="A3" s="100"/>
      <c r="B3" s="100"/>
      <c r="C3" s="101"/>
      <c r="D3" s="107"/>
      <c r="E3" s="152">
        <v>2026</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t="str">
        <f>'CC 2026'!F6</f>
        <v xml:space="preserve">Full Stack Developer </v>
      </c>
      <c r="G6" s="399"/>
      <c r="H6" s="399"/>
      <c r="I6" s="399"/>
      <c r="J6" s="399"/>
      <c r="K6" s="399"/>
      <c r="L6" s="400"/>
      <c r="M6" s="154"/>
      <c r="O6" s="124"/>
    </row>
    <row r="7" spans="1:17" s="148" customFormat="1" ht="50.45" customHeight="1">
      <c r="A7" s="100"/>
      <c r="B7" s="100"/>
      <c r="C7" s="101"/>
      <c r="D7" s="107"/>
      <c r="E7" s="105" t="s">
        <v>3</v>
      </c>
      <c r="F7" s="401" t="str">
        <f>'CC 2026'!F7</f>
        <v xml:space="preserve">Anael </v>
      </c>
      <c r="G7" s="402"/>
      <c r="H7" s="402"/>
      <c r="I7" s="402"/>
      <c r="J7" s="402"/>
      <c r="K7" s="402"/>
      <c r="L7" s="403"/>
      <c r="M7" s="154"/>
      <c r="O7" s="124"/>
    </row>
    <row r="8" spans="1:17" s="148" customFormat="1" ht="50.45" customHeight="1" thickBot="1">
      <c r="A8" s="100"/>
      <c r="B8" s="100"/>
      <c r="C8" s="101"/>
      <c r="D8" s="103"/>
      <c r="E8" s="106" t="s">
        <v>4</v>
      </c>
      <c r="F8" s="404">
        <f>'CC 2026'!F8</f>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t="s">
        <v>241</v>
      </c>
      <c r="G10" s="408"/>
      <c r="H10" s="408"/>
      <c r="I10" s="408"/>
      <c r="J10" s="408"/>
      <c r="K10" s="408"/>
      <c r="L10" s="409"/>
      <c r="M10" s="151"/>
      <c r="O10" s="149"/>
      <c r="Q10" s="124"/>
    </row>
    <row r="11" spans="1:17" s="148" customFormat="1" ht="50.45" customHeight="1" thickBot="1">
      <c r="C11" s="155"/>
      <c r="D11" s="156"/>
      <c r="E11" s="106" t="s">
        <v>6</v>
      </c>
      <c r="F11" s="410" t="s">
        <v>241</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t="str">
        <f>'CC 2026'!F28</f>
        <v>Technology – Spring Boot, Java ,  MySQL , Graph DB , Docker, Groovy, Node.js , Angular , SQL, Unix , shell scripts</v>
      </c>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t="str">
        <f>'CC 2026'!F34</f>
        <v>Tools  - Grafana, GitLab, Jenkins , Confluence , OTRS , JIRA, OpenNMS , MariaDb , Postgres DB</v>
      </c>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t="str">
        <f>'CC 2026'!F40</f>
        <v>Integration – Pentahu</v>
      </c>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tr">
        <f>'CC 2026'!F46</f>
        <v>Potential Tech Stacks: Python (API app, AI related); Vector DB, such as Chroma DB.</v>
      </c>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f>'CC 2026'!F52</f>
        <v>0</v>
      </c>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f>'CC 2026'!F58</f>
        <v>0</v>
      </c>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f>'CC 2026'!F64</f>
        <v>0</v>
      </c>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548"/>
      <c r="G87" s="350"/>
      <c r="H87" s="350"/>
      <c r="I87" s="350"/>
      <c r="J87" s="350"/>
      <c r="K87" s="350"/>
      <c r="L87" s="351"/>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c r="G89" s="345"/>
      <c r="H89" s="346"/>
      <c r="I89" s="143"/>
      <c r="J89" s="75"/>
      <c r="K89" s="75"/>
      <c r="L89" s="75"/>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c r="C97" s="164"/>
      <c r="D97" s="158"/>
      <c r="E97" s="126" t="str">
        <f>CONCATENATE("End-of-year meeting - ", TEXT($F$11,"dd/mm/yyyy"))</f>
        <v>End-of-year meeting - TBD</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338"/>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8"/>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48"/>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338"/>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55"/>
      <c r="G137" s="345"/>
      <c r="H137" s="346"/>
      <c r="I137" s="143"/>
      <c r="J137" s="75"/>
      <c r="K137" s="75"/>
      <c r="L137" s="76"/>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c r="C145" s="164"/>
      <c r="D145" s="158"/>
      <c r="E145" s="129" t="str">
        <f>CONCATENATE("End-of-year meeting - ", TEXT($F$11,"dd/mm/yyyy"))</f>
        <v>End-of-year meeting - TBD</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oV14GzJi9lDCe5i755BRmkAQHqhImPSVwU/xKMszuBVLFGiMI/bvVVFHco05M/7e/pKoyNMobEMR2NTDJzSINg==" saltValue="YVf0CWGeZFiQdA80FUej8w=="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418" priority="337" operator="containsText" text="Stop">
      <formula>NOT(ISERROR(SEARCH("Stop",E4)))</formula>
    </cfRule>
    <cfRule type="containsText" dxfId="417" priority="338" operator="containsText" text="Start">
      <formula>NOT(ISERROR(SEARCH("Start",E4)))</formula>
    </cfRule>
    <cfRule type="containsText" dxfId="416" priority="336" operator="containsText" text="Continue">
      <formula>NOT(ISERROR(SEARCH("Continue",E4)))</formula>
    </cfRule>
  </conditionalFormatting>
  <conditionalFormatting sqref="E14">
    <cfRule type="containsText" dxfId="415" priority="456" operator="containsText" text="Continue">
      <formula>NOT(ISERROR(SEARCH("Continue",E14)))</formula>
    </cfRule>
    <cfRule type="containsText" dxfId="414" priority="457" operator="containsText" text="Stop">
      <formula>NOT(ISERROR(SEARCH("Stop",E14)))</formula>
    </cfRule>
    <cfRule type="containsText" dxfId="413" priority="458" operator="containsText" text="Start">
      <formula>NOT(ISERROR(SEARCH("Start",E14)))</formula>
    </cfRule>
  </conditionalFormatting>
  <conditionalFormatting sqref="E28 E154 G154 E156 G156">
    <cfRule type="containsText" dxfId="412" priority="391" operator="containsText" text="N/A">
      <formula>NOT(ISERROR(SEARCH("N/A",E28)))</formula>
    </cfRule>
    <cfRule type="containsText" dxfId="411" priority="388" operator="containsText" text="Continue">
      <formula>NOT(ISERROR(SEARCH("Continue",E28)))</formula>
    </cfRule>
    <cfRule type="containsText" dxfId="410" priority="393" operator="containsText" text="Meets">
      <formula>NOT(ISERROR(SEARCH("Meets",E28)))</formula>
    </cfRule>
    <cfRule type="containsText" dxfId="409" priority="392" operator="containsText" text="Exceeds">
      <formula>NOT(ISERROR(SEARCH("Exceeds",E28)))</formula>
    </cfRule>
    <cfRule type="containsText" dxfId="408" priority="390" operator="containsText" text="Start">
      <formula>NOT(ISERROR(SEARCH("Start",E28)))</formula>
    </cfRule>
    <cfRule type="containsText" dxfId="407" priority="389" operator="containsText" text="Stop">
      <formula>NOT(ISERROR(SEARCH("Stop",E28)))</formula>
    </cfRule>
    <cfRule type="containsText" dxfId="406" priority="394" operator="containsText" text="Under">
      <formula>NOT(ISERROR(SEARCH("Under",E28)))</formula>
    </cfRule>
  </conditionalFormatting>
  <conditionalFormatting sqref="E34">
    <cfRule type="containsText" dxfId="405" priority="368" operator="containsText" text="Stop">
      <formula>NOT(ISERROR(SEARCH("Stop",E34)))</formula>
    </cfRule>
    <cfRule type="containsText" dxfId="404" priority="373" operator="containsText" text="Under">
      <formula>NOT(ISERROR(SEARCH("Under",E34)))</formula>
    </cfRule>
    <cfRule type="containsText" dxfId="403" priority="372" operator="containsText" text="Meets">
      <formula>NOT(ISERROR(SEARCH("Meets",E34)))</formula>
    </cfRule>
    <cfRule type="containsText" dxfId="402" priority="371" operator="containsText" text="Exceeds">
      <formula>NOT(ISERROR(SEARCH("Exceeds",E34)))</formula>
    </cfRule>
    <cfRule type="containsText" dxfId="401" priority="370" operator="containsText" text="N/A">
      <formula>NOT(ISERROR(SEARCH("N/A",E34)))</formula>
    </cfRule>
    <cfRule type="containsText" dxfId="400" priority="369" operator="containsText" text="Start">
      <formula>NOT(ISERROR(SEARCH("Start",E34)))</formula>
    </cfRule>
    <cfRule type="containsText" dxfId="399" priority="367" operator="containsText" text="Continue">
      <formula>NOT(ISERROR(SEARCH("Continue",E34)))</formula>
    </cfRule>
  </conditionalFormatting>
  <conditionalFormatting sqref="E40">
    <cfRule type="containsText" dxfId="398" priority="364" operator="containsText" text="Exceeds">
      <formula>NOT(ISERROR(SEARCH("Exceeds",E40)))</formula>
    </cfRule>
    <cfRule type="containsText" dxfId="397" priority="365" operator="containsText" text="Meets">
      <formula>NOT(ISERROR(SEARCH("Meets",E40)))</formula>
    </cfRule>
    <cfRule type="containsText" dxfId="396" priority="366" operator="containsText" text="Under">
      <formula>NOT(ISERROR(SEARCH("Under",E40)))</formula>
    </cfRule>
    <cfRule type="containsText" dxfId="395" priority="360" operator="containsText" text="Continue">
      <formula>NOT(ISERROR(SEARCH("Continue",E40)))</formula>
    </cfRule>
    <cfRule type="containsText" dxfId="394" priority="362" operator="containsText" text="Start">
      <formula>NOT(ISERROR(SEARCH("Start",E40)))</formula>
    </cfRule>
    <cfRule type="containsText" dxfId="393" priority="363" operator="containsText" text="N/A">
      <formula>NOT(ISERROR(SEARCH("N/A",E40)))</formula>
    </cfRule>
    <cfRule type="containsText" dxfId="392" priority="361" operator="containsText" text="Stop">
      <formula>NOT(ISERROR(SEARCH("Stop",E40)))</formula>
    </cfRule>
  </conditionalFormatting>
  <conditionalFormatting sqref="E46">
    <cfRule type="containsText" dxfId="391" priority="359" operator="containsText" text="Under">
      <formula>NOT(ISERROR(SEARCH("Under",E46)))</formula>
    </cfRule>
    <cfRule type="containsText" dxfId="390" priority="358" operator="containsText" text="Meets">
      <formula>NOT(ISERROR(SEARCH("Meets",E46)))</formula>
    </cfRule>
    <cfRule type="containsText" dxfId="389" priority="357" operator="containsText" text="Exceeds">
      <formula>NOT(ISERROR(SEARCH("Exceeds",E46)))</formula>
    </cfRule>
    <cfRule type="containsText" dxfId="388" priority="356" operator="containsText" text="N/A">
      <formula>NOT(ISERROR(SEARCH("N/A",E46)))</formula>
    </cfRule>
    <cfRule type="containsText" dxfId="387" priority="355" operator="containsText" text="Start">
      <formula>NOT(ISERROR(SEARCH("Start",E46)))</formula>
    </cfRule>
    <cfRule type="containsText" dxfId="386" priority="354" operator="containsText" text="Stop">
      <formula>NOT(ISERROR(SEARCH("Stop",E46)))</formula>
    </cfRule>
    <cfRule type="containsText" dxfId="385" priority="353" operator="containsText" text="Continue">
      <formula>NOT(ISERROR(SEARCH("Continue",E46)))</formula>
    </cfRule>
  </conditionalFormatting>
  <conditionalFormatting sqref="E52">
    <cfRule type="containsText" dxfId="384" priority="349" operator="containsText" text="N/A">
      <formula>NOT(ISERROR(SEARCH("N/A",E52)))</formula>
    </cfRule>
    <cfRule type="containsText" dxfId="383" priority="348" operator="containsText" text="Start">
      <formula>NOT(ISERROR(SEARCH("Start",E52)))</formula>
    </cfRule>
    <cfRule type="containsText" dxfId="382" priority="347" operator="containsText" text="Stop">
      <formula>NOT(ISERROR(SEARCH("Stop",E52)))</formula>
    </cfRule>
    <cfRule type="containsText" dxfId="381" priority="352" operator="containsText" text="Under">
      <formula>NOT(ISERROR(SEARCH("Under",E52)))</formula>
    </cfRule>
    <cfRule type="containsText" dxfId="380" priority="351" operator="containsText" text="Meets">
      <formula>NOT(ISERROR(SEARCH("Meets",E52)))</formula>
    </cfRule>
    <cfRule type="containsText" dxfId="379" priority="346" operator="containsText" text="Continue">
      <formula>NOT(ISERROR(SEARCH("Continue",E52)))</formula>
    </cfRule>
    <cfRule type="containsText" dxfId="378" priority="350" operator="containsText" text="Exceeds">
      <formula>NOT(ISERROR(SEARCH("Exceeds",E52)))</formula>
    </cfRule>
  </conditionalFormatting>
  <conditionalFormatting sqref="E58">
    <cfRule type="containsText" dxfId="377" priority="341" operator="containsText" text="Start">
      <formula>NOT(ISERROR(SEARCH("Start",E58)))</formula>
    </cfRule>
    <cfRule type="containsText" dxfId="376" priority="342" operator="containsText" text="N/A">
      <formula>NOT(ISERROR(SEARCH("N/A",E58)))</formula>
    </cfRule>
    <cfRule type="containsText" dxfId="375" priority="344" operator="containsText" text="Meets">
      <formula>NOT(ISERROR(SEARCH("Meets",E58)))</formula>
    </cfRule>
    <cfRule type="containsText" dxfId="374" priority="343" operator="containsText" text="Exceeds">
      <formula>NOT(ISERROR(SEARCH("Exceeds",E58)))</formula>
    </cfRule>
    <cfRule type="containsText" dxfId="373" priority="345" operator="containsText" text="Under">
      <formula>NOT(ISERROR(SEARCH("Under",E58)))</formula>
    </cfRule>
    <cfRule type="containsText" dxfId="372" priority="339" operator="containsText" text="Continue">
      <formula>NOT(ISERROR(SEARCH("Continue",E58)))</formula>
    </cfRule>
    <cfRule type="containsText" dxfId="371" priority="340" operator="containsText" text="Stop">
      <formula>NOT(ISERROR(SEARCH("Stop",E58)))</formula>
    </cfRule>
  </conditionalFormatting>
  <conditionalFormatting sqref="E64">
    <cfRule type="containsText" dxfId="370" priority="242" operator="containsText" text="Stop">
      <formula>NOT(ISERROR(SEARCH("Stop",E64)))</formula>
    </cfRule>
    <cfRule type="containsText" dxfId="369" priority="243" operator="containsText" text="Start">
      <formula>NOT(ISERROR(SEARCH("Start",E64)))</formula>
    </cfRule>
    <cfRule type="containsText" dxfId="368" priority="245" operator="containsText" text="Exceeds">
      <formula>NOT(ISERROR(SEARCH("Exceeds",E64)))</formula>
    </cfRule>
    <cfRule type="containsText" dxfId="367" priority="246" operator="containsText" text="Meets">
      <formula>NOT(ISERROR(SEARCH("Meets",E64)))</formula>
    </cfRule>
    <cfRule type="containsText" dxfId="366" priority="247" operator="containsText" text="Under">
      <formula>NOT(ISERROR(SEARCH("Under",E64)))</formula>
    </cfRule>
    <cfRule type="containsText" dxfId="365" priority="244" operator="containsText" text="N/A">
      <formula>NOT(ISERROR(SEARCH("N/A",E64)))</formula>
    </cfRule>
    <cfRule type="containsText" dxfId="364" priority="241" operator="containsText" text="Continue">
      <formula>NOT(ISERROR(SEARCH("Continue",E64)))</formula>
    </cfRule>
  </conditionalFormatting>
  <conditionalFormatting sqref="E159 E164">
    <cfRule type="containsText" dxfId="363" priority="431" operator="containsText" text="Exceeds">
      <formula>NOT(ISERROR(SEARCH("Exceeds",E159)))</formula>
    </cfRule>
    <cfRule type="containsText" dxfId="362" priority="430" operator="containsText" text="N/A">
      <formula>NOT(ISERROR(SEARCH("N/A",E159)))</formula>
    </cfRule>
    <cfRule type="containsText" dxfId="361" priority="429" operator="containsText" text="Start">
      <formula>NOT(ISERROR(SEARCH("Start",E159)))</formula>
    </cfRule>
    <cfRule type="containsText" dxfId="360" priority="428" operator="containsText" text="Stop">
      <formula>NOT(ISERROR(SEARCH("Stop",E159)))</formula>
    </cfRule>
    <cfRule type="containsText" dxfId="359" priority="427" operator="containsText" text="Continue">
      <formula>NOT(ISERROR(SEARCH("Continue",E159)))</formula>
    </cfRule>
    <cfRule type="containsText" dxfId="358" priority="432" operator="containsText" text="Meets">
      <formula>NOT(ISERROR(SEARCH("Meets",E159)))</formula>
    </cfRule>
    <cfRule type="containsText" dxfId="357" priority="433" operator="containsText" text="Under">
      <formula>NOT(ISERROR(SEARCH("Under",E159)))</formula>
    </cfRule>
  </conditionalFormatting>
  <conditionalFormatting sqref="E161 E166">
    <cfRule type="containsText" dxfId="356" priority="426" operator="containsText" text="Under">
      <formula>NOT(ISERROR(SEARCH("Under",E161)))</formula>
    </cfRule>
    <cfRule type="containsText" dxfId="355" priority="425" operator="containsText" text="Meets">
      <formula>NOT(ISERROR(SEARCH("Meets",E161)))</formula>
    </cfRule>
    <cfRule type="containsText" dxfId="354" priority="424" operator="containsText" text="Exceeds">
      <formula>NOT(ISERROR(SEARCH("Exceeds",E161)))</formula>
    </cfRule>
    <cfRule type="containsText" dxfId="353" priority="423" operator="containsText" text="N/A">
      <formula>NOT(ISERROR(SEARCH("N/A",E161)))</formula>
    </cfRule>
    <cfRule type="containsText" dxfId="352" priority="422" operator="containsText" text="Start">
      <formula>NOT(ISERROR(SEARCH("Start",E161)))</formula>
    </cfRule>
    <cfRule type="containsText" dxfId="351" priority="421" operator="containsText" text="Stop">
      <formula>NOT(ISERROR(SEARCH("Stop",E161)))</formula>
    </cfRule>
    <cfRule type="containsText" dxfId="350" priority="420" operator="containsText" text="Continue">
      <formula>NOT(ISERROR(SEARCH("Continue",E161)))</formula>
    </cfRule>
  </conditionalFormatting>
  <conditionalFormatting sqref="E169">
    <cfRule type="containsText" dxfId="349" priority="443" operator="containsText" text="Start">
      <formula>NOT(ISERROR(SEARCH("Start",E169)))</formula>
    </cfRule>
    <cfRule type="containsText" dxfId="348" priority="442" operator="containsText" text="Stop">
      <formula>NOT(ISERROR(SEARCH("Stop",E169)))</formula>
    </cfRule>
    <cfRule type="containsText" dxfId="347" priority="441" operator="containsText" text="Continue">
      <formula>NOT(ISERROR(SEARCH("Continue",E169)))</formula>
    </cfRule>
    <cfRule type="containsText" dxfId="346" priority="447" operator="containsText" text="Under">
      <formula>NOT(ISERROR(SEARCH("Under",E169)))</formula>
    </cfRule>
    <cfRule type="containsText" dxfId="345" priority="446" operator="containsText" text="Meets">
      <formula>NOT(ISERROR(SEARCH("Meets",E169)))</formula>
    </cfRule>
    <cfRule type="containsText" dxfId="344" priority="445" operator="containsText" text="Exceeds">
      <formula>NOT(ISERROR(SEARCH("Exceeds",E169)))</formula>
    </cfRule>
    <cfRule type="containsText" dxfId="343" priority="444" operator="containsText" text="N/A">
      <formula>NOT(ISERROR(SEARCH("N/A",E169)))</formula>
    </cfRule>
  </conditionalFormatting>
  <conditionalFormatting sqref="E171">
    <cfRule type="containsText" dxfId="342" priority="398" operator="containsText" text="N/A">
      <formula>NOT(ISERROR(SEARCH("N/A",E171)))</formula>
    </cfRule>
    <cfRule type="containsText" dxfId="341" priority="399" operator="containsText" text="Exceeds">
      <formula>NOT(ISERROR(SEARCH("Exceeds",E171)))</formula>
    </cfRule>
    <cfRule type="containsText" dxfId="340" priority="400" operator="containsText" text="Meets">
      <formula>NOT(ISERROR(SEARCH("Meets",E171)))</formula>
    </cfRule>
    <cfRule type="containsText" dxfId="339" priority="401" operator="containsText" text="Under">
      <formula>NOT(ISERROR(SEARCH("Under",E171)))</formula>
    </cfRule>
    <cfRule type="containsText" dxfId="338" priority="395" operator="containsText" text="Continue">
      <formula>NOT(ISERROR(SEARCH("Continue",E171)))</formula>
    </cfRule>
    <cfRule type="containsText" dxfId="337" priority="396" operator="containsText" text="Stop">
      <formula>NOT(ISERROR(SEARCH("Stop",E171)))</formula>
    </cfRule>
    <cfRule type="containsText" dxfId="336" priority="397" operator="containsText" text="Start">
      <formula>NOT(ISERROR(SEARCH("Start",E171)))</formula>
    </cfRule>
  </conditionalFormatting>
  <conditionalFormatting sqref="E12:L13">
    <cfRule type="containsText" dxfId="335" priority="333" operator="containsText" text="Continue">
      <formula>NOT(ISERROR(SEARCH("Continue",E12)))</formula>
    </cfRule>
    <cfRule type="containsText" dxfId="334" priority="334" operator="containsText" text="Stop">
      <formula>NOT(ISERROR(SEARCH("Stop",E12)))</formula>
    </cfRule>
    <cfRule type="containsText" dxfId="333"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{997D9AF0-12B9-4F82-BD2D-00F794EE08B8}</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{59BC0613-C871-4586-8B33-7984765B64D6}</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{F85F50FE-1FE2-49DB-8D75-5B8DD495EE8F}</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{6C739330-FC92-4E64-8E50-E236A333C2D0}</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{0BF282A2-1818-4740-BC34-8CEF442892C0}</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{2C440A83-1153-418A-A713-ABB57D02A51D}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{9229A4A5-9305-43F4-BE50-53AD234DAACD}</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{B5FA22F9-9336-45E6-9368-005F168D28C7}</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{BD86735F-9A7B-48BF-B8D3-F56B6845992A}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{24BBD457-5223-449C-994F-4EBC345A530B}</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{2BEB45A8-0D69-40FE-A1B8-6D50B8FF0A4B}</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{0B46FE38-8FD1-450A-98C5-27BF0450E66F}</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{B8B64FEB-FBDE-4806-B9ED-D93D19963667}</x14:id>
        </ext>
      </extLst>
    </cfRule>
  </conditionalFormatting>
  <conditionalFormatting sqref="F157">
    <cfRule type="containsText" dxfId="332" priority="404" operator="containsText" text="Stop">
      <formula>NOT(ISERROR(SEARCH("Stop",F157)))</formula>
    </cfRule>
    <cfRule type="containsText" dxfId="331"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{0221B595-C5DD-4EB2-8AF8-FC1C820D4573}</x14:id>
        </ext>
      </extLst>
    </cfRule>
    <cfRule type="containsText" dxfId="330" priority="409" operator="containsText" text="Under">
      <formula>NOT(ISERROR(SEARCH("Under",F157)))</formula>
    </cfRule>
    <cfRule type="containsText" dxfId="329" priority="408" operator="containsText" text="Meets">
      <formula>NOT(ISERROR(SEARCH("Meets",F157)))</formula>
    </cfRule>
    <cfRule type="containsText" dxfId="328" priority="407" operator="containsText" text="Exceeds">
      <formula>NOT(ISERROR(SEARCH("Exceeds",F157)))</formula>
    </cfRule>
    <cfRule type="containsText" dxfId="327"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{6E5CC148-4395-48B0-A182-F9DAE84237A6}</x14:id>
        </ext>
      </extLst>
    </cfRule>
    <cfRule type="containsText" dxfId="326" priority="405" operator="containsText" text="Start">
      <formula>NOT(ISERROR(SEARCH("Start",F157)))</formula>
    </cfRule>
  </conditionalFormatting>
  <conditionalFormatting sqref="F162">
    <cfRule type="containsText" dxfId="325" priority="320" operator="containsText" text="Exceeds">
      <formula>NOT(ISERROR(SEARCH("Exceeds",F162)))</formula>
    </cfRule>
    <cfRule type="containsText" dxfId="324" priority="321" operator="containsText" text="Meets">
      <formula>NOT(ISERROR(SEARCH("Meets",F162)))</formula>
    </cfRule>
    <cfRule type="containsText" dxfId="323"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{ADC5402E-F617-464F-9AB0-68FF9603DE69}</x14:id>
        </ext>
      </extLst>
    </cfRule>
    <cfRule type="containsText" dxfId="322" priority="318" operator="containsText" text="Start">
      <formula>NOT(ISERROR(SEARCH("Start",F162)))</formula>
    </cfRule>
    <cfRule type="containsText" dxfId="321"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{9E919163-602C-489F-BAC0-53B689AF3A63}</x14:id>
        </ext>
      </extLst>
    </cfRule>
    <cfRule type="containsText" dxfId="320" priority="319" operator="containsText" text="N/A">
      <formula>NOT(ISERROR(SEARCH("N/A",F162)))</formula>
    </cfRule>
    <cfRule type="containsText" dxfId="319"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{90B5F49C-D0EB-41A2-A28A-9C7928486248}</x14:id>
        </ext>
      </extLst>
    </cfRule>
    <cfRule type="containsText" dxfId="318" priority="299" operator="containsText" text="Under">
      <formula>NOT(ISERROR(SEARCH("Under",F167)))</formula>
    </cfRule>
    <cfRule type="containsText" dxfId="317" priority="298" operator="containsText" text="Meets">
      <formula>NOT(ISERROR(SEARCH("Meets",F167)))</formula>
    </cfRule>
    <cfRule type="containsText" dxfId="316"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{A4E9B4CB-E646-4AA3-B931-284DF8E6017A}</x14:id>
        </ext>
      </extLst>
    </cfRule>
    <cfRule type="containsText" dxfId="315" priority="293" operator="containsText" text="Continue">
      <formula>NOT(ISERROR(SEARCH("Continue",F167)))</formula>
    </cfRule>
    <cfRule type="containsText" dxfId="314" priority="295" operator="containsText" text="Start">
      <formula>NOT(ISERROR(SEARCH("Start",F167)))</formula>
    </cfRule>
    <cfRule type="containsText" dxfId="313" priority="297" operator="containsText" text="Exceeds">
      <formula>NOT(ISERROR(SEARCH("Exceeds",F167)))</formula>
    </cfRule>
    <cfRule type="containsText" dxfId="312"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{5D4C0D77-DA54-4DDC-98F6-BD324E0F42A3}</x14:id>
        </ext>
      </extLst>
    </cfRule>
    <cfRule type="containsText" dxfId="311" priority="269" operator="containsText" text="Under">
      <formula>NOT(ISERROR(SEARCH("Under",F172)))</formula>
    </cfRule>
    <cfRule type="containsText" dxfId="310" priority="268" operator="containsText" text="Meets">
      <formula>NOT(ISERROR(SEARCH("Meets",F172)))</formula>
    </cfRule>
    <cfRule type="containsText" dxfId="309" priority="267" operator="containsText" text="Exceeds">
      <formula>NOT(ISERROR(SEARCH("Exceeds",F172)))</formula>
    </cfRule>
    <cfRule type="containsText" dxfId="308"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{7DFAD948-3478-468B-A423-C396FD2B08A2}</x14:id>
        </ext>
      </extLst>
    </cfRule>
    <cfRule type="containsText" dxfId="307" priority="265" operator="containsText" text="Start">
      <formula>NOT(ISERROR(SEARCH("Start",F172)))</formula>
    </cfRule>
    <cfRule type="containsText" dxfId="306" priority="264" operator="containsText" text="Stop">
      <formula>NOT(ISERROR(SEARCH("Stop",F172)))</formula>
    </cfRule>
    <cfRule type="containsText" dxfId="305"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{D8C216B6-CBE2-4AA4-8D70-60A067821731}</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{B6292B20-8F02-42CE-A205-0756B3CE6785}</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{98AC5730-80B0-416C-B6F6-C48853952D94}</x14:id>
        </ext>
      </extLst>
    </cfRule>
    <cfRule type="containsText" dxfId="304" priority="412" operator="containsText" text="Continue">
      <formula>NOT(ISERROR(SEARCH("Continue",F155)))</formula>
    </cfRule>
    <cfRule type="containsText" dxfId="303" priority="413" operator="containsText" text="Stop">
      <formula>NOT(ISERROR(SEARCH("Stop",F155)))</formula>
    </cfRule>
    <cfRule type="containsText" dxfId="302" priority="414" operator="containsText" text="Start">
      <formula>NOT(ISERROR(SEARCH("Start",F155)))</formula>
    </cfRule>
    <cfRule type="containsText" dxfId="301" priority="415" operator="containsText" text="N/A">
      <formula>NOT(ISERROR(SEARCH("N/A",F155)))</formula>
    </cfRule>
    <cfRule type="containsText" dxfId="300" priority="416" operator="containsText" text="Exceeds">
      <formula>NOT(ISERROR(SEARCH("Exceeds",F155)))</formula>
    </cfRule>
    <cfRule type="containsText" dxfId="299" priority="417" operator="containsText" text="Meets">
      <formula>NOT(ISERROR(SEARCH("Meets",F155)))</formula>
    </cfRule>
    <cfRule type="containsText" dxfId="298"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{4CBB9609-5D32-45D8-A6AA-C39BCDB92F3D}</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{082B95FB-A5CF-4D3C-9709-ED1D147FC859}</x14:id>
        </ext>
      </extLst>
    </cfRule>
    <cfRule type="containsText" dxfId="297" priority="331" operator="containsText" text="Under">
      <formula>NOT(ISERROR(SEARCH("Under",F160)))</formula>
    </cfRule>
    <cfRule type="containsText" dxfId="296" priority="330" operator="containsText" text="Meets">
      <formula>NOT(ISERROR(SEARCH("Meets",F160)))</formula>
    </cfRule>
    <cfRule type="containsText" dxfId="295" priority="329" operator="containsText" text="Exceeds">
      <formula>NOT(ISERROR(SEARCH("Exceeds",F160)))</formula>
    </cfRule>
    <cfRule type="containsText" dxfId="294" priority="328" operator="containsText" text="N/A">
      <formula>NOT(ISERROR(SEARCH("N/A",F160)))</formula>
    </cfRule>
    <cfRule type="containsText" dxfId="293" priority="327" operator="containsText" text="Start">
      <formula>NOT(ISERROR(SEARCH("Start",F160)))</formula>
    </cfRule>
    <cfRule type="containsText" dxfId="292" priority="326" operator="containsText" text="Stop">
      <formula>NOT(ISERROR(SEARCH("Stop",F160)))</formula>
    </cfRule>
    <cfRule type="containsText" dxfId="291"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{20E36500-ADCF-4658-AAB8-5D450FA75875}</x14:id>
        </ext>
      </extLst>
    </cfRule>
  </conditionalFormatting>
  <conditionalFormatting sqref="F165:G165">
    <cfRule type="containsText" dxfId="290" priority="238" operator="containsText" text="Meets">
      <formula>NOT(ISERROR(SEARCH("Meets",F165)))</formula>
    </cfRule>
    <cfRule type="containsText" dxfId="289" priority="235" operator="containsText" text="Start">
      <formula>NOT(ISERROR(SEARCH("Start",F165)))</formula>
    </cfRule>
    <cfRule type="containsText" dxfId="288"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{7BB383DF-02AC-4F58-9BC0-16C62E14C12C}</x14:id>
        </ext>
      </extLst>
    </cfRule>
    <cfRule type="containsText" dxfId="287" priority="233" operator="containsText" text="Continue">
      <formula>NOT(ISERROR(SEARCH("Continue",F165)))</formula>
    </cfRule>
    <cfRule type="containsText" dxfId="286" priority="236" operator="containsText" text="N/A">
      <formula>NOT(ISERROR(SEARCH("N/A",F165)))</formula>
    </cfRule>
    <cfRule type="containsText" dxfId="285" priority="234" operator="containsText" text="Stop">
      <formula>NOT(ISERROR(SEARCH("Stop",F165)))</formula>
    </cfRule>
    <cfRule type="containsText" dxfId="284"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{DBA7FFC6-8E10-4445-9CB6-D70B5A189F74}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{49B2D78B-6B9D-42C1-A8C0-ACD129CD48F7}</x14:id>
        </ext>
      </extLst>
    </cfRule>
    <cfRule type="containsText" dxfId="283" priority="225" operator="containsText" text="Stop">
      <formula>NOT(ISERROR(SEARCH("Stop",F170)))</formula>
    </cfRule>
    <cfRule type="containsText" dxfId="282" priority="224" operator="containsText" text="Continue">
      <formula>NOT(ISERROR(SEARCH("Continue",F170)))</formula>
    </cfRule>
    <cfRule type="containsText" dxfId="281" priority="226" operator="containsText" text="Start">
      <formula>NOT(ISERROR(SEARCH("Start",F170)))</formula>
    </cfRule>
    <cfRule type="containsText" dxfId="280" priority="227" operator="containsText" text="N/A">
      <formula>NOT(ISERROR(SEARCH("N/A",F170)))</formula>
    </cfRule>
    <cfRule type="containsText" dxfId="279" priority="228" operator="containsText" text="Exceeds">
      <formula>NOT(ISERROR(SEARCH("Exceeds",F170)))</formula>
    </cfRule>
    <cfRule type="containsText" dxfId="278"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{944BD012-C210-4CF8-9173-87254548A98C}</x14:id>
        </ext>
      </extLst>
    </cfRule>
    <cfRule type="containsText" dxfId="277"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{F4D634C3-4550-42C5-AA60-6E50C5C34944}</x14:id>
        </ext>
      </extLst>
    </cfRule>
    <cfRule type="containsText" dxfId="276" priority="218" operator="containsText" text="N/A">
      <formula>NOT(ISERROR(SEARCH("N/A",F178)))</formula>
    </cfRule>
    <cfRule type="containsText" dxfId="275"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{C002D7A0-C4F4-4E13-AD60-3A55C315C53A}</x14:id>
        </ext>
      </extLst>
    </cfRule>
    <cfRule type="containsText" dxfId="274" priority="215" operator="containsText" text="Continue">
      <formula>NOT(ISERROR(SEARCH("Continue",F178)))</formula>
    </cfRule>
    <cfRule type="containsText" dxfId="273" priority="216" operator="containsText" text="Stop">
      <formula>NOT(ISERROR(SEARCH("Stop",F178)))</formula>
    </cfRule>
    <cfRule type="containsText" dxfId="272" priority="217" operator="containsText" text="Start">
      <formula>NOT(ISERROR(SEARCH("Start",F178)))</formula>
    </cfRule>
    <cfRule type="containsText" dxfId="271" priority="219" operator="containsText" text="Exceeds">
      <formula>NOT(ISERROR(SEARCH("Exceeds",F178)))</formula>
    </cfRule>
    <cfRule type="containsText" dxfId="270" priority="220" operator="containsText" text="Meets">
      <formula>NOT(ISERROR(SEARCH("Meets",F178)))</formula>
    </cfRule>
  </conditionalFormatting>
  <conditionalFormatting sqref="G29">
    <cfRule type="containsText" dxfId="269" priority="385" operator="containsText" text="Exceeds">
      <formula>NOT(ISERROR(SEARCH("Exceeds",G29)))</formula>
    </cfRule>
    <cfRule type="containsText" dxfId="268" priority="387" operator="containsText" text="Under">
      <formula>NOT(ISERROR(SEARCH("Under",G29)))</formula>
    </cfRule>
    <cfRule type="containsText" dxfId="267" priority="383" operator="containsText" text="Start">
      <formula>NOT(ISERROR(SEARCH("Start",G29)))</formula>
    </cfRule>
    <cfRule type="containsText" dxfId="266" priority="382" operator="containsText" text="Stop">
      <formula>NOT(ISERROR(SEARCH("Stop",G29)))</formula>
    </cfRule>
    <cfRule type="containsText" dxfId="265" priority="381" operator="containsText" text="Continue">
      <formula>NOT(ISERROR(SEARCH("Continue",G29)))</formula>
    </cfRule>
    <cfRule type="containsText" dxfId="264" priority="386" operator="containsText" text="Meets">
      <formula>NOT(ISERROR(SEARCH("Meets",G29)))</formula>
    </cfRule>
    <cfRule type="containsText" dxfId="263" priority="384" operator="containsText" text="N/A">
      <formula>NOT(ISERROR(SEARCH("N/A",G29)))</formula>
    </cfRule>
  </conditionalFormatting>
  <conditionalFormatting sqref="G31">
    <cfRule type="containsText" dxfId="262" priority="34" operator="containsText" text="Meets">
      <formula>NOT(ISERROR(SEARCH("Meets",G31)))</formula>
    </cfRule>
    <cfRule type="containsText" dxfId="261" priority="33" operator="containsText" text="Exceeds">
      <formula>NOT(ISERROR(SEARCH("Exceeds",G31)))</formula>
    </cfRule>
    <cfRule type="containsText" dxfId="260" priority="31" operator="containsText" text="Start">
      <formula>NOT(ISERROR(SEARCH("Start",G31)))</formula>
    </cfRule>
    <cfRule type="containsText" dxfId="259" priority="30" operator="containsText" text="Stop">
      <formula>NOT(ISERROR(SEARCH("Stop",G31)))</formula>
    </cfRule>
    <cfRule type="containsText" dxfId="258" priority="29" operator="containsText" text="Continue">
      <formula>NOT(ISERROR(SEARCH("Continue",G31)))</formula>
    </cfRule>
    <cfRule type="containsText" dxfId="257" priority="35" operator="containsText" text="Under">
      <formula>NOT(ISERROR(SEARCH("Under",G31)))</formula>
    </cfRule>
    <cfRule type="containsText" dxfId="256" priority="32" operator="containsText" text="N/A">
      <formula>NOT(ISERROR(SEARCH("N/A",G31)))</formula>
    </cfRule>
  </conditionalFormatting>
  <conditionalFormatting sqref="G35">
    <cfRule type="containsText" dxfId="255" priority="97" operator="containsText" text="Exceeds">
      <formula>NOT(ISERROR(SEARCH("Exceeds",G35)))</formula>
    </cfRule>
    <cfRule type="containsText" dxfId="254" priority="98" operator="containsText" text="Meets">
      <formula>NOT(ISERROR(SEARCH("Meets",G35)))</formula>
    </cfRule>
    <cfRule type="containsText" dxfId="253" priority="99" operator="containsText" text="Under">
      <formula>NOT(ISERROR(SEARCH("Under",G35)))</formula>
    </cfRule>
    <cfRule type="containsText" dxfId="252" priority="94" operator="containsText" text="Stop">
      <formula>NOT(ISERROR(SEARCH("Stop",G35)))</formula>
    </cfRule>
    <cfRule type="containsText" dxfId="251" priority="93" operator="containsText" text="Continue">
      <formula>NOT(ISERROR(SEARCH("Continue",G35)))</formula>
    </cfRule>
    <cfRule type="containsText" dxfId="250" priority="96" operator="containsText" text="N/A">
      <formula>NOT(ISERROR(SEARCH("N/A",G35)))</formula>
    </cfRule>
    <cfRule type="containsText" dxfId="249"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{DEA1465A-0919-47A4-93F4-3AEB74BCA9BD}</x14:id>
        </ext>
      </extLst>
    </cfRule>
  </conditionalFormatting>
  <conditionalFormatting sqref="G37">
    <cfRule type="containsText" dxfId="248" priority="25" operator="containsText" text="N/A">
      <formula>NOT(ISERROR(SEARCH("N/A",G37)))</formula>
    </cfRule>
    <cfRule type="containsText" dxfId="247" priority="26" operator="containsText" text="Exceeds">
      <formula>NOT(ISERROR(SEARCH("Exceeds",G37)))</formula>
    </cfRule>
    <cfRule type="containsText" dxfId="246" priority="27" operator="containsText" text="Meets">
      <formula>NOT(ISERROR(SEARCH("Meets",G37)))</formula>
    </cfRule>
    <cfRule type="containsText" dxfId="245" priority="28" operator="containsText" text="Under">
      <formula>NOT(ISERROR(SEARCH("Under",G37)))</formula>
    </cfRule>
    <cfRule type="containsText" dxfId="244" priority="22" operator="containsText" text="Continue">
      <formula>NOT(ISERROR(SEARCH("Continue",G37)))</formula>
    </cfRule>
    <cfRule type="containsText" dxfId="243" priority="23" operator="containsText" text="Stop">
      <formula>NOT(ISERROR(SEARCH("Stop",G37)))</formula>
    </cfRule>
    <cfRule type="containsText" dxfId="242" priority="24" operator="containsText" text="Start">
      <formula>NOT(ISERROR(SEARCH("Start",G37)))</formula>
    </cfRule>
  </conditionalFormatting>
  <conditionalFormatting sqref="G41">
    <cfRule type="containsText" dxfId="241" priority="85" operator="containsText" text="Continue">
      <formula>NOT(ISERROR(SEARCH("Continue",G41)))</formula>
    </cfRule>
    <cfRule type="containsText" dxfId="240" priority="86" operator="containsText" text="Stop">
      <formula>NOT(ISERROR(SEARCH("Stop",G41)))</formula>
    </cfRule>
    <cfRule type="containsText" dxfId="239" priority="87" operator="containsText" text="Start">
      <formula>NOT(ISERROR(SEARCH("Start",G41)))</formula>
    </cfRule>
    <cfRule type="containsText" dxfId="238" priority="88" operator="containsText" text="N/A">
      <formula>NOT(ISERROR(SEARCH("N/A",G41)))</formula>
    </cfRule>
    <cfRule type="containsText" dxfId="237" priority="89" operator="containsText" text="Exceeds">
      <formula>NOT(ISERROR(SEARCH("Exceeds",G41)))</formula>
    </cfRule>
    <cfRule type="containsText" dxfId="236" priority="90" operator="containsText" text="Meets">
      <formula>NOT(ISERROR(SEARCH("Meets",G41)))</formula>
    </cfRule>
    <cfRule type="containsText" dxfId="235"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{D5685C30-6CAF-474E-B0C4-C404D32138FC}</x14:id>
        </ext>
      </extLst>
    </cfRule>
  </conditionalFormatting>
  <conditionalFormatting sqref="G43">
    <cfRule type="containsText" dxfId="234" priority="17" operator="containsText" text="Start">
      <formula>NOT(ISERROR(SEARCH("Start",G43)))</formula>
    </cfRule>
    <cfRule type="containsText" dxfId="233" priority="16" operator="containsText" text="Stop">
      <formula>NOT(ISERROR(SEARCH("Stop",G43)))</formula>
    </cfRule>
    <cfRule type="containsText" dxfId="232" priority="20" operator="containsText" text="Meets">
      <formula>NOT(ISERROR(SEARCH("Meets",G43)))</formula>
    </cfRule>
    <cfRule type="containsText" dxfId="231" priority="15" operator="containsText" text="Continue">
      <formula>NOT(ISERROR(SEARCH("Continue",G43)))</formula>
    </cfRule>
    <cfRule type="containsText" dxfId="230" priority="19" operator="containsText" text="Exceeds">
      <formula>NOT(ISERROR(SEARCH("Exceeds",G43)))</formula>
    </cfRule>
    <cfRule type="containsText" dxfId="229" priority="21" operator="containsText" text="Under">
      <formula>NOT(ISERROR(SEARCH("Under",G43)))</formula>
    </cfRule>
    <cfRule type="containsText" dxfId="228" priority="18" operator="containsText" text="N/A">
      <formula>NOT(ISERROR(SEARCH("N/A",G43)))</formula>
    </cfRule>
  </conditionalFormatting>
  <conditionalFormatting sqref="G47">
    <cfRule type="containsText" dxfId="227" priority="78" operator="containsText" text="Stop">
      <formula>NOT(ISERROR(SEARCH("Stop",G47)))</formula>
    </cfRule>
    <cfRule type="containsText" dxfId="226" priority="77" operator="containsText" text="Continue">
      <formula>NOT(ISERROR(SEARCH("Continue",G47)))</formula>
    </cfRule>
    <cfRule type="containsText" dxfId="225" priority="79" operator="containsText" text="Start">
      <formula>NOT(ISERROR(SEARCH("Start",G47)))</formula>
    </cfRule>
    <cfRule type="containsText" dxfId="224" priority="80" operator="containsText" text="N/A">
      <formula>NOT(ISERROR(SEARCH("N/A",G47)))</formula>
    </cfRule>
    <cfRule type="containsText" dxfId="223" priority="81" operator="containsText" text="Exceeds">
      <formula>NOT(ISERROR(SEARCH("Exceeds",G47)))</formula>
    </cfRule>
    <cfRule type="containsText" dxfId="222" priority="82" operator="containsText" text="Meets">
      <formula>NOT(ISERROR(SEARCH("Meets",G47)))</formula>
    </cfRule>
    <cfRule type="containsText" dxfId="221"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{296EFAA1-4454-4B5A-AEE7-2E0714B8E78C}</x14:id>
        </ext>
      </extLst>
    </cfRule>
  </conditionalFormatting>
  <conditionalFormatting sqref="G49">
    <cfRule type="containsText" dxfId="220" priority="14" operator="containsText" text="Under">
      <formula>NOT(ISERROR(SEARCH("Under",G49)))</formula>
    </cfRule>
    <cfRule type="containsText" dxfId="219" priority="13" operator="containsText" text="Meets">
      <formula>NOT(ISERROR(SEARCH("Meets",G49)))</formula>
    </cfRule>
    <cfRule type="containsText" dxfId="218" priority="12" operator="containsText" text="Exceeds">
      <formula>NOT(ISERROR(SEARCH("Exceeds",G49)))</formula>
    </cfRule>
    <cfRule type="containsText" dxfId="217" priority="11" operator="containsText" text="N/A">
      <formula>NOT(ISERROR(SEARCH("N/A",G49)))</formula>
    </cfRule>
    <cfRule type="containsText" dxfId="216" priority="10" operator="containsText" text="Start">
      <formula>NOT(ISERROR(SEARCH("Start",G49)))</formula>
    </cfRule>
    <cfRule type="containsText" dxfId="215" priority="9" operator="containsText" text="Stop">
      <formula>NOT(ISERROR(SEARCH("Stop",G49)))</formula>
    </cfRule>
    <cfRule type="containsText" dxfId="214" priority="8" operator="containsText" text="Continue">
      <formula>NOT(ISERROR(SEARCH("Continue",G49)))</formula>
    </cfRule>
  </conditionalFormatting>
  <conditionalFormatting sqref="G53">
    <cfRule type="containsText" dxfId="213" priority="73" operator="containsText" text="Exceeds">
      <formula>NOT(ISERROR(SEARCH("Exceeds",G53)))</formula>
    </cfRule>
    <cfRule type="containsText" dxfId="212" priority="69" operator="containsText" text="Continue">
      <formula>NOT(ISERROR(SEARCH("Continue",G53)))</formula>
    </cfRule>
    <cfRule type="containsText" dxfId="211" priority="74" operator="containsText" text="Meets">
      <formula>NOT(ISERROR(SEARCH("Meets",G53)))</formula>
    </cfRule>
    <cfRule type="containsText" dxfId="210" priority="71" operator="containsText" text="Start">
      <formula>NOT(ISERROR(SEARCH("Start",G53)))</formula>
    </cfRule>
    <cfRule type="containsText" dxfId="209" priority="72" operator="containsText" text="N/A">
      <formula>NOT(ISERROR(SEARCH("N/A",G53)))</formula>
    </cfRule>
    <cfRule type="containsText" dxfId="208" priority="75" operator="containsText" text="Under">
      <formula>NOT(ISERROR(SEARCH("Under",G53)))</formula>
    </cfRule>
    <cfRule type="containsText" dxfId="207"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{580EBB17-95A2-4207-98F0-2CD8141C8500}</x14:id>
        </ext>
      </extLst>
    </cfRule>
  </conditionalFormatting>
  <conditionalFormatting sqref="G55">
    <cfRule type="containsText" dxfId="206" priority="7" operator="containsText" text="Under">
      <formula>NOT(ISERROR(SEARCH("Under",G55)))</formula>
    </cfRule>
    <cfRule type="containsText" dxfId="205" priority="1" operator="containsText" text="Continue">
      <formula>NOT(ISERROR(SEARCH("Continue",G55)))</formula>
    </cfRule>
    <cfRule type="containsText" dxfId="204" priority="2" operator="containsText" text="Stop">
      <formula>NOT(ISERROR(SEARCH("Stop",G55)))</formula>
    </cfRule>
    <cfRule type="containsText" dxfId="203" priority="3" operator="containsText" text="Start">
      <formula>NOT(ISERROR(SEARCH("Start",G55)))</formula>
    </cfRule>
    <cfRule type="containsText" dxfId="202" priority="4" operator="containsText" text="N/A">
      <formula>NOT(ISERROR(SEARCH("N/A",G55)))</formula>
    </cfRule>
    <cfRule type="containsText" dxfId="201" priority="5" operator="containsText" text="Exceeds">
      <formula>NOT(ISERROR(SEARCH("Exceeds",G55)))</formula>
    </cfRule>
    <cfRule type="containsText" dxfId="200" priority="6" operator="containsText" text="Meets">
      <formula>NOT(ISERROR(SEARCH("Meets",G55)))</formula>
    </cfRule>
  </conditionalFormatting>
  <conditionalFormatting sqref="G59">
    <cfRule type="containsText" dxfId="199" priority="67" operator="containsText" text="Under">
      <formula>NOT(ISERROR(SEARCH("Under",G59)))</formula>
    </cfRule>
    <cfRule type="containsText" dxfId="198" priority="66" operator="containsText" text="Meets">
      <formula>NOT(ISERROR(SEARCH("Meets",G59)))</formula>
    </cfRule>
    <cfRule type="containsText" dxfId="197" priority="65" operator="containsText" text="Exceeds">
      <formula>NOT(ISERROR(SEARCH("Exceeds",G59)))</formula>
    </cfRule>
    <cfRule type="containsText" dxfId="196" priority="61" operator="containsText" text="Continue">
      <formula>NOT(ISERROR(SEARCH("Continue",G59)))</formula>
    </cfRule>
    <cfRule type="containsText" dxfId="195" priority="62" operator="containsText" text="Stop">
      <formula>NOT(ISERROR(SEARCH("Stop",G59)))</formula>
    </cfRule>
    <cfRule type="containsText" dxfId="194" priority="63" operator="containsText" text="Start">
      <formula>NOT(ISERROR(SEARCH("Start",G59)))</formula>
    </cfRule>
    <cfRule type="containsText" dxfId="193"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{B2C5DEFD-3499-468B-8348-3F23609AD677}</x14:id>
        </ext>
      </extLst>
    </cfRule>
  </conditionalFormatting>
  <conditionalFormatting sqref="G61">
    <cfRule type="containsText" dxfId="192" priority="41" operator="containsText" text="Exceeds">
      <formula>NOT(ISERROR(SEARCH("Exceeds",G61)))</formula>
    </cfRule>
    <cfRule type="containsText" dxfId="191" priority="42" operator="containsText" text="Meets">
      <formula>NOT(ISERROR(SEARCH("Meets",G61)))</formula>
    </cfRule>
    <cfRule type="containsText" dxfId="190" priority="43" operator="containsText" text="Under">
      <formula>NOT(ISERROR(SEARCH("Under",G61)))</formula>
    </cfRule>
    <cfRule type="containsText" dxfId="189" priority="40" operator="containsText" text="N/A">
      <formula>NOT(ISERROR(SEARCH("N/A",G61)))</formula>
    </cfRule>
    <cfRule type="containsText" dxfId="188" priority="39" operator="containsText" text="Start">
      <formula>NOT(ISERROR(SEARCH("Start",G61)))</formula>
    </cfRule>
    <cfRule type="containsText" dxfId="187" priority="38" operator="containsText" text="Stop">
      <formula>NOT(ISERROR(SEARCH("Stop",G61)))</formula>
    </cfRule>
    <cfRule type="containsText" dxfId="186"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{90E8E824-5190-40DF-8112-52EE8C0EF05D}</x14:id>
        </ext>
      </extLst>
    </cfRule>
  </conditionalFormatting>
  <conditionalFormatting sqref="G65">
    <cfRule type="containsText" dxfId="185" priority="59" operator="containsText" text="Under">
      <formula>NOT(ISERROR(SEARCH("Under",G65)))</formula>
    </cfRule>
    <cfRule type="containsText" dxfId="184" priority="57" operator="containsText" text="Exceeds">
      <formula>NOT(ISERROR(SEARCH("Exceeds",G65)))</formula>
    </cfRule>
    <cfRule type="containsText" dxfId="183" priority="56" operator="containsText" text="N/A">
      <formula>NOT(ISERROR(SEARCH("N/A",G65)))</formula>
    </cfRule>
    <cfRule type="containsText" dxfId="182" priority="53" operator="containsText" text="Continue">
      <formula>NOT(ISERROR(SEARCH("Continue",G65)))</formula>
    </cfRule>
    <cfRule type="containsText" dxfId="181" priority="54" operator="containsText" text="Stop">
      <formula>NOT(ISERROR(SEARCH("Stop",G65)))</formula>
    </cfRule>
    <cfRule type="containsText" dxfId="180" priority="58" operator="containsText" text="Meets">
      <formula>NOT(ISERROR(SEARCH("Meets",G65)))</formula>
    </cfRule>
    <cfRule type="containsText" dxfId="179"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{73E27F4C-0DAA-43DD-8D3A-5E56F1BAD5AF}</x14:id>
        </ext>
      </extLst>
    </cfRule>
  </conditionalFormatting>
  <conditionalFormatting sqref="G67">
    <cfRule type="containsText" dxfId="178" priority="45" operator="containsText" text="Continue">
      <formula>NOT(ISERROR(SEARCH("Continue",G67)))</formula>
    </cfRule>
    <cfRule type="containsText" dxfId="177" priority="47" operator="containsText" text="Start">
      <formula>NOT(ISERROR(SEARCH("Start",G67)))</formula>
    </cfRule>
    <cfRule type="containsText" dxfId="176" priority="48" operator="containsText" text="N/A">
      <formula>NOT(ISERROR(SEARCH("N/A",G67)))</formula>
    </cfRule>
    <cfRule type="containsText" dxfId="175" priority="49" operator="containsText" text="Exceeds">
      <formula>NOT(ISERROR(SEARCH("Exceeds",G67)))</formula>
    </cfRule>
    <cfRule type="containsText" dxfId="174" priority="50" operator="containsText" text="Meets">
      <formula>NOT(ISERROR(SEARCH("Meets",G67)))</formula>
    </cfRule>
    <cfRule type="containsText" dxfId="173" priority="46" operator="containsText" text="Stop">
      <formula>NOT(ISERROR(SEARCH("Stop",G67)))</formula>
    </cfRule>
    <cfRule type="containsText" dxfId="172"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{4129B556-46F9-4B58-8823-D25619400BF0}</x14:id>
        </ext>
      </extLst>
    </cfRule>
  </conditionalFormatting>
  <conditionalFormatting sqref="G159 G161">
    <cfRule type="containsText" dxfId="171" priority="308" operator="containsText" text="Continue">
      <formula>NOT(ISERROR(SEARCH("Continue",G159)))</formula>
    </cfRule>
    <cfRule type="containsText" dxfId="170" priority="309" operator="containsText" text="Stop">
      <formula>NOT(ISERROR(SEARCH("Stop",G159)))</formula>
    </cfRule>
    <cfRule type="containsText" dxfId="169" priority="310" operator="containsText" text="Start">
      <formula>NOT(ISERROR(SEARCH("Start",G159)))</formula>
    </cfRule>
    <cfRule type="containsText" dxfId="168" priority="311" operator="containsText" text="N/A">
      <formula>NOT(ISERROR(SEARCH("N/A",G159)))</formula>
    </cfRule>
    <cfRule type="containsText" dxfId="167" priority="312" operator="containsText" text="Exceeds">
      <formula>NOT(ISERROR(SEARCH("Exceeds",G159)))</formula>
    </cfRule>
    <cfRule type="containsText" dxfId="166" priority="314" operator="containsText" text="Under">
      <formula>NOT(ISERROR(SEARCH("Under",G159)))</formula>
    </cfRule>
    <cfRule type="containsText" dxfId="165" priority="313" operator="containsText" text="Meets">
      <formula>NOT(ISERROR(SEARCH("Meets",G159)))</formula>
    </cfRule>
  </conditionalFormatting>
  <conditionalFormatting sqref="G164 G166">
    <cfRule type="containsText" dxfId="164" priority="291" operator="containsText" text="Under">
      <formula>NOT(ISERROR(SEARCH("Under",G164)))</formula>
    </cfRule>
    <cfRule type="containsText" dxfId="163" priority="285" operator="containsText" text="Continue">
      <formula>NOT(ISERROR(SEARCH("Continue",G164)))</formula>
    </cfRule>
    <cfRule type="containsText" dxfId="162" priority="286" operator="containsText" text="Stop">
      <formula>NOT(ISERROR(SEARCH("Stop",G164)))</formula>
    </cfRule>
    <cfRule type="containsText" dxfId="161" priority="288" operator="containsText" text="N/A">
      <formula>NOT(ISERROR(SEARCH("N/A",G164)))</formula>
    </cfRule>
    <cfRule type="containsText" dxfId="160" priority="289" operator="containsText" text="Exceeds">
      <formula>NOT(ISERROR(SEARCH("Exceeds",G164)))</formula>
    </cfRule>
    <cfRule type="containsText" dxfId="159" priority="290" operator="containsText" text="Meets">
      <formula>NOT(ISERROR(SEARCH("Meets",G164)))</formula>
    </cfRule>
    <cfRule type="containsText" dxfId="158" priority="287" operator="containsText" text="Start">
      <formula>NOT(ISERROR(SEARCH("Start",G164)))</formula>
    </cfRule>
  </conditionalFormatting>
  <conditionalFormatting sqref="G169 G171">
    <cfRule type="containsText" dxfId="157" priority="258" operator="containsText" text="N/A">
      <formula>NOT(ISERROR(SEARCH("N/A",G169)))</formula>
    </cfRule>
    <cfRule type="containsText" dxfId="156" priority="259" operator="containsText" text="Exceeds">
      <formula>NOT(ISERROR(SEARCH("Exceeds",G169)))</formula>
    </cfRule>
    <cfRule type="containsText" dxfId="155" priority="260" operator="containsText" text="Meets">
      <formula>NOT(ISERROR(SEARCH("Meets",G169)))</formula>
    </cfRule>
    <cfRule type="containsText" dxfId="154" priority="261" operator="containsText" text="Under">
      <formula>NOT(ISERROR(SEARCH("Under",G169)))</formula>
    </cfRule>
    <cfRule type="containsText" dxfId="153" priority="256" operator="containsText" text="Stop">
      <formula>NOT(ISERROR(SEARCH("Stop",G169)))</formula>
    </cfRule>
    <cfRule type="containsText" dxfId="152" priority="257" operator="containsText" text="Start">
      <formula>NOT(ISERROR(SEARCH("Start",G169)))</formula>
    </cfRule>
    <cfRule type="containsText" dxfId="151" priority="255" operator="containsText" text="Continue">
      <formula>NOT(ISERROR(SEARCH("Continue",G169)))</formula>
    </cfRule>
  </conditionalFormatting>
  <conditionalFormatting sqref="J29">
    <cfRule type="containsText" dxfId="150" priority="374" operator="containsText" text="Continue">
      <formula>NOT(ISERROR(SEARCH("Continue",J29)))</formula>
    </cfRule>
    <cfRule type="containsText" dxfId="149" priority="379" operator="containsText" text="Meets">
      <formula>NOT(ISERROR(SEARCH("Meets",J29)))</formula>
    </cfRule>
    <cfRule type="containsText" dxfId="148" priority="380" operator="containsText" text="Under">
      <formula>NOT(ISERROR(SEARCH("Under",J29)))</formula>
    </cfRule>
    <cfRule type="containsText" dxfId="147" priority="378" operator="containsText" text="Exceeds">
      <formula>NOT(ISERROR(SEARCH("Exceeds",J29)))</formula>
    </cfRule>
    <cfRule type="containsText" dxfId="146" priority="377" operator="containsText" text="N/A">
      <formula>NOT(ISERROR(SEARCH("N/A",J29)))</formula>
    </cfRule>
    <cfRule type="containsText" dxfId="145" priority="376" operator="containsText" text="Start">
      <formula>NOT(ISERROR(SEARCH("Start",J29)))</formula>
    </cfRule>
    <cfRule type="containsText" dxfId="144" priority="375" operator="containsText" text="Stop">
      <formula>NOT(ISERROR(SEARCH("Stop",J29)))</formula>
    </cfRule>
  </conditionalFormatting>
  <conditionalFormatting sqref="J31">
    <cfRule type="containsText" dxfId="143" priority="208" operator="containsText" text="Stop">
      <formula>NOT(ISERROR(SEARCH("Stop",J31)))</formula>
    </cfRule>
    <cfRule type="containsText" dxfId="142" priority="212" operator="containsText" text="Meets">
      <formula>NOT(ISERROR(SEARCH("Meets",J31)))</formula>
    </cfRule>
    <cfRule type="containsText" dxfId="141" priority="211" operator="containsText" text="Exceeds">
      <formula>NOT(ISERROR(SEARCH("Exceeds",J31)))</formula>
    </cfRule>
    <cfRule type="containsText" dxfId="140" priority="210" operator="containsText" text="N/A">
      <formula>NOT(ISERROR(SEARCH("N/A",J31)))</formula>
    </cfRule>
    <cfRule type="containsText" dxfId="139" priority="209" operator="containsText" text="Start">
      <formula>NOT(ISERROR(SEARCH("Start",J31)))</formula>
    </cfRule>
    <cfRule type="containsText" dxfId="138" priority="207" operator="containsText" text="Continue">
      <formula>NOT(ISERROR(SEARCH("Continue",J31)))</formula>
    </cfRule>
    <cfRule type="containsText" dxfId="137" priority="213" operator="containsText" text="Under">
      <formula>NOT(ISERROR(SEARCH("Under",J31)))</formula>
    </cfRule>
  </conditionalFormatting>
  <conditionalFormatting sqref="J35">
    <cfRule type="containsText" dxfId="136" priority="205" operator="containsText" text="Under">
      <formula>NOT(ISERROR(SEARCH("Under",J35)))</formula>
    </cfRule>
    <cfRule type="containsText" dxfId="135" priority="199" operator="containsText" text="Continue">
      <formula>NOT(ISERROR(SEARCH("Continue",J35)))</formula>
    </cfRule>
    <cfRule type="containsText" dxfId="134" priority="200" operator="containsText" text="Stop">
      <formula>NOT(ISERROR(SEARCH("Stop",J35)))</formula>
    </cfRule>
    <cfRule type="containsText" dxfId="133" priority="201" operator="containsText" text="Start">
      <formula>NOT(ISERROR(SEARCH("Start",J35)))</formula>
    </cfRule>
    <cfRule type="containsText" dxfId="132" priority="204" operator="containsText" text="Meets">
      <formula>NOT(ISERROR(SEARCH("Meets",J35)))</formula>
    </cfRule>
    <cfRule type="containsText" dxfId="131" priority="203" operator="containsText" text="Exceeds">
      <formula>NOT(ISERROR(SEARCH("Exceeds",J35)))</formula>
    </cfRule>
    <cfRule type="containsText" dxfId="130" priority="202" operator="containsText" text="N/A">
      <formula>NOT(ISERROR(SEARCH("N/A",J35)))</formula>
    </cfRule>
  </conditionalFormatting>
  <conditionalFormatting sqref="J37">
    <cfRule type="containsText" dxfId="129" priority="195" operator="containsText" text="N/A">
      <formula>NOT(ISERROR(SEARCH("N/A",J37)))</formula>
    </cfRule>
    <cfRule type="containsText" dxfId="128" priority="196" operator="containsText" text="Exceeds">
      <formula>NOT(ISERROR(SEARCH("Exceeds",J37)))</formula>
    </cfRule>
    <cfRule type="containsText" dxfId="127" priority="194" operator="containsText" text="Start">
      <formula>NOT(ISERROR(SEARCH("Start",J37)))</formula>
    </cfRule>
    <cfRule type="containsText" dxfId="126" priority="193" operator="containsText" text="Stop">
      <formula>NOT(ISERROR(SEARCH("Stop",J37)))</formula>
    </cfRule>
    <cfRule type="containsText" dxfId="125" priority="192" operator="containsText" text="Continue">
      <formula>NOT(ISERROR(SEARCH("Continue",J37)))</formula>
    </cfRule>
    <cfRule type="containsText" dxfId="124" priority="197" operator="containsText" text="Meets">
      <formula>NOT(ISERROR(SEARCH("Meets",J37)))</formula>
    </cfRule>
    <cfRule type="containsText" dxfId="123" priority="198" operator="containsText" text="Under">
      <formula>NOT(ISERROR(SEARCH("Under",J37)))</formula>
    </cfRule>
  </conditionalFormatting>
  <conditionalFormatting sqref="J41">
    <cfRule type="containsText" dxfId="122" priority="189" operator="containsText" text="Meets">
      <formula>NOT(ISERROR(SEARCH("Meets",J41)))</formula>
    </cfRule>
    <cfRule type="containsText" dxfId="121" priority="186" operator="containsText" text="Start">
      <formula>NOT(ISERROR(SEARCH("Start",J41)))</formula>
    </cfRule>
    <cfRule type="containsText" dxfId="120" priority="187" operator="containsText" text="N/A">
      <formula>NOT(ISERROR(SEARCH("N/A",J41)))</formula>
    </cfRule>
    <cfRule type="containsText" dxfId="119" priority="188" operator="containsText" text="Exceeds">
      <formula>NOT(ISERROR(SEARCH("Exceeds",J41)))</formula>
    </cfRule>
    <cfRule type="containsText" dxfId="118" priority="190" operator="containsText" text="Under">
      <formula>NOT(ISERROR(SEARCH("Under",J41)))</formula>
    </cfRule>
    <cfRule type="containsText" dxfId="117" priority="184" operator="containsText" text="Continue">
      <formula>NOT(ISERROR(SEARCH("Continue",J41)))</formula>
    </cfRule>
    <cfRule type="containsText" dxfId="116" priority="185" operator="containsText" text="Stop">
      <formula>NOT(ISERROR(SEARCH("Stop",J41)))</formula>
    </cfRule>
  </conditionalFormatting>
  <conditionalFormatting sqref="J43">
    <cfRule type="containsText" dxfId="115" priority="179" operator="containsText" text="Start">
      <formula>NOT(ISERROR(SEARCH("Start",J43)))</formula>
    </cfRule>
    <cfRule type="containsText" dxfId="114" priority="182" operator="containsText" text="Meets">
      <formula>NOT(ISERROR(SEARCH("Meets",J43)))</formula>
    </cfRule>
    <cfRule type="containsText" dxfId="113" priority="177" operator="containsText" text="Continue">
      <formula>NOT(ISERROR(SEARCH("Continue",J43)))</formula>
    </cfRule>
    <cfRule type="containsText" dxfId="112" priority="180" operator="containsText" text="N/A">
      <formula>NOT(ISERROR(SEARCH("N/A",J43)))</formula>
    </cfRule>
    <cfRule type="containsText" dxfId="111" priority="183" operator="containsText" text="Under">
      <formula>NOT(ISERROR(SEARCH("Under",J43)))</formula>
    </cfRule>
    <cfRule type="containsText" dxfId="110" priority="181" operator="containsText" text="Exceeds">
      <formula>NOT(ISERROR(SEARCH("Exceeds",J43)))</formula>
    </cfRule>
    <cfRule type="containsText" dxfId="109" priority="178" operator="containsText" text="Stop">
      <formula>NOT(ISERROR(SEARCH("Stop",J43)))</formula>
    </cfRule>
  </conditionalFormatting>
  <conditionalFormatting sqref="J47">
    <cfRule type="containsText" dxfId="108" priority="173" operator="containsText" text="Exceeds">
      <formula>NOT(ISERROR(SEARCH("Exceeds",J47)))</formula>
    </cfRule>
    <cfRule type="containsText" dxfId="107" priority="169" operator="containsText" text="Continue">
      <formula>NOT(ISERROR(SEARCH("Continue",J47)))</formula>
    </cfRule>
    <cfRule type="containsText" dxfId="106" priority="170" operator="containsText" text="Stop">
      <formula>NOT(ISERROR(SEARCH("Stop",J47)))</formula>
    </cfRule>
    <cfRule type="containsText" dxfId="105" priority="172" operator="containsText" text="N/A">
      <formula>NOT(ISERROR(SEARCH("N/A",J47)))</formula>
    </cfRule>
    <cfRule type="containsText" dxfId="104" priority="174" operator="containsText" text="Meets">
      <formula>NOT(ISERROR(SEARCH("Meets",J47)))</formula>
    </cfRule>
    <cfRule type="containsText" dxfId="103" priority="175" operator="containsText" text="Under">
      <formula>NOT(ISERROR(SEARCH("Under",J47)))</formula>
    </cfRule>
    <cfRule type="containsText" dxfId="102" priority="171" operator="containsText" text="Start">
      <formula>NOT(ISERROR(SEARCH("Start",J47)))</formula>
    </cfRule>
  </conditionalFormatting>
  <conditionalFormatting sqref="J49">
    <cfRule type="containsText" dxfId="101" priority="168" operator="containsText" text="Under">
      <formula>NOT(ISERROR(SEARCH("Under",J49)))</formula>
    </cfRule>
    <cfRule type="containsText" dxfId="100" priority="163" operator="containsText" text="Stop">
      <formula>NOT(ISERROR(SEARCH("Stop",J49)))</formula>
    </cfRule>
    <cfRule type="containsText" dxfId="99" priority="167" operator="containsText" text="Meets">
      <formula>NOT(ISERROR(SEARCH("Meets",J49)))</formula>
    </cfRule>
    <cfRule type="containsText" dxfId="98" priority="164" operator="containsText" text="Start">
      <formula>NOT(ISERROR(SEARCH("Start",J49)))</formula>
    </cfRule>
    <cfRule type="containsText" dxfId="97" priority="162" operator="containsText" text="Continue">
      <formula>NOT(ISERROR(SEARCH("Continue",J49)))</formula>
    </cfRule>
    <cfRule type="containsText" dxfId="96" priority="165" operator="containsText" text="N/A">
      <formula>NOT(ISERROR(SEARCH("N/A",J49)))</formula>
    </cfRule>
    <cfRule type="containsText" dxfId="95" priority="166" operator="containsText" text="Exceeds">
      <formula>NOT(ISERROR(SEARCH("Exceeds",J49)))</formula>
    </cfRule>
  </conditionalFormatting>
  <conditionalFormatting sqref="J53">
    <cfRule type="containsText" dxfId="94" priority="154" operator="containsText" text="Continue">
      <formula>NOT(ISERROR(SEARCH("Continue",J53)))</formula>
    </cfRule>
    <cfRule type="containsText" dxfId="93" priority="155" operator="containsText" text="Stop">
      <formula>NOT(ISERROR(SEARCH("Stop",J53)))</formula>
    </cfRule>
    <cfRule type="containsText" dxfId="92" priority="156" operator="containsText" text="Start">
      <formula>NOT(ISERROR(SEARCH("Start",J53)))</formula>
    </cfRule>
    <cfRule type="containsText" dxfId="91" priority="157" operator="containsText" text="N/A">
      <formula>NOT(ISERROR(SEARCH("N/A",J53)))</formula>
    </cfRule>
    <cfRule type="containsText" dxfId="90" priority="158" operator="containsText" text="Exceeds">
      <formula>NOT(ISERROR(SEARCH("Exceeds",J53)))</formula>
    </cfRule>
    <cfRule type="containsText" dxfId="89" priority="159" operator="containsText" text="Meets">
      <formula>NOT(ISERROR(SEARCH("Meets",J53)))</formula>
    </cfRule>
    <cfRule type="containsText" dxfId="88" priority="160" operator="containsText" text="Under">
      <formula>NOT(ISERROR(SEARCH("Under",J53)))</formula>
    </cfRule>
  </conditionalFormatting>
  <conditionalFormatting sqref="J55">
    <cfRule type="containsText" dxfId="87" priority="147" operator="containsText" text="Continue">
      <formula>NOT(ISERROR(SEARCH("Continue",J55)))</formula>
    </cfRule>
    <cfRule type="containsText" dxfId="86" priority="151" operator="containsText" text="Exceeds">
      <formula>NOT(ISERROR(SEARCH("Exceeds",J55)))</formula>
    </cfRule>
    <cfRule type="containsText" dxfId="85" priority="152" operator="containsText" text="Meets">
      <formula>NOT(ISERROR(SEARCH("Meets",J55)))</formula>
    </cfRule>
    <cfRule type="containsText" dxfId="84" priority="153" operator="containsText" text="Under">
      <formula>NOT(ISERROR(SEARCH("Under",J55)))</formula>
    </cfRule>
    <cfRule type="containsText" dxfId="83" priority="148" operator="containsText" text="Stop">
      <formula>NOT(ISERROR(SEARCH("Stop",J55)))</formula>
    </cfRule>
    <cfRule type="containsText" dxfId="82" priority="149" operator="containsText" text="Start">
      <formula>NOT(ISERROR(SEARCH("Start",J55)))</formula>
    </cfRule>
    <cfRule type="containsText" dxfId="81" priority="150" operator="containsText" text="N/A">
      <formula>NOT(ISERROR(SEARCH("N/A",J55)))</formula>
    </cfRule>
  </conditionalFormatting>
  <conditionalFormatting sqref="J59">
    <cfRule type="containsText" dxfId="80" priority="139" operator="containsText" text="Continue">
      <formula>NOT(ISERROR(SEARCH("Continue",J59)))</formula>
    </cfRule>
    <cfRule type="containsText" dxfId="79" priority="140" operator="containsText" text="Stop">
      <formula>NOT(ISERROR(SEARCH("Stop",J59)))</formula>
    </cfRule>
    <cfRule type="containsText" dxfId="78" priority="141" operator="containsText" text="Start">
      <formula>NOT(ISERROR(SEARCH("Start",J59)))</formula>
    </cfRule>
    <cfRule type="containsText" dxfId="77" priority="142" operator="containsText" text="N/A">
      <formula>NOT(ISERROR(SEARCH("N/A",J59)))</formula>
    </cfRule>
    <cfRule type="containsText" dxfId="76" priority="143" operator="containsText" text="Exceeds">
      <formula>NOT(ISERROR(SEARCH("Exceeds",J59)))</formula>
    </cfRule>
    <cfRule type="containsText" dxfId="75" priority="144" operator="containsText" text="Meets">
      <formula>NOT(ISERROR(SEARCH("Meets",J59)))</formula>
    </cfRule>
    <cfRule type="containsText" dxfId="74" priority="145" operator="containsText" text="Under">
      <formula>NOT(ISERROR(SEARCH("Under",J59)))</formula>
    </cfRule>
  </conditionalFormatting>
  <conditionalFormatting sqref="J61">
    <cfRule type="containsText" dxfId="73" priority="134" operator="containsText" text="Start">
      <formula>NOT(ISERROR(SEARCH("Start",J61)))</formula>
    </cfRule>
    <cfRule type="containsText" dxfId="72" priority="133" operator="containsText" text="Stop">
      <formula>NOT(ISERROR(SEARCH("Stop",J61)))</formula>
    </cfRule>
    <cfRule type="containsText" dxfId="71" priority="135" operator="containsText" text="N/A">
      <formula>NOT(ISERROR(SEARCH("N/A",J61)))</formula>
    </cfRule>
    <cfRule type="containsText" dxfId="70" priority="132" operator="containsText" text="Continue">
      <formula>NOT(ISERROR(SEARCH("Continue",J61)))</formula>
    </cfRule>
    <cfRule type="containsText" dxfId="69" priority="136" operator="containsText" text="Exceeds">
      <formula>NOT(ISERROR(SEARCH("Exceeds",J61)))</formula>
    </cfRule>
    <cfRule type="containsText" dxfId="68" priority="137" operator="containsText" text="Meets">
      <formula>NOT(ISERROR(SEARCH("Meets",J61)))</formula>
    </cfRule>
    <cfRule type="containsText" dxfId="67" priority="138" operator="containsText" text="Under">
      <formula>NOT(ISERROR(SEARCH("Under",J61)))</formula>
    </cfRule>
  </conditionalFormatting>
  <conditionalFormatting sqref="J65">
    <cfRule type="containsText" dxfId="66" priority="127" operator="containsText" text="N/A">
      <formula>NOT(ISERROR(SEARCH("N/A",J65)))</formula>
    </cfRule>
    <cfRule type="containsText" dxfId="65" priority="126" operator="containsText" text="Start">
      <formula>NOT(ISERROR(SEARCH("Start",J65)))</formula>
    </cfRule>
    <cfRule type="containsText" dxfId="64" priority="125" operator="containsText" text="Stop">
      <formula>NOT(ISERROR(SEARCH("Stop",J65)))</formula>
    </cfRule>
    <cfRule type="containsText" dxfId="63" priority="124" operator="containsText" text="Continue">
      <formula>NOT(ISERROR(SEARCH("Continue",J65)))</formula>
    </cfRule>
    <cfRule type="containsText" dxfId="62" priority="130" operator="containsText" text="Under">
      <formula>NOT(ISERROR(SEARCH("Under",J65)))</formula>
    </cfRule>
    <cfRule type="containsText" dxfId="61" priority="129" operator="containsText" text="Meets">
      <formula>NOT(ISERROR(SEARCH("Meets",J65)))</formula>
    </cfRule>
    <cfRule type="containsText" dxfId="60" priority="128" operator="containsText" text="Exceeds">
      <formula>NOT(ISERROR(SEARCH("Exceeds",J65)))</formula>
    </cfRule>
  </conditionalFormatting>
  <conditionalFormatting sqref="J67">
    <cfRule type="containsText" dxfId="59" priority="121" operator="containsText" text="Exceeds">
      <formula>NOT(ISERROR(SEARCH("Exceeds",J67)))</formula>
    </cfRule>
    <cfRule type="containsText" dxfId="58" priority="120" operator="containsText" text="N/A">
      <formula>NOT(ISERROR(SEARCH("N/A",J67)))</formula>
    </cfRule>
    <cfRule type="containsText" dxfId="57" priority="119" operator="containsText" text="Start">
      <formula>NOT(ISERROR(SEARCH("Start",J67)))</formula>
    </cfRule>
    <cfRule type="containsText" dxfId="56" priority="118" operator="containsText" text="Stop">
      <formula>NOT(ISERROR(SEARCH("Stop",J67)))</formula>
    </cfRule>
    <cfRule type="containsText" dxfId="55" priority="117" operator="containsText" text="Continue">
      <formula>NOT(ISERROR(SEARCH("Continue",J67)))</formula>
    </cfRule>
    <cfRule type="containsText" dxfId="54" priority="123" operator="containsText" text="Under">
      <formula>NOT(ISERROR(SEARCH("Under",J67)))</formula>
    </cfRule>
    <cfRule type="containsText" dxfId="53" priority="122" operator="containsText" text="Meets">
      <formula>NOT(ISERROR(SEARCH("Meets",J67)))</formula>
    </cfRule>
  </conditionalFormatting>
  <conditionalFormatting sqref="J154:J156">
    <cfRule type="containsText" dxfId="52" priority="106" operator="containsText" text="Under">
      <formula>NOT(ISERROR(SEARCH("Under",J154)))</formula>
    </cfRule>
    <cfRule type="containsText" dxfId="51" priority="105" operator="containsText" text="Meets">
      <formula>NOT(ISERROR(SEARCH("Meets",J154)))</formula>
    </cfRule>
    <cfRule type="containsText" dxfId="50" priority="104" operator="containsText" text="Exceeds">
      <formula>NOT(ISERROR(SEARCH("Exceeds",J154)))</formula>
    </cfRule>
    <cfRule type="containsText" dxfId="49" priority="103" operator="containsText" text="N/A">
      <formula>NOT(ISERROR(SEARCH("N/A",J154)))</formula>
    </cfRule>
    <cfRule type="containsText" dxfId="48" priority="102" operator="containsText" text="Start">
      <formula>NOT(ISERROR(SEARCH("Start",J154)))</formula>
    </cfRule>
    <cfRule type="containsText" dxfId="47" priority="101" operator="containsText" text="Stop">
      <formula>NOT(ISERROR(SEARCH("Stop",J154)))</formula>
    </cfRule>
    <cfRule type="containsText" dxfId="46"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{C57DB4B8-EF20-4B04-80F2-17BF74E36D15}</x14:id>
        </ext>
      </extLst>
    </cfRule>
    <cfRule type="dataBar" priority="107">
      <dataBar>
        <cfvo type="num" val="0"/>
        <cfvo type="num" val="1"/>
        <color theme="0" tint="-0.249977111117893"/>
      </dataBar>
      <extLst>
        <ext xmlns:x14="http://schemas.microsoft.com/office/spreadsheetml/2009/9/main" uri="{B025F937-C7B1-47D3-B67F-A62EFF666E3E}">
          <x14:id>{C05B7A71-8C22-4869-A5A7-781193A3DA9E}</x14:id>
        </ext>
      </extLst>
    </cfRule>
  </conditionalFormatting>
  <conditionalFormatting sqref="J159 J164">
    <cfRule type="containsText" dxfId="45" priority="435" operator="containsText" text="Stop">
      <formula>NOT(ISERROR(SEARCH("Stop",J159)))</formula>
    </cfRule>
    <cfRule type="containsText" dxfId="44" priority="437" operator="containsText" text="N/A">
      <formula>NOT(ISERROR(SEARCH("N/A",J159)))</formula>
    </cfRule>
    <cfRule type="containsText" dxfId="43" priority="436" operator="containsText" text="Start">
      <formula>NOT(ISERROR(SEARCH("Start",J159)))</formula>
    </cfRule>
    <cfRule type="containsText" dxfId="42" priority="438" operator="containsText" text="Exceeds">
      <formula>NOT(ISERROR(SEARCH("Exceeds",J159)))</formula>
    </cfRule>
    <cfRule type="containsText" dxfId="41" priority="439" operator="containsText" text="Meets">
      <formula>NOT(ISERROR(SEARCH("Meets",J159)))</formula>
    </cfRule>
    <cfRule type="containsText" dxfId="40" priority="440" operator="containsText" text="Under">
      <formula>NOT(ISERROR(SEARCH("Under",J159)))</formula>
    </cfRule>
    <cfRule type="containsText" dxfId="39" priority="434" operator="containsText" text="Continue">
      <formula>NOT(ISERROR(SEARCH("Continue",J159)))</formula>
    </cfRule>
  </conditionalFormatting>
  <conditionalFormatting sqref="J161">
    <cfRule type="containsText" dxfId="38" priority="306" operator="containsText" text="Meets">
      <formula>NOT(ISERROR(SEARCH("Meets",J161)))</formula>
    </cfRule>
    <cfRule type="containsText" dxfId="37" priority="305" operator="containsText" text="Exceeds">
      <formula>NOT(ISERROR(SEARCH("Exceeds",J161)))</formula>
    </cfRule>
    <cfRule type="containsText" dxfId="36" priority="304" operator="containsText" text="N/A">
      <formula>NOT(ISERROR(SEARCH("N/A",J161)))</formula>
    </cfRule>
    <cfRule type="containsText" dxfId="35" priority="303" operator="containsText" text="Start">
      <formula>NOT(ISERROR(SEARCH("Start",J161)))</formula>
    </cfRule>
    <cfRule type="containsText" dxfId="34" priority="302" operator="containsText" text="Stop">
      <formula>NOT(ISERROR(SEARCH("Stop",J161)))</formula>
    </cfRule>
    <cfRule type="containsText" dxfId="33" priority="301" operator="containsText" text="Continue">
      <formula>NOT(ISERROR(SEARCH("Continue",J161)))</formula>
    </cfRule>
    <cfRule type="containsText" dxfId="32" priority="307" operator="containsText" text="Under">
      <formula>NOT(ISERROR(SEARCH("Under",J161)))</formula>
    </cfRule>
  </conditionalFormatting>
  <conditionalFormatting sqref="J166">
    <cfRule type="containsText" dxfId="31" priority="282" operator="containsText" text="Exceeds">
      <formula>NOT(ISERROR(SEARCH("Exceeds",J166)))</formula>
    </cfRule>
    <cfRule type="containsText" dxfId="30" priority="284" operator="containsText" text="Under">
      <formula>NOT(ISERROR(SEARCH("Under",J166)))</formula>
    </cfRule>
    <cfRule type="containsText" dxfId="29" priority="281" operator="containsText" text="N/A">
      <formula>NOT(ISERROR(SEARCH("N/A",J166)))</formula>
    </cfRule>
    <cfRule type="containsText" dxfId="28" priority="280" operator="containsText" text="Start">
      <formula>NOT(ISERROR(SEARCH("Start",J166)))</formula>
    </cfRule>
    <cfRule type="containsText" dxfId="27" priority="279" operator="containsText" text="Stop">
      <formula>NOT(ISERROR(SEARCH("Stop",J166)))</formula>
    </cfRule>
    <cfRule type="containsText" dxfId="26" priority="278" operator="containsText" text="Continue">
      <formula>NOT(ISERROR(SEARCH("Continue",J166)))</formula>
    </cfRule>
    <cfRule type="containsText" dxfId="25" priority="283" operator="containsText" text="Meets">
      <formula>NOT(ISERROR(SEARCH("Meets",J166)))</formula>
    </cfRule>
  </conditionalFormatting>
  <conditionalFormatting sqref="J169">
    <cfRule type="containsText" dxfId="24" priority="273" operator="containsText" text="Start">
      <formula>NOT(ISERROR(SEARCH("Start",J169)))</formula>
    </cfRule>
    <cfRule type="containsText" dxfId="23" priority="272" operator="containsText" text="Stop">
      <formula>NOT(ISERROR(SEARCH("Stop",J169)))</formula>
    </cfRule>
    <cfRule type="containsText" dxfId="22" priority="276" operator="containsText" text="Meets">
      <formula>NOT(ISERROR(SEARCH("Meets",J169)))</formula>
    </cfRule>
    <cfRule type="containsText" dxfId="21" priority="271" operator="containsText" text="Continue">
      <formula>NOT(ISERROR(SEARCH("Continue",J169)))</formula>
    </cfRule>
    <cfRule type="containsText" dxfId="20" priority="277" operator="containsText" text="Under">
      <formula>NOT(ISERROR(SEARCH("Under",J169)))</formula>
    </cfRule>
    <cfRule type="containsText" dxfId="19" priority="274" operator="containsText" text="N/A">
      <formula>NOT(ISERROR(SEARCH("N/A",J169)))</formula>
    </cfRule>
    <cfRule type="containsText" dxfId="18" priority="275" operator="containsText" text="Exceeds">
      <formula>NOT(ISERROR(SEARCH("Exceeds",J169)))</formula>
    </cfRule>
  </conditionalFormatting>
  <conditionalFormatting sqref="J171">
    <cfRule type="containsText" dxfId="17" priority="248" operator="containsText" text="Continue">
      <formula>NOT(ISERROR(SEARCH("Continue",J171)))</formula>
    </cfRule>
    <cfRule type="containsText" dxfId="16" priority="249" operator="containsText" text="Stop">
      <formula>NOT(ISERROR(SEARCH("Stop",J171)))</formula>
    </cfRule>
    <cfRule type="containsText" dxfId="15" priority="251" operator="containsText" text="N/A">
      <formula>NOT(ISERROR(SEARCH("N/A",J171)))</formula>
    </cfRule>
    <cfRule type="containsText" dxfId="14" priority="252" operator="containsText" text="Exceeds">
      <formula>NOT(ISERROR(SEARCH("Exceeds",J171)))</formula>
    </cfRule>
    <cfRule type="containsText" dxfId="13" priority="250" operator="containsText" text="Start">
      <formula>NOT(ISERROR(SEARCH("Start",J171)))</formula>
    </cfRule>
    <cfRule type="containsText" dxfId="12" priority="253" operator="containsText" text="Meets">
      <formula>NOT(ISERROR(SEARCH("Meets",J171)))</formula>
    </cfRule>
    <cfRule type="containsText" dxfId="11" priority="254" operator="containsText" text="Under">
      <formula>NOT(ISERROR(SEARCH("Under",J171)))</formula>
    </cfRule>
  </conditionalFormatting>
  <conditionalFormatting sqref="M62 M68">
    <cfRule type="containsText" dxfId="10" priority="448" operator="containsText" text="N/A">
      <formula>NOT(ISERROR(SEARCH("N/A",M62)))</formula>
    </cfRule>
    <cfRule type="containsText" dxfId="9" priority="449" operator="containsText" text="Exceeds">
      <formula>NOT(ISERROR(SEARCH("Exceeds",M62)))</formula>
    </cfRule>
    <cfRule type="containsText" dxfId="8" priority="450" operator="containsText" text="Meets">
      <formula>NOT(ISERROR(SEARCH("Meets",M62)))</formula>
    </cfRule>
    <cfRule type="containsText" dxfId="7" priority="451" operator="containsText" text="Under">
      <formula>NOT(ISERROR(SEARCH("Under",M62)))</formula>
    </cfRule>
  </conditionalFormatting>
  <conditionalFormatting sqref="Q14:Q16">
    <cfRule type="containsText" dxfId="6" priority="453" operator="containsText" text="Exceeds">
      <formula>NOT(ISERROR(SEARCH("Exceeds",Q14)))</formula>
    </cfRule>
    <cfRule type="containsText" dxfId="5" priority="454" operator="containsText" text="Meets">
      <formula>NOT(ISERROR(SEARCH("Meets",Q14)))</formula>
    </cfRule>
    <cfRule type="containsText" dxfId="4" priority="455" operator="containsText" text="Under">
      <formula>NOT(ISERROR(SEARCH("Under",Q14)))</formula>
    </cfRule>
    <cfRule type="containsText" dxfId="3" priority="452" operator="containsText" text="N/A">
      <formula>NOT(ISERROR(SEARCH("N/A",Q14)))</formula>
    </cfRule>
  </conditionalFormatting>
  <dataValidations count="8">
    <dataValidation type="list" allowBlank="1" showInputMessage="1" showErrorMessage="1" sqref="L73:L80" xr:uid="{D267C0C4-1431-40E7-8E11-E0280FFBEED1}">
      <formula1>"0, 1, 2, 3, 4, 5, 6, 7, 8, 9, 10"</formula1>
    </dataValidation>
    <dataValidation allowBlank="1" showInputMessage="1" showErrorMessage="1" prompt="Enter Company Name in cell B4._x000a_A legend is in cells I4 through AC4.  The Legend label is in cell G4." sqref="A2:C2" xr:uid="{04113C8E-4CF9-4F3E-9FCA-60BD1F5DAE04}"/>
    <dataValidation allowBlank="1" showInputMessage="1" showErrorMessage="1" prompt="Cells I9 through BL9 contain the day number of the month for the Month represented in the cell block above each date cell and are auto calculated._x000a_Do not modify these cells._x000a_" sqref="A8:C8" xr:uid="{47355A8D-E438-4F4D-92E5-30BBE8E98210}"/>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5345EE5C-144F-401C-A2D9-B516BE16732B}"/>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E305BC6D-A2E8-4234-94D6-5A09BEE76354}"/>
    <dataValidation type="list" allowBlank="1" showInputMessage="1" showErrorMessage="1" sqref="F178:F179" xr:uid="{07243F98-B010-4019-AD00-13F1C513EAC8}">
      <formula1>"Ready for next, Happy for now"</formula1>
    </dataValidation>
    <dataValidation type="list" allowBlank="1" showInputMessage="1" showErrorMessage="1" sqref="G73:G80" xr:uid="{672D1191-05FE-4848-81D2-C5E2EB0669DE}">
      <formula1>"Online self-paced, Online, Hybrid, In person, Peer learning"</formula1>
    </dataValidation>
    <dataValidation type="list" allowBlank="1" showInputMessage="1" showErrorMessage="1" sqref="J73:J80" xr:uid="{7F858C7A-5B27-44C5-975C-31EF60D23EF5}">
      <formula1>"Yes, No"</formula1>
    </dataValidation>
  </dataValidations>
  <hyperlinks>
    <hyperlink ref="G85:H85" r:id="rId1" location=":~:text=use%20the%20method.-,Examples%20of%20SMART%20Goals,-We%20will%C2%A0create" display="Examples of SMART Goals" xr:uid="{D1FC7229-FB59-43F0-B854-DF5E22DB436B}"/>
    <hyperlink ref="G85" r:id="rId2" location=":~:text=Examples%20of%20S.M.A.R.T.%20Goals" display="https://www.forbes.com/advisor/business/smart-goals/#:~:text=Examples%20of%20S.M.A.R.T.%20Goals" xr:uid="{461EA900-BE95-43CA-BB36-B78A62207FD1}"/>
    <hyperlink ref="I85" r:id="rId3" location=":~:text=use%20the%20method.-,Examples%20of%20SMART%20Goals,-We%20will%C2%A0create" display="Examples of SMART Goals" xr:uid="{A050C24C-950B-40AF-8277-E883D72FE7E2}"/>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997D9AF0-12B9-4F82-BD2D-00F794EE08B8}">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59BC0613-C871-4586-8B33-7984765B64D6}">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F85F50FE-1FE2-49DB-8D75-5B8DD495EE8F}">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C739330-FC92-4E64-8E50-E236A333C2D0}">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BF282A2-1818-4740-BC34-8CEF442892C0}">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C440A83-1153-418A-A713-ABB57D02A51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9229A4A5-9305-43F4-BE50-53AD234DAAC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B5FA22F9-9336-45E6-9368-005F168D28C7}">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D86735F-9A7B-48BF-B8D3-F56B684599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4BBD457-5223-449C-994F-4EBC345A530B}">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2BEB45A8-0D69-40FE-A1B8-6D50B8FF0A4B}">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B46FE38-8FD1-450A-98C5-27BF0450E66F}">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8B64FEB-FBDE-4806-B9ED-D93D19963667}">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221B595-C5DD-4EB2-8AF8-FC1C820D4573}">
            <x14:dataBar minLength="0" maxLength="100" gradient="0">
              <x14:cfvo type="num">
                <xm:f>0</xm:f>
              </x14:cfvo>
              <x14:cfvo type="num">
                <xm:f>1</xm:f>
              </x14:cfvo>
              <x14:negativeFillColor rgb="FFFF0000"/>
              <x14:axisColor rgb="FF000000"/>
            </x14:dataBar>
          </x14:cfRule>
          <x14:cfRule type="dataBar" id="{6E5CC148-4395-48B0-A182-F9DAE84237A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ADC5402E-F617-464F-9AB0-68FF9603DE69}">
            <x14:dataBar minLength="0" maxLength="100" gradient="0">
              <x14:cfvo type="num">
                <xm:f>0</xm:f>
              </x14:cfvo>
              <x14:cfvo type="num">
                <xm:f>1</xm:f>
              </x14:cfvo>
              <x14:negativeFillColor rgb="FFFF0000"/>
              <x14:axisColor rgb="FF000000"/>
            </x14:dataBar>
          </x14:cfRule>
          <x14:cfRule type="dataBar" id="{9E919163-602C-489F-BAC0-53B689AF3A63}">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90B5F49C-D0EB-41A2-A28A-9C7928486248}">
            <x14:dataBar minLength="0" maxLength="100" gradient="0">
              <x14:cfvo type="num">
                <xm:f>0</xm:f>
              </x14:cfvo>
              <x14:cfvo type="num">
                <xm:f>1</xm:f>
              </x14:cfvo>
              <x14:negativeFillColor rgb="FFFF0000"/>
              <x14:axisColor rgb="FF000000"/>
            </x14:dataBar>
          </x14:cfRule>
          <x14:cfRule type="dataBar" id="{A4E9B4CB-E646-4AA3-B931-284DF8E6017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5D4C0D77-DA54-4DDC-98F6-BD324E0F42A3}">
            <x14:dataBar minLength="0" maxLength="100" gradient="0">
              <x14:cfvo type="num">
                <xm:f>0</xm:f>
              </x14:cfvo>
              <x14:cfvo type="num">
                <xm:f>1</xm:f>
              </x14:cfvo>
              <x14:negativeFillColor rgb="FFFF0000"/>
              <x14:axisColor rgb="FF000000"/>
            </x14:dataBar>
          </x14:cfRule>
          <x14:cfRule type="dataBar" id="{7DFAD948-3478-468B-A423-C396FD2B08A2}">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D8C216B6-CBE2-4AA4-8D70-60A067821731}">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B6292B20-8F02-42CE-A205-0756B3CE67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98AC5730-80B0-416C-B6F6-C48853952D94}">
            <x14:dataBar minLength="0" maxLength="100" gradient="0">
              <x14:cfvo type="num">
                <xm:f>0</xm:f>
              </x14:cfvo>
              <x14:cfvo type="num">
                <xm:f>1</xm:f>
              </x14:cfvo>
              <x14:negativeFillColor rgb="FFFF0000"/>
              <x14:axisColor rgb="FF000000"/>
            </x14:dataBar>
          </x14:cfRule>
          <x14:cfRule type="dataBar" id="{4CBB9609-5D32-45D8-A6AA-C39BCDB92F3D}">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082B95FB-A5CF-4D3C-9709-ED1D147FC859}">
            <x14:dataBar minLength="0" maxLength="100" gradient="0">
              <x14:cfvo type="num">
                <xm:f>0</xm:f>
              </x14:cfvo>
              <x14:cfvo type="num">
                <xm:f>1</xm:f>
              </x14:cfvo>
              <x14:negativeFillColor rgb="FFFF0000"/>
              <x14:axisColor rgb="FF000000"/>
            </x14:dataBar>
          </x14:cfRule>
          <x14:cfRule type="dataBar" id="{20E36500-ADCF-4658-AAB8-5D450FA7587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BB383DF-02AC-4F58-9BC0-16C62E14C12C}">
            <x14:dataBar minLength="0" maxLength="100" gradient="0">
              <x14:cfvo type="num">
                <xm:f>0</xm:f>
              </x14:cfvo>
              <x14:cfvo type="num">
                <xm:f>1</xm:f>
              </x14:cfvo>
              <x14:negativeFillColor rgb="FFFF0000"/>
              <x14:axisColor rgb="FF000000"/>
            </x14:dataBar>
          </x14:cfRule>
          <x14:cfRule type="dataBar" id="{DBA7FFC6-8E10-4445-9CB6-D70B5A189F7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49B2D78B-6B9D-42C1-A8C0-ACD129CD48F7}">
            <x14:dataBar minLength="0" maxLength="100" gradient="0">
              <x14:cfvo type="num">
                <xm:f>0</xm:f>
              </x14:cfvo>
              <x14:cfvo type="num">
                <xm:f>1</xm:f>
              </x14:cfvo>
              <x14:negativeFillColor rgb="FFFF0000"/>
              <x14:axisColor rgb="FF000000"/>
            </x14:dataBar>
          </x14:cfRule>
          <x14:cfRule type="dataBar" id="{944BD012-C210-4CF8-9173-87254548A98C}">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F4D634C3-4550-42C5-AA60-6E50C5C34944}">
            <x14:dataBar minLength="0" maxLength="100" gradient="0">
              <x14:cfvo type="num">
                <xm:f>0</xm:f>
              </x14:cfvo>
              <x14:cfvo type="num">
                <xm:f>1</xm:f>
              </x14:cfvo>
              <x14:negativeFillColor rgb="FFFF0000"/>
              <x14:axisColor rgb="FF000000"/>
            </x14:dataBar>
          </x14:cfRule>
          <x14:cfRule type="dataBar" id="{C002D7A0-C4F4-4E13-AD60-3A55C315C53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DEA1465A-0919-47A4-93F4-3AEB74BCA9BD}">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D5685C30-6CAF-474E-B0C4-C404D32138FC}">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96EFAA1-4454-4B5A-AEE7-2E0714B8E78C}">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80EBB17-95A2-4207-98F0-2CD8141C8500}">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B2C5DEFD-3499-468B-8348-3F23609AD677}">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90E8E824-5190-40DF-8112-52EE8C0EF05D}">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3E27F4C-0DAA-43DD-8D3A-5E56F1BAD5AF}">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129B556-46F9-4B58-8823-D25619400BF0}">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C57DB4B8-EF20-4B04-80F2-17BF74E36D15}">
            <x14:dataBar minLength="0" maxLength="100" gradient="0">
              <x14:cfvo type="num">
                <xm:f>0</xm:f>
              </x14:cfvo>
              <x14:cfvo type="num">
                <xm:f>1</xm:f>
              </x14:cfvo>
              <x14:negativeFillColor rgb="FFFF0000"/>
              <x14:axisColor rgb="FF000000"/>
            </x14:dataBar>
          </x14:cfRule>
          <x14:cfRule type="dataBar" id="{C05B7A71-8C22-4869-A5A7-781193A3DA9E}">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BC17-686D-4687-9BA3-006D262BAEB4}">
  <sheetPr codeName="Sheet11">
    <pageSetUpPr fitToPage="1"/>
  </sheetPr>
  <dimension ref="A1:AB122"/>
  <sheetViews>
    <sheetView zoomScale="70" zoomScaleNormal="70" workbookViewId="0">
      <selection activeCell="E35" sqref="E35"/>
    </sheetView>
  </sheetViews>
  <sheetFormatPr defaultColWidth="8.7109375" defaultRowHeight="15"/>
  <cols>
    <col min="1" max="2" width="8.7109375" style="185"/>
    <col min="3" max="3" width="13.5703125" style="185" customWidth="1"/>
    <col min="4" max="4" width="22.140625" style="185" customWidth="1"/>
    <col min="5" max="5" width="44.5703125" style="185" customWidth="1"/>
    <col min="6" max="6" width="40.140625" style="185" customWidth="1"/>
    <col min="7" max="7" width="39" style="185" customWidth="1"/>
    <col min="8" max="8" width="38.7109375" style="185" customWidth="1"/>
    <col min="9" max="9" width="10.85546875" style="185" customWidth="1"/>
    <col min="10" max="10" width="4.5703125" style="185" customWidth="1"/>
    <col min="11" max="14" width="35" style="185" customWidth="1"/>
    <col min="15" max="15" width="116.85546875" style="185" customWidth="1"/>
    <col min="16" max="16" width="10.28515625" style="185" customWidth="1"/>
    <col min="17" max="17" width="18.140625" style="185" customWidth="1"/>
    <col min="18" max="18" width="14.85546875" style="185" customWidth="1"/>
    <col min="19" max="19" width="11.5703125" style="185" customWidth="1"/>
    <col min="20" max="16384" width="8.7109375" style="185"/>
  </cols>
  <sheetData>
    <row r="1" spans="1:9">
      <c r="A1" s="184">
        <f ca="1">TODAY()</f>
        <v>45492</v>
      </c>
    </row>
    <row r="2" spans="1:9">
      <c r="A2" s="11"/>
    </row>
    <row r="3" spans="1:9">
      <c r="A3" s="11"/>
      <c r="B3" s="41"/>
      <c r="C3" s="41"/>
      <c r="D3" s="41"/>
      <c r="E3" s="41"/>
      <c r="F3" s="41"/>
      <c r="G3" s="233"/>
      <c r="H3" s="41"/>
      <c r="I3" s="41"/>
    </row>
    <row r="4" spans="1:9" ht="12.75" customHeight="1">
      <c r="A4" s="11"/>
      <c r="B4" s="41"/>
      <c r="C4" s="41"/>
      <c r="D4" s="41"/>
      <c r="E4" s="41"/>
      <c r="F4" s="186"/>
      <c r="G4" s="187"/>
      <c r="H4" s="41"/>
      <c r="I4" s="41"/>
    </row>
    <row r="5" spans="1:9" ht="27.75">
      <c r="A5" s="11"/>
      <c r="B5" s="41"/>
      <c r="C5" s="188" t="s">
        <v>243</v>
      </c>
      <c r="D5" s="189"/>
      <c r="E5" s="189"/>
      <c r="F5" s="41"/>
      <c r="G5" s="233"/>
      <c r="H5" s="41"/>
      <c r="I5" s="41"/>
    </row>
    <row r="6" spans="1:9" ht="15" customHeight="1">
      <c r="A6" s="11"/>
      <c r="B6" s="41"/>
      <c r="C6" s="212" t="s">
        <v>244</v>
      </c>
      <c r="D6" s="189"/>
      <c r="E6" s="189"/>
      <c r="F6" s="41"/>
      <c r="G6" s="233"/>
      <c r="H6" s="41"/>
      <c r="I6" s="41"/>
    </row>
    <row r="7" spans="1:9" ht="19.5" customHeight="1">
      <c r="A7" s="11"/>
      <c r="B7" s="41"/>
      <c r="C7" s="190" t="str">
        <f>'CC 2023'!E2</f>
        <v>Employee Name</v>
      </c>
      <c r="D7" s="189"/>
      <c r="E7" s="189"/>
      <c r="F7" s="41"/>
      <c r="G7" s="233"/>
      <c r="H7" s="41"/>
      <c r="I7" s="41"/>
    </row>
    <row r="8" spans="1:9" ht="30" customHeight="1">
      <c r="A8" s="11"/>
      <c r="B8" s="41"/>
      <c r="C8" s="191">
        <f ca="1">YEAR(A1)</f>
        <v>2024</v>
      </c>
      <c r="D8" s="189"/>
      <c r="E8" s="189"/>
      <c r="F8" s="41"/>
      <c r="G8" s="41"/>
      <c r="H8" s="41"/>
      <c r="I8" s="41"/>
    </row>
    <row r="9" spans="1:9" ht="57" customHeight="1">
      <c r="A9" s="11"/>
      <c r="B9" s="41"/>
      <c r="C9" s="41"/>
      <c r="D9" s="192" t="s">
        <v>245</v>
      </c>
      <c r="E9" s="550" t="s">
        <v>246</v>
      </c>
      <c r="F9" s="551"/>
      <c r="G9" s="552"/>
      <c r="H9" s="41"/>
      <c r="I9" s="41"/>
    </row>
    <row r="10" spans="1:9" ht="57" customHeight="1">
      <c r="A10" s="11"/>
      <c r="B10" s="41"/>
      <c r="C10" s="41"/>
      <c r="D10" s="193" t="s">
        <v>247</v>
      </c>
      <c r="E10" s="550" t="s">
        <v>248</v>
      </c>
      <c r="F10" s="551"/>
      <c r="G10" s="552"/>
      <c r="H10" s="41"/>
      <c r="I10" s="41"/>
    </row>
    <row r="11" spans="1:9" ht="57" customHeight="1">
      <c r="B11" s="41"/>
      <c r="C11" s="41"/>
      <c r="D11" s="194" t="s">
        <v>249</v>
      </c>
      <c r="E11" s="550" t="s">
        <v>250</v>
      </c>
      <c r="F11" s="551"/>
      <c r="G11" s="552"/>
      <c r="H11" s="41"/>
      <c r="I11" s="41"/>
    </row>
    <row r="12" spans="1:9" ht="36" customHeight="1">
      <c r="B12" s="41"/>
      <c r="C12" s="41"/>
      <c r="D12" s="41"/>
      <c r="E12" s="41"/>
      <c r="F12" s="195"/>
      <c r="G12" s="195"/>
      <c r="H12" s="41"/>
      <c r="I12" s="41"/>
    </row>
    <row r="13" spans="1:9" s="196" customFormat="1" ht="54" customHeight="1">
      <c r="B13" s="197"/>
      <c r="C13" s="197"/>
      <c r="D13" s="198" t="s">
        <v>251</v>
      </c>
      <c r="E13" s="555"/>
      <c r="F13" s="556"/>
      <c r="G13" s="557"/>
      <c r="H13" s="41"/>
      <c r="I13" s="197"/>
    </row>
    <row r="14" spans="1:9" ht="21.75" customHeight="1">
      <c r="B14" s="41"/>
      <c r="C14" s="197"/>
      <c r="D14" s="197"/>
      <c r="E14" s="197"/>
      <c r="F14" s="197"/>
      <c r="G14" s="197"/>
      <c r="H14" s="41"/>
      <c r="I14" s="41"/>
    </row>
    <row r="15" spans="1:9" s="199" customFormat="1" ht="18.75">
      <c r="B15" s="200"/>
      <c r="C15" s="200"/>
      <c r="D15" s="200"/>
      <c r="E15" s="200"/>
      <c r="F15" s="200"/>
      <c r="G15" s="200"/>
      <c r="H15" s="41"/>
      <c r="I15" s="200"/>
    </row>
    <row r="16" spans="1:9" s="199" customFormat="1" ht="18.75">
      <c r="B16" s="200"/>
      <c r="C16" s="200"/>
      <c r="D16" s="549" t="s">
        <v>252</v>
      </c>
      <c r="E16" s="549"/>
      <c r="F16" s="549"/>
      <c r="G16" s="549"/>
      <c r="H16" s="41"/>
      <c r="I16" s="200"/>
    </row>
    <row r="17" spans="2:9" s="199" customFormat="1" ht="18.75">
      <c r="B17" s="200"/>
      <c r="C17" s="200"/>
      <c r="D17" s="10"/>
      <c r="E17" s="10"/>
      <c r="F17" s="10"/>
      <c r="G17" s="10"/>
      <c r="H17" s="201"/>
      <c r="I17" s="200"/>
    </row>
    <row r="18" spans="2:9" s="199" customFormat="1" ht="18.75">
      <c r="B18" s="200"/>
      <c r="C18" s="200"/>
      <c r="D18" s="183" t="s">
        <v>253</v>
      </c>
      <c r="E18" s="183" t="s">
        <v>254</v>
      </c>
      <c r="F18" s="183" t="s">
        <v>255</v>
      </c>
      <c r="G18" s="183" t="s">
        <v>256</v>
      </c>
      <c r="H18" s="201"/>
      <c r="I18" s="200"/>
    </row>
    <row r="19" spans="2:9" s="199" customFormat="1" ht="18.75">
      <c r="B19" s="200"/>
      <c r="C19" s="200"/>
      <c r="D19" s="209">
        <v>2023</v>
      </c>
      <c r="E19" s="213" t="str">
        <f>CONCATENATE('CC 2023'!$F$187, " | ", 'CC 2023'!$F$188)</f>
        <v xml:space="preserve"> | </v>
      </c>
      <c r="F19" s="213" t="str">
        <f>CONCATENATE('CC 2023'!$H$187, " | ", 'CC 2023'!$H$188)</f>
        <v xml:space="preserve"> | </v>
      </c>
      <c r="G19" s="213" t="str">
        <f>CONCATENATE('CC 2023'!$K$187, " | ", 'CC 2023'!$K$188)</f>
        <v xml:space="preserve"> | </v>
      </c>
      <c r="H19" s="201"/>
      <c r="I19" s="200"/>
    </row>
    <row r="20" spans="2:9" s="199" customFormat="1" ht="18.75">
      <c r="B20" s="200"/>
      <c r="C20" s="200"/>
      <c r="D20" s="209">
        <v>2024</v>
      </c>
      <c r="E20" s="213" t="str">
        <f>CONCATENATE('CC 2024'!$F$187, " | ", 'CC 2024'!$F$188)</f>
        <v xml:space="preserve"> | </v>
      </c>
      <c r="F20" s="213" t="str">
        <f>CONCATENATE('CC 2024'!$H$187, " | ", 'CC 2024'!$H$188)</f>
        <v xml:space="preserve"> | </v>
      </c>
      <c r="G20" s="213" t="str">
        <f>CONCATENATE('CC 2024'!$K$187, " | ", 'CC 2024'!$K$188)</f>
        <v xml:space="preserve"> | </v>
      </c>
      <c r="H20" s="201"/>
      <c r="I20" s="200"/>
    </row>
    <row r="21" spans="2:9" s="199" customFormat="1" ht="18.75">
      <c r="B21" s="200"/>
      <c r="C21" s="200"/>
      <c r="D21" s="209">
        <v>2025</v>
      </c>
      <c r="E21" s="213" t="str">
        <f>CONCATENATE('CC 2025'!$F$187, " | ", 'CC 2025'!$F$188)</f>
        <v xml:space="preserve"> | </v>
      </c>
      <c r="F21" s="213" t="str">
        <f>CONCATENATE('CC 2025'!$H$187, " | ", 'CC 2025'!$H$188)</f>
        <v xml:space="preserve"> | </v>
      </c>
      <c r="G21" s="213" t="str">
        <f>CONCATENATE('CC 2025'!$K$187, " | ", 'CC 2025'!$K$188)</f>
        <v xml:space="preserve"> | </v>
      </c>
      <c r="H21" s="201"/>
      <c r="I21" s="200"/>
    </row>
    <row r="22" spans="2:9" s="199" customFormat="1" ht="18.75">
      <c r="B22" s="200"/>
      <c r="C22" s="200"/>
      <c r="D22" s="209">
        <v>2026</v>
      </c>
      <c r="E22" s="213" t="str">
        <f>CONCATENATE('CC 2026'!$F$187, " | ", 'CC 2026'!$F$188)</f>
        <v xml:space="preserve"> | </v>
      </c>
      <c r="F22" s="213" t="str">
        <f>CONCATENATE('CC 2026'!$H$187, " | ", 'CC 2026'!$H$188)</f>
        <v xml:space="preserve"> | </v>
      </c>
      <c r="G22" s="213" t="str">
        <f>CONCATENATE('CC 2026'!$K$187, " | ", 'CC 2026'!$K$188)</f>
        <v xml:space="preserve"> | </v>
      </c>
      <c r="H22" s="201"/>
      <c r="I22" s="200"/>
    </row>
    <row r="23" spans="2:9" s="199" customFormat="1" ht="18.75">
      <c r="B23" s="200"/>
      <c r="C23" s="200"/>
      <c r="D23" s="209">
        <v>2027</v>
      </c>
      <c r="E23" s="213" t="str">
        <f>CONCATENATE('CC 2027'!$F$187, " | ", 'CC 2027'!$F$188)</f>
        <v xml:space="preserve"> | </v>
      </c>
      <c r="F23" s="213" t="str">
        <f>CONCATENATE('CC 2027'!$H$187, " | ", 'CC 2027'!$H$188)</f>
        <v xml:space="preserve"> | </v>
      </c>
      <c r="G23" s="213" t="str">
        <f>CONCATENATE('CC 2027'!$K$187, " | ", 'CC 2027'!$K$188)</f>
        <v xml:space="preserve"> | </v>
      </c>
      <c r="H23" s="201"/>
      <c r="I23" s="200"/>
    </row>
    <row r="24" spans="2:9" s="199" customFormat="1" ht="18.75">
      <c r="B24" s="200"/>
      <c r="C24" s="200"/>
      <c r="D24" s="10"/>
      <c r="E24" s="10"/>
      <c r="F24" s="10"/>
      <c r="G24" s="10"/>
      <c r="H24" s="201"/>
      <c r="I24" s="200"/>
    </row>
    <row r="25" spans="2:9" s="199" customFormat="1" ht="18.75">
      <c r="B25" s="200"/>
      <c r="C25" s="200"/>
      <c r="D25" s="201"/>
      <c r="E25" s="201"/>
      <c r="F25" s="201"/>
      <c r="G25" s="201"/>
      <c r="H25" s="201"/>
      <c r="I25" s="200"/>
    </row>
    <row r="26" spans="2:9" s="199" customFormat="1" ht="18.75">
      <c r="B26" s="200"/>
      <c r="C26" s="200"/>
      <c r="D26" s="201"/>
      <c r="E26" s="201"/>
      <c r="F26" s="201"/>
      <c r="G26" s="201"/>
      <c r="H26" s="201"/>
      <c r="I26" s="200"/>
    </row>
    <row r="27" spans="2:9" s="199" customFormat="1" ht="18.75">
      <c r="B27" s="200"/>
      <c r="C27" s="200"/>
      <c r="D27" s="549" t="s">
        <v>257</v>
      </c>
      <c r="E27" s="549"/>
      <c r="F27" s="549"/>
      <c r="G27" s="549"/>
      <c r="H27" s="201"/>
      <c r="I27" s="200"/>
    </row>
    <row r="28" spans="2:9">
      <c r="B28" s="41"/>
      <c r="C28" s="41"/>
      <c r="D28" s="41"/>
      <c r="E28" s="41"/>
      <c r="F28" s="41"/>
      <c r="G28" s="41"/>
      <c r="H28" s="221"/>
      <c r="I28" s="221"/>
    </row>
    <row r="29" spans="2:9" s="203" customFormat="1" ht="15.75" thickBot="1">
      <c r="B29" s="202"/>
      <c r="C29" s="202"/>
      <c r="D29" s="183" t="s">
        <v>253</v>
      </c>
      <c r="E29" s="183" t="s">
        <v>258</v>
      </c>
      <c r="F29" s="183" t="s">
        <v>259</v>
      </c>
      <c r="G29" s="183" t="s">
        <v>260</v>
      </c>
      <c r="H29" s="222"/>
      <c r="I29" s="222"/>
    </row>
    <row r="30" spans="2:9" s="11" customFormat="1" ht="30" hidden="1" customHeight="1">
      <c r="B30" s="10"/>
      <c r="C30" s="10"/>
      <c r="D30" s="182">
        <v>2023</v>
      </c>
      <c r="E30" s="182" t="str">
        <f>'CC 2023'!$F$87</f>
        <v>Talent Acquisition ( 100% fast &amp; successful recruitments ) 2023</v>
      </c>
      <c r="F30" s="179">
        <f>MAX('CC 2023'!$F$92:$G$93)</f>
        <v>0</v>
      </c>
      <c r="G30" s="179">
        <f>MAX('CC 2023'!$F$96:$G$97)</f>
        <v>0</v>
      </c>
      <c r="H30" s="223"/>
      <c r="I30" s="222"/>
    </row>
    <row r="31" spans="2:9" s="11" customFormat="1" ht="30" hidden="1" customHeight="1">
      <c r="B31" s="10"/>
      <c r="C31" s="10"/>
      <c r="D31" s="182">
        <v>2023</v>
      </c>
      <c r="E31" s="182">
        <f>'CC 2023'!$F$99</f>
        <v>0</v>
      </c>
      <c r="F31" s="179">
        <f>MAX('CC 2023'!$F$104:$G$105)</f>
        <v>0</v>
      </c>
      <c r="G31" s="179">
        <f>MAX('CC 2023'!$F$108:$G$109)</f>
        <v>0</v>
      </c>
      <c r="H31" s="223"/>
      <c r="I31" s="222"/>
    </row>
    <row r="32" spans="2:9" s="11" customFormat="1" ht="30" hidden="1" customHeight="1">
      <c r="B32" s="10"/>
      <c r="C32" s="10"/>
      <c r="D32" s="182">
        <v>2023</v>
      </c>
      <c r="E32" s="182">
        <f>'CC 2023'!$F111</f>
        <v>0</v>
      </c>
      <c r="F32" s="179">
        <f>MAX('CC 2023'!$F$116:$G$117)</f>
        <v>0</v>
      </c>
      <c r="G32" s="179">
        <f>MAX('CC 2023'!$F$120:$G$121)</f>
        <v>0</v>
      </c>
      <c r="H32" s="553"/>
      <c r="I32" s="554"/>
    </row>
    <row r="33" spans="2:20" s="11" customFormat="1" ht="30" hidden="1" customHeight="1">
      <c r="B33" s="10"/>
      <c r="C33" s="10"/>
      <c r="D33" s="182">
        <v>2023</v>
      </c>
      <c r="E33" s="182">
        <f>'CC 2023'!$F$123</f>
        <v>0</v>
      </c>
      <c r="F33" s="179">
        <f>MAX('CC 2023'!$F$128:$G$129)</f>
        <v>0</v>
      </c>
      <c r="G33" s="179">
        <f>MAX('CC 2023'!$F$132:$G$133)</f>
        <v>0</v>
      </c>
      <c r="H33" s="223"/>
      <c r="I33" s="223"/>
    </row>
    <row r="34" spans="2:20" s="11" customFormat="1" ht="30" hidden="1" customHeight="1" thickBot="1">
      <c r="B34" s="10"/>
      <c r="C34" s="10"/>
      <c r="D34" s="204">
        <v>2023</v>
      </c>
      <c r="E34" s="204">
        <f>'CC 2023'!$F$135</f>
        <v>0</v>
      </c>
      <c r="F34" s="205">
        <f>MAX('CC 2023'!$F$140:$G$141)</f>
        <v>0</v>
      </c>
      <c r="G34" s="205">
        <f>MAX('CC 2023'!$F$144:$G$145)</f>
        <v>0</v>
      </c>
      <c r="H34" s="223"/>
      <c r="I34" s="223"/>
    </row>
    <row r="35" spans="2:20" s="11" customFormat="1" ht="30" customHeight="1">
      <c r="B35" s="10"/>
      <c r="C35" s="10"/>
      <c r="D35" s="180">
        <v>2024</v>
      </c>
      <c r="E35" s="179"/>
      <c r="F35" s="179">
        <f>MAX('CC 2024'!$F$92:$G$93)</f>
        <v>1</v>
      </c>
      <c r="G35" s="179">
        <f>MAX('CC 2024'!$F$96:$G$97)</f>
        <v>1</v>
      </c>
      <c r="H35" s="223"/>
      <c r="I35" s="223"/>
    </row>
    <row r="36" spans="2:20" s="11" customFormat="1" ht="30" customHeight="1">
      <c r="B36" s="10"/>
      <c r="C36" s="10"/>
      <c r="D36" s="178">
        <v>2024</v>
      </c>
      <c r="E36" s="182" t="str">
        <f>'CC 2024'!$F$99</f>
        <v>Self Serivce front end for Engineering team to manage cable capacity</v>
      </c>
      <c r="F36" s="179">
        <f>MAX('CC 2024'!$F$104:$G$105)</f>
        <v>0</v>
      </c>
      <c r="G36" s="179">
        <f>MAX('CC 2024'!$F$108:$G$109)</f>
        <v>0</v>
      </c>
      <c r="H36" s="223"/>
      <c r="I36" s="223"/>
    </row>
    <row r="37" spans="2:20" s="11" customFormat="1" ht="30" customHeight="1">
      <c r="B37" s="10"/>
      <c r="C37" s="10"/>
      <c r="D37" s="178">
        <v>2024</v>
      </c>
      <c r="E37" s="179">
        <f>'CC 2024'!$F116</f>
        <v>0.8</v>
      </c>
      <c r="F37" s="179">
        <f>MAX('CC 2024'!$F$116:$G$117)</f>
        <v>0.8</v>
      </c>
      <c r="G37" s="179">
        <f>MAX('CC 2024'!$F$120:$G$121)</f>
        <v>0.4</v>
      </c>
      <c r="H37" s="223"/>
      <c r="I37" s="223"/>
    </row>
    <row r="38" spans="2:20" s="11" customFormat="1" ht="30" customHeight="1">
      <c r="B38" s="10"/>
      <c r="C38" s="10"/>
      <c r="D38" s="178">
        <v>2024</v>
      </c>
      <c r="E38" s="179" t="str">
        <f>'CC 2024'!$F$123</f>
        <v>Investigate how a chatbot / AI can help NOC operations</v>
      </c>
      <c r="F38" s="179">
        <f>MAX('CC 2024'!$F$128:$G$129)</f>
        <v>0.2</v>
      </c>
      <c r="G38" s="179">
        <f>MAX('CC 2024'!$F$132:$G$133)</f>
        <v>0</v>
      </c>
      <c r="H38" s="223"/>
      <c r="I38" s="223"/>
    </row>
    <row r="39" spans="2:20" s="11" customFormat="1" ht="30" customHeight="1">
      <c r="B39" s="10"/>
      <c r="C39" s="10"/>
      <c r="D39" s="206">
        <v>2024</v>
      </c>
      <c r="E39" s="204" t="str">
        <f>'CC 2024'!$F$135</f>
        <v xml:space="preserve">Applications to be upgraded to eliminate critical security concerns or vulerabilities </v>
      </c>
      <c r="F39" s="205">
        <f>MAX('CC 2024'!$F$140:$G$141)</f>
        <v>0.1</v>
      </c>
      <c r="G39" s="205">
        <f>MAX('CC 2024'!$F$144:$G$145)</f>
        <v>0</v>
      </c>
      <c r="H39" s="223"/>
      <c r="I39" s="223"/>
    </row>
    <row r="40" spans="2:20" s="11" customFormat="1" ht="30" hidden="1" customHeight="1">
      <c r="B40" s="10"/>
      <c r="C40" s="10"/>
      <c r="D40" s="180">
        <v>2025</v>
      </c>
      <c r="E40" s="179" t="str">
        <f>'CC 2025'!$F$87</f>
        <v>Support container architecture</v>
      </c>
      <c r="F40" s="179">
        <f>MAX('CC 2025'!$F$92:$G$93)</f>
        <v>0</v>
      </c>
      <c r="G40" s="179">
        <f>MAX('CC 2025'!$F$96:$G$97)</f>
        <v>0</v>
      </c>
      <c r="H40" s="223"/>
      <c r="I40" s="223"/>
      <c r="R40" s="207"/>
    </row>
    <row r="41" spans="2:20" s="11" customFormat="1" ht="30" hidden="1" customHeight="1">
      <c r="B41" s="10"/>
      <c r="C41" s="10"/>
      <c r="D41" s="178">
        <v>2025</v>
      </c>
      <c r="E41" s="182" t="str">
        <f>'CC 2025'!$F$99</f>
        <v>Self Serivce front end for Engineering team to manage cable capacity</v>
      </c>
      <c r="F41" s="179">
        <f>MAX('CC 2025'!$F$104:$G$105)</f>
        <v>0</v>
      </c>
      <c r="G41" s="179">
        <f>MAX('CC 2025'!$F$108:$G$109)</f>
        <v>0</v>
      </c>
      <c r="H41" s="223"/>
      <c r="I41" s="223"/>
    </row>
    <row r="42" spans="2:20" s="11" customFormat="1" ht="30" hidden="1" customHeight="1">
      <c r="B42" s="10"/>
      <c r="C42" s="10"/>
      <c r="D42" s="178">
        <v>2025</v>
      </c>
      <c r="E42" s="179">
        <f>'CC 2025'!$F121</f>
        <v>0</v>
      </c>
      <c r="F42" s="179">
        <f>MAX('CC 2025'!$F$116:$G$117)</f>
        <v>0</v>
      </c>
      <c r="G42" s="179">
        <f>MAX('CC 2025'!$F$120:$G$121)</f>
        <v>0</v>
      </c>
      <c r="H42" s="223"/>
      <c r="I42" s="223"/>
    </row>
    <row r="43" spans="2:20" s="11" customFormat="1" ht="30" hidden="1" customHeight="1">
      <c r="B43" s="10"/>
      <c r="C43" s="10"/>
      <c r="D43" s="178">
        <v>2025</v>
      </c>
      <c r="E43" s="179" t="str">
        <f>'CC 2025'!$F$123</f>
        <v>Investigate how a chatbot / AI can help NOC operations</v>
      </c>
      <c r="F43" s="179">
        <f>MAX('CC 2025'!$F$128:$G$129)</f>
        <v>0</v>
      </c>
      <c r="G43" s="179">
        <f>MAX('CC 2025'!$F$132:$G$133)</f>
        <v>0</v>
      </c>
      <c r="H43" s="223"/>
      <c r="I43" s="223"/>
    </row>
    <row r="44" spans="2:20" s="11" customFormat="1" ht="30" hidden="1" customHeight="1" thickBot="1">
      <c r="B44" s="10"/>
      <c r="C44" s="10"/>
      <c r="D44" s="181">
        <v>2025</v>
      </c>
      <c r="E44" s="204" t="str">
        <f>'CC 2025'!$F$135</f>
        <v xml:space="preserve">Applications to be upgraded to eliminate critical security concerns or vulerabilities </v>
      </c>
      <c r="F44" s="205">
        <f>MAX('CC 2025'!$F$140:$G$141)</f>
        <v>0</v>
      </c>
      <c r="G44" s="205">
        <f>MAX('CC 2025'!$F$144:$G$145)</f>
        <v>0</v>
      </c>
      <c r="H44" s="223"/>
      <c r="I44" s="223"/>
    </row>
    <row r="45" spans="2:20" s="11" customFormat="1" ht="30" hidden="1" customHeight="1">
      <c r="B45" s="10"/>
      <c r="C45" s="10"/>
      <c r="D45" s="180">
        <v>2026</v>
      </c>
      <c r="E45" s="179" t="str">
        <f>'CC 2026'!$F$87</f>
        <v>Support container architecture</v>
      </c>
      <c r="F45" s="179">
        <f>MAX('CC 2026'!$F$92:$G$93)</f>
        <v>0</v>
      </c>
      <c r="G45" s="179">
        <f>MAX('CC 2026'!$F$96:$G$97)</f>
        <v>0</v>
      </c>
      <c r="H45" s="223"/>
      <c r="I45" s="223"/>
    </row>
    <row r="46" spans="2:20" s="11" customFormat="1" ht="30" hidden="1" customHeight="1">
      <c r="B46" s="10"/>
      <c r="C46" s="10"/>
      <c r="D46" s="178">
        <v>2026</v>
      </c>
      <c r="E46" s="182" t="str">
        <f>'CC 2026'!$F$99</f>
        <v>Self Serivce front end for Engineering team to manage cable capacity</v>
      </c>
      <c r="F46" s="179">
        <f>MAX('CC 2026'!$F$104:$G$105)</f>
        <v>0</v>
      </c>
      <c r="G46" s="179">
        <f>MAX('CC 2026'!$F$108:$G$109)</f>
        <v>0</v>
      </c>
      <c r="H46" s="223"/>
      <c r="I46" s="223"/>
    </row>
    <row r="47" spans="2:20" s="11" customFormat="1" ht="30" hidden="1" customHeight="1">
      <c r="B47" s="10"/>
      <c r="C47" s="10"/>
      <c r="D47" s="178">
        <v>2026</v>
      </c>
      <c r="E47" s="179" t="str">
        <f>'CC 2026'!$F126</f>
        <v>Employee Name</v>
      </c>
      <c r="F47" s="179">
        <f>MAX('CC 2026'!$F$116:$G$117)</f>
        <v>0</v>
      </c>
      <c r="G47" s="179">
        <f>MAX('CC 2026'!$F$120:$G$121)</f>
        <v>0</v>
      </c>
      <c r="H47" s="223"/>
      <c r="I47" s="223"/>
      <c r="N47" s="217"/>
      <c r="O47" s="217"/>
      <c r="T47" s="217"/>
    </row>
    <row r="48" spans="2:20" s="11" customFormat="1" ht="30" hidden="1" customHeight="1">
      <c r="B48" s="10"/>
      <c r="C48" s="10"/>
      <c r="D48" s="178">
        <v>2026</v>
      </c>
      <c r="E48" s="179" t="str">
        <f>'CC 2026'!$F$123</f>
        <v>Investigate how a chatbot / AI can help NOC operations</v>
      </c>
      <c r="F48" s="179">
        <f>MAX('CC 2026'!$F$128:$G$129)</f>
        <v>0</v>
      </c>
      <c r="G48" s="179">
        <f>MAX('CC 2026'!$F$132:$G$133)</f>
        <v>0</v>
      </c>
      <c r="H48" s="223"/>
      <c r="I48" s="223"/>
      <c r="N48" s="217"/>
      <c r="O48" s="217"/>
      <c r="T48" s="217"/>
    </row>
    <row r="49" spans="2:28" s="11" customFormat="1" ht="30" hidden="1" customHeight="1" thickBot="1">
      <c r="B49" s="10"/>
      <c r="C49" s="10"/>
      <c r="D49" s="181">
        <v>2026</v>
      </c>
      <c r="E49" s="204" t="str">
        <f>'CC 2026'!$F$135</f>
        <v xml:space="preserve">Applications to be upgraded to eliminate critical security concerns or vulerabilities </v>
      </c>
      <c r="F49" s="205">
        <f>MAX('CC 2026'!$F$140:$G$141)</f>
        <v>0</v>
      </c>
      <c r="G49" s="205">
        <f>MAX('CC 2026'!$F$144:$G$145)</f>
        <v>0</v>
      </c>
      <c r="H49" s="223"/>
      <c r="I49" s="223"/>
      <c r="N49" s="217"/>
      <c r="O49" s="217"/>
      <c r="T49" s="217"/>
    </row>
    <row r="50" spans="2:28" s="11" customFormat="1" ht="30" hidden="1" customHeight="1">
      <c r="B50" s="10"/>
      <c r="C50" s="10"/>
      <c r="D50" s="208">
        <v>2027</v>
      </c>
      <c r="E50" s="179">
        <f>'CC 2027'!$F$87</f>
        <v>0</v>
      </c>
      <c r="F50" s="179">
        <f>MAX('CC 2027'!$F$92:$G$93)</f>
        <v>0</v>
      </c>
      <c r="G50" s="179">
        <f>MAX('CC 2027'!$F$96:$G$97)</f>
        <v>0</v>
      </c>
      <c r="H50" s="223"/>
      <c r="I50" s="223"/>
      <c r="N50" s="217"/>
      <c r="O50" s="217"/>
      <c r="T50" s="217"/>
    </row>
    <row r="51" spans="2:28" s="11" customFormat="1" ht="30" hidden="1" customHeight="1">
      <c r="B51" s="10"/>
      <c r="C51" s="10"/>
      <c r="D51" s="182">
        <v>2027</v>
      </c>
      <c r="E51" s="182">
        <f>'CC 2027'!$F$99</f>
        <v>0</v>
      </c>
      <c r="F51" s="179">
        <f>MAX('CC 2027'!$F$104:$G$105)</f>
        <v>0</v>
      </c>
      <c r="G51" s="179">
        <f>MAX('CC 2027'!$F$108:$G$109)</f>
        <v>0</v>
      </c>
      <c r="H51" s="223"/>
      <c r="I51" s="223"/>
      <c r="N51" s="217"/>
      <c r="O51" s="217"/>
      <c r="T51" s="217"/>
    </row>
    <row r="52" spans="2:28" s="11" customFormat="1" ht="30" hidden="1" customHeight="1">
      <c r="B52" s="10"/>
      <c r="C52" s="10"/>
      <c r="D52" s="182">
        <v>2027</v>
      </c>
      <c r="E52" s="179" t="str">
        <f>'CC 2027'!$F131</f>
        <v>% accomplished</v>
      </c>
      <c r="F52" s="179">
        <f>MAX('CC 2027'!$F$116:$G$117)</f>
        <v>0</v>
      </c>
      <c r="G52" s="179">
        <f>MAX('CC 2027'!$F$120:$G$121)</f>
        <v>0</v>
      </c>
      <c r="H52" s="223"/>
      <c r="I52" s="223"/>
      <c r="N52" s="217"/>
      <c r="O52" s="217"/>
      <c r="T52" s="217"/>
    </row>
    <row r="53" spans="2:28" s="11" customFormat="1" ht="30" hidden="1" customHeight="1">
      <c r="B53" s="10"/>
      <c r="C53" s="10"/>
      <c r="D53" s="182">
        <v>2027</v>
      </c>
      <c r="E53" s="179">
        <f>'CC 2027'!$F$123</f>
        <v>0</v>
      </c>
      <c r="F53" s="179">
        <f>MAX('CC 2027'!$F$128:$G$129)</f>
        <v>0</v>
      </c>
      <c r="G53" s="179">
        <f>MAX('CC 2027'!$F$132:$G$133)</f>
        <v>0</v>
      </c>
      <c r="H53" s="223"/>
      <c r="I53" s="223"/>
      <c r="N53" s="217"/>
      <c r="O53" s="217"/>
      <c r="T53" s="217"/>
    </row>
    <row r="54" spans="2:28" s="11" customFormat="1" ht="30" hidden="1" customHeight="1">
      <c r="B54" s="10"/>
      <c r="C54" s="10"/>
      <c r="D54" s="182">
        <v>2027</v>
      </c>
      <c r="E54" s="204">
        <f>'CC 2027'!$F$135</f>
        <v>0</v>
      </c>
      <c r="F54" s="205">
        <f>MAX('CC 2027'!$F$140:$G$141)</f>
        <v>0</v>
      </c>
      <c r="G54" s="205">
        <f>MAX('CC 2027'!$F$144:$G$145)</f>
        <v>0</v>
      </c>
      <c r="H54" s="223"/>
      <c r="I54" s="223"/>
      <c r="N54" s="217"/>
      <c r="O54" s="217"/>
      <c r="T54" s="217"/>
    </row>
    <row r="55" spans="2:28" s="11" customFormat="1" ht="30" customHeight="1">
      <c r="B55" s="10"/>
      <c r="C55" s="10"/>
      <c r="D55" s="10"/>
      <c r="E55" s="10"/>
      <c r="F55" s="10"/>
      <c r="G55" s="10"/>
      <c r="H55" s="223"/>
      <c r="I55" s="223"/>
      <c r="N55" s="217"/>
      <c r="O55" s="217"/>
      <c r="T55" s="217"/>
    </row>
    <row r="56" spans="2:28" s="11" customFormat="1" ht="30" customHeight="1">
      <c r="B56" s="10"/>
      <c r="C56" s="10"/>
      <c r="D56" s="10"/>
      <c r="E56" s="10"/>
      <c r="F56" s="10"/>
      <c r="G56" s="10"/>
      <c r="H56" s="222"/>
      <c r="I56" s="223"/>
      <c r="N56" s="217"/>
      <c r="O56" s="217"/>
      <c r="P56" s="217"/>
      <c r="Q56" s="217"/>
      <c r="R56" s="217"/>
      <c r="S56" s="217"/>
      <c r="T56" s="217"/>
      <c r="U56" s="217"/>
      <c r="V56" s="217"/>
      <c r="W56" s="217"/>
      <c r="X56" s="217"/>
      <c r="Y56" s="217"/>
      <c r="Z56" s="217"/>
      <c r="AA56" s="217"/>
      <c r="AB56" s="217"/>
    </row>
    <row r="57" spans="2:28" s="11" customFormat="1" ht="66.75" customHeight="1">
      <c r="B57" s="10"/>
      <c r="C57" s="10"/>
      <c r="D57" s="10"/>
      <c r="E57" s="10"/>
      <c r="F57" s="216" t="s">
        <v>261</v>
      </c>
      <c r="G57" s="10"/>
      <c r="H57" s="223"/>
      <c r="I57" s="223"/>
      <c r="N57" s="217"/>
      <c r="O57" s="217"/>
      <c r="P57" s="217"/>
      <c r="Q57" s="217"/>
      <c r="R57" s="217"/>
      <c r="S57" s="217"/>
      <c r="T57" s="217"/>
      <c r="U57" s="217"/>
      <c r="V57" s="217"/>
      <c r="W57" s="217"/>
      <c r="X57" s="217"/>
      <c r="Y57" s="217"/>
      <c r="Z57" s="217"/>
      <c r="AA57" s="217"/>
      <c r="AB57" s="217"/>
    </row>
    <row r="58" spans="2:28" s="11" customFormat="1" ht="13.5" customHeight="1">
      <c r="B58" s="10"/>
      <c r="C58" s="10"/>
      <c r="D58" s="10"/>
      <c r="E58" s="10"/>
      <c r="F58" s="220" t="s">
        <v>262</v>
      </c>
      <c r="G58" s="10"/>
      <c r="H58" s="10"/>
      <c r="I58" s="10"/>
      <c r="N58" s="217"/>
      <c r="O58" s="217"/>
      <c r="P58" s="217" t="s">
        <v>263</v>
      </c>
      <c r="Q58" s="217">
        <v>33.33</v>
      </c>
      <c r="R58" s="217"/>
      <c r="S58" s="217"/>
      <c r="T58" s="217"/>
      <c r="U58" s="217"/>
      <c r="V58" s="217"/>
      <c r="W58" s="217"/>
      <c r="X58" s="217"/>
      <c r="Y58" s="217"/>
      <c r="Z58" s="217"/>
      <c r="AA58" s="217"/>
      <c r="AB58" s="217"/>
    </row>
    <row r="59" spans="2:28" s="11" customFormat="1" ht="13.5" customHeight="1">
      <c r="B59" s="10"/>
      <c r="C59" s="10"/>
      <c r="D59" s="10"/>
      <c r="E59" s="10"/>
      <c r="F59" s="10"/>
      <c r="G59" s="10"/>
      <c r="H59" s="10"/>
      <c r="I59" s="10"/>
      <c r="N59" s="217"/>
      <c r="O59" s="217"/>
      <c r="P59" s="217" t="s">
        <v>264</v>
      </c>
      <c r="Q59" s="217">
        <v>33.33</v>
      </c>
      <c r="R59" s="217"/>
      <c r="S59" s="217"/>
      <c r="T59" s="217"/>
      <c r="U59" s="217"/>
      <c r="V59" s="217"/>
      <c r="W59" s="217"/>
      <c r="X59" s="217"/>
      <c r="Y59" s="217"/>
      <c r="Z59" s="217"/>
      <c r="AA59" s="217"/>
      <c r="AB59" s="217"/>
    </row>
    <row r="60" spans="2:28" s="11" customFormat="1" ht="13.5" customHeight="1">
      <c r="B60" s="10"/>
      <c r="C60" s="10"/>
      <c r="D60" s="10"/>
      <c r="E60" s="10"/>
      <c r="F60" s="10"/>
      <c r="G60" s="10"/>
      <c r="H60" s="10"/>
      <c r="I60" s="10"/>
      <c r="N60" s="217"/>
      <c r="O60" s="217"/>
      <c r="P60" s="217" t="s">
        <v>265</v>
      </c>
      <c r="Q60" s="217">
        <v>33.33</v>
      </c>
      <c r="R60" s="217"/>
      <c r="S60" s="217"/>
      <c r="T60" s="217"/>
      <c r="U60" s="217">
        <f ca="1">INDEX(Table4[Manager], MATCH(YEAR(TODAY()), Table4[Year], 0))</f>
        <v>0.7</v>
      </c>
      <c r="V60" s="217"/>
      <c r="W60" s="217"/>
      <c r="X60" s="217"/>
      <c r="Y60" s="217"/>
      <c r="Z60" s="217"/>
      <c r="AA60" s="217"/>
      <c r="AB60" s="217"/>
    </row>
    <row r="61" spans="2:28" s="11" customFormat="1" ht="13.5" customHeight="1">
      <c r="B61" s="10"/>
      <c r="C61" s="10"/>
      <c r="D61" s="10"/>
      <c r="E61" s="10"/>
      <c r="F61" s="10"/>
      <c r="G61" s="10"/>
      <c r="H61" s="10"/>
      <c r="I61" s="10"/>
      <c r="N61" s="217"/>
      <c r="O61" s="217"/>
      <c r="P61" s="217" t="s">
        <v>266</v>
      </c>
      <c r="Q61" s="217">
        <v>100</v>
      </c>
      <c r="R61" s="217"/>
      <c r="S61" s="217"/>
      <c r="T61" s="217"/>
      <c r="U61" s="217" t="s">
        <v>267</v>
      </c>
      <c r="V61" s="217" t="s">
        <v>106</v>
      </c>
      <c r="W61" s="217" t="s">
        <v>107</v>
      </c>
      <c r="X61" s="217"/>
      <c r="Y61" s="217"/>
      <c r="Z61" s="217"/>
      <c r="AA61" s="217"/>
      <c r="AB61" s="217"/>
    </row>
    <row r="62" spans="2:28" ht="13.5" customHeight="1">
      <c r="B62" s="10"/>
      <c r="C62" s="10"/>
      <c r="D62" s="41"/>
      <c r="E62" s="10"/>
      <c r="F62" s="10"/>
      <c r="G62" s="10"/>
      <c r="H62" s="41"/>
      <c r="I62" s="41"/>
      <c r="N62" s="184"/>
      <c r="O62" s="184"/>
      <c r="P62" s="217"/>
      <c r="Q62" s="217"/>
      <c r="R62" s="217"/>
      <c r="S62" s="184"/>
      <c r="T62" s="184"/>
      <c r="U62" s="217">
        <v>2023</v>
      </c>
      <c r="V62" s="217" t="e">
        <f>AVERAGEIF(F30:F34,"&lt;&gt;0")</f>
        <v>#DIV/0!</v>
      </c>
      <c r="W62" s="217" t="e">
        <f>AVERAGEIF(G30:G34,"&lt;&gt;0")</f>
        <v>#DIV/0!</v>
      </c>
      <c r="X62" s="184"/>
      <c r="Y62" s="184"/>
      <c r="Z62" s="184"/>
      <c r="AA62" s="184"/>
      <c r="AB62" s="184"/>
    </row>
    <row r="63" spans="2:28" ht="13.5" customHeight="1">
      <c r="B63" s="10"/>
      <c r="C63" s="10"/>
      <c r="D63" s="41"/>
      <c r="E63" s="10"/>
      <c r="F63" s="10"/>
      <c r="G63" s="10"/>
      <c r="H63" s="41"/>
      <c r="I63" s="41"/>
      <c r="N63" s="184"/>
      <c r="O63" s="184"/>
      <c r="P63" s="217" t="s">
        <v>268</v>
      </c>
      <c r="Q63" s="217">
        <f ca="1">120*U60</f>
        <v>84</v>
      </c>
      <c r="R63" s="217"/>
      <c r="S63" s="184"/>
      <c r="T63" s="184"/>
      <c r="U63" s="217">
        <v>2024</v>
      </c>
      <c r="V63" s="217">
        <f>AVERAGEIF(F35:F39,"&lt;&gt;0")</f>
        <v>0.52500000000000002</v>
      </c>
      <c r="W63" s="217">
        <f>AVERAGEIF(G35:G39,"&lt;&gt;0")</f>
        <v>0.7</v>
      </c>
      <c r="X63" s="184"/>
      <c r="Y63" s="184"/>
      <c r="Z63" s="184"/>
      <c r="AA63" s="184"/>
      <c r="AB63" s="184"/>
    </row>
    <row r="64" spans="2:28" ht="12" customHeight="1">
      <c r="B64" s="10"/>
      <c r="C64" s="10"/>
      <c r="D64" s="41"/>
      <c r="E64" s="41"/>
      <c r="F64" s="41"/>
      <c r="G64" s="41"/>
      <c r="H64" s="41"/>
      <c r="I64" s="41"/>
      <c r="N64" s="184"/>
      <c r="O64" s="184"/>
      <c r="P64" s="217" t="s">
        <v>268</v>
      </c>
      <c r="Q64" s="217">
        <v>2</v>
      </c>
      <c r="R64" s="217"/>
      <c r="S64" s="184"/>
      <c r="T64" s="184"/>
      <c r="U64" s="217">
        <v>2025</v>
      </c>
      <c r="V64" s="217" t="e">
        <f>AVERAGEIF(F40:F44,"&lt;&gt;0")</f>
        <v>#DIV/0!</v>
      </c>
      <c r="W64" s="217" t="e">
        <f>AVERAGEIF(G40:G44,"&lt;&gt;0")</f>
        <v>#DIV/0!</v>
      </c>
      <c r="X64" s="184"/>
      <c r="Y64" s="184"/>
      <c r="Z64" s="184"/>
      <c r="AA64" s="184"/>
      <c r="AB64" s="184"/>
    </row>
    <row r="65" spans="2:28">
      <c r="B65" s="10"/>
      <c r="C65" s="10"/>
      <c r="D65" s="41"/>
      <c r="E65" s="41"/>
      <c r="F65" s="41"/>
      <c r="G65" s="41"/>
      <c r="H65" s="41"/>
      <c r="I65" s="41"/>
      <c r="N65" s="184"/>
      <c r="O65" s="184"/>
      <c r="P65" s="217" t="s">
        <v>269</v>
      </c>
      <c r="Q65" s="217">
        <v>123</v>
      </c>
      <c r="R65" s="217"/>
      <c r="S65" s="184"/>
      <c r="T65" s="184"/>
      <c r="U65" s="217">
        <v>2026</v>
      </c>
      <c r="V65" s="217" t="e">
        <f>AVERAGEIF(F45:F49,"&lt;&gt;0")</f>
        <v>#DIV/0!</v>
      </c>
      <c r="W65" s="217" t="e">
        <f>AVERAGEIF(G45:G49,"&lt;&gt;0")</f>
        <v>#DIV/0!</v>
      </c>
      <c r="X65" s="184"/>
      <c r="Y65" s="184"/>
      <c r="Z65" s="184"/>
      <c r="AA65" s="184"/>
      <c r="AB65" s="184"/>
    </row>
    <row r="66" spans="2:28">
      <c r="B66" s="41"/>
      <c r="C66" s="41"/>
      <c r="D66" s="41"/>
      <c r="E66" s="41"/>
      <c r="F66" s="41"/>
      <c r="G66" s="41"/>
      <c r="H66" s="41"/>
      <c r="I66" s="41"/>
      <c r="N66" s="184"/>
      <c r="O66" s="184"/>
      <c r="P66" s="217"/>
      <c r="Q66" s="217"/>
      <c r="R66" s="217"/>
      <c r="S66" s="184"/>
      <c r="T66" s="184"/>
      <c r="U66" s="217">
        <v>2027</v>
      </c>
      <c r="V66" s="217" t="e">
        <f>AVERAGEIF(F50:F54,"&lt;&gt;0")</f>
        <v>#DIV/0!</v>
      </c>
      <c r="W66" s="217" t="e">
        <f>AVERAGEIF(G50:G54,"&lt;&gt;0")</f>
        <v>#DIV/0!</v>
      </c>
      <c r="X66" s="184"/>
      <c r="Y66" s="184"/>
      <c r="Z66" s="184"/>
      <c r="AA66" s="184"/>
      <c r="AB66" s="184"/>
    </row>
    <row r="67" spans="2:28" ht="18.75">
      <c r="B67" s="41"/>
      <c r="C67" s="41"/>
      <c r="D67" s="549" t="s">
        <v>270</v>
      </c>
      <c r="E67" s="549"/>
      <c r="F67" s="549"/>
      <c r="G67" s="549"/>
      <c r="H67" s="549"/>
      <c r="I67" s="41"/>
      <c r="O67" s="184"/>
      <c r="P67" s="184"/>
      <c r="Q67" s="184"/>
      <c r="R67" s="184"/>
      <c r="S67" s="184"/>
      <c r="T67" s="184"/>
      <c r="U67" s="184"/>
      <c r="V67" s="184"/>
      <c r="W67" s="184"/>
      <c r="X67" s="184"/>
      <c r="Y67" s="184"/>
      <c r="Z67" s="184"/>
      <c r="AA67" s="184"/>
      <c r="AB67" s="184"/>
    </row>
    <row r="68" spans="2:28">
      <c r="B68" s="41"/>
      <c r="C68" s="41"/>
      <c r="D68" s="41"/>
      <c r="E68" s="41"/>
      <c r="F68" s="41"/>
      <c r="G68" s="41"/>
      <c r="H68" s="41"/>
      <c r="I68" s="41"/>
      <c r="O68" s="184"/>
      <c r="P68" s="184"/>
      <c r="Q68" s="184"/>
      <c r="R68" s="184"/>
      <c r="S68" s="184"/>
      <c r="T68" s="184"/>
      <c r="U68" s="184"/>
      <c r="V68" s="184"/>
      <c r="W68" s="184"/>
      <c r="X68" s="184"/>
      <c r="Y68" s="184"/>
      <c r="Z68" s="184"/>
      <c r="AA68" s="184"/>
      <c r="AB68" s="184"/>
    </row>
    <row r="69" spans="2:28">
      <c r="B69" s="41"/>
      <c r="C69" s="41"/>
      <c r="D69" s="183" t="s">
        <v>253</v>
      </c>
      <c r="E69" s="183" t="s">
        <v>62</v>
      </c>
      <c r="F69" s="183" t="s">
        <v>65</v>
      </c>
      <c r="G69" s="183" t="s">
        <v>271</v>
      </c>
      <c r="H69" s="183" t="s">
        <v>272</v>
      </c>
      <c r="I69" s="41"/>
      <c r="O69" s="184"/>
      <c r="P69" s="184"/>
      <c r="Q69" s="184"/>
      <c r="R69" s="184"/>
      <c r="S69" s="184"/>
      <c r="T69" s="184"/>
      <c r="U69" s="184"/>
      <c r="V69" s="184"/>
      <c r="W69" s="184"/>
      <c r="X69" s="184"/>
      <c r="Y69" s="184"/>
      <c r="Z69" s="184"/>
      <c r="AA69" s="184"/>
      <c r="AB69" s="184"/>
    </row>
    <row r="70" spans="2:28">
      <c r="B70" s="41"/>
      <c r="C70" s="41"/>
      <c r="D70" s="209">
        <v>2023</v>
      </c>
      <c r="E70" s="210">
        <f>MAX('CC 2023'!$F$155:$F$157)</f>
        <v>0</v>
      </c>
      <c r="F70" s="210">
        <f>MAX('CC 2023'!$F$160:$F$162)</f>
        <v>0</v>
      </c>
      <c r="G70" s="210">
        <f>MAX('CC 2023'!$F$165:$F$167)</f>
        <v>0</v>
      </c>
      <c r="H70" s="210">
        <f>MAX('CC 2023'!$F$170:$F$172)</f>
        <v>0</v>
      </c>
      <c r="I70" s="41"/>
      <c r="O70" s="184"/>
      <c r="P70" s="184"/>
      <c r="Q70" s="184"/>
      <c r="R70" s="184"/>
      <c r="S70" s="184"/>
      <c r="T70" s="184"/>
      <c r="U70" s="184"/>
      <c r="V70" s="184"/>
      <c r="W70" s="184"/>
      <c r="X70" s="184"/>
      <c r="Y70" s="184"/>
      <c r="Z70" s="184"/>
      <c r="AA70" s="184"/>
      <c r="AB70" s="184"/>
    </row>
    <row r="71" spans="2:28">
      <c r="B71" s="41"/>
      <c r="C71" s="41"/>
      <c r="D71" s="209">
        <v>2024</v>
      </c>
      <c r="E71" s="210">
        <f>MAX('CC 2024'!$F$155:$F$157)</f>
        <v>0.8</v>
      </c>
      <c r="F71" s="210">
        <f>MAX('CC 2024'!$F$160:$F$162)</f>
        <v>0.8</v>
      </c>
      <c r="G71" s="210">
        <f>MAX('CC 2024'!$F$165:$F$167)</f>
        <v>0.9</v>
      </c>
      <c r="H71" s="210">
        <f>MAX('CC 2024'!$F$170:$F$172)</f>
        <v>0.9</v>
      </c>
      <c r="I71" s="41"/>
      <c r="O71" s="184"/>
      <c r="P71" s="184"/>
      <c r="Q71" s="184"/>
      <c r="R71" s="184"/>
      <c r="S71" s="184"/>
      <c r="T71" s="184"/>
      <c r="U71" s="184"/>
      <c r="V71" s="184"/>
      <c r="W71" s="184"/>
      <c r="X71" s="184"/>
      <c r="Y71" s="184"/>
      <c r="Z71" s="184"/>
      <c r="AA71" s="184"/>
      <c r="AB71" s="184"/>
    </row>
    <row r="72" spans="2:28">
      <c r="B72" s="41"/>
      <c r="C72" s="41"/>
      <c r="D72" s="209">
        <v>2025</v>
      </c>
      <c r="E72" s="210">
        <f>MAX('CC 2025'!$F$155:$F$157)</f>
        <v>0</v>
      </c>
      <c r="F72" s="210">
        <f>MAX('CC 2025'!$F$160:$F$162)</f>
        <v>0</v>
      </c>
      <c r="G72" s="210">
        <f>MAX('CC 2025'!$F$165:$F$167)</f>
        <v>0</v>
      </c>
      <c r="H72" s="210">
        <f>MAX('CC 2025'!$F$170:$F$172)</f>
        <v>0</v>
      </c>
      <c r="I72" s="41"/>
      <c r="O72" s="184"/>
      <c r="P72" s="184"/>
      <c r="Q72" s="184"/>
      <c r="R72" s="184"/>
      <c r="S72" s="184"/>
      <c r="T72" s="184"/>
      <c r="U72" s="184"/>
      <c r="V72" s="184"/>
      <c r="W72" s="184"/>
      <c r="X72" s="184"/>
      <c r="Y72" s="184"/>
      <c r="Z72" s="184"/>
      <c r="AA72" s="184"/>
      <c r="AB72" s="184"/>
    </row>
    <row r="73" spans="2:28">
      <c r="B73" s="41"/>
      <c r="C73" s="41"/>
      <c r="D73" s="209">
        <v>2026</v>
      </c>
      <c r="E73" s="210">
        <f>MAX('CC 2026'!$F$155:$F$157)</f>
        <v>0</v>
      </c>
      <c r="F73" s="210">
        <f>MAX('CC 2026'!$F$160:$F$162)</f>
        <v>0</v>
      </c>
      <c r="G73" s="210">
        <f>MAX('CC 2026'!$F$165:$F$167)</f>
        <v>0</v>
      </c>
      <c r="H73" s="210">
        <f>MAX('CC 2026'!$F$170:$F$172)</f>
        <v>0</v>
      </c>
      <c r="I73" s="41"/>
      <c r="O73" s="184"/>
      <c r="P73" s="184"/>
      <c r="Q73" s="184"/>
      <c r="R73" s="184"/>
      <c r="S73" s="184"/>
      <c r="T73" s="184"/>
      <c r="U73" s="184"/>
      <c r="V73" s="184"/>
      <c r="W73" s="184"/>
      <c r="X73" s="184"/>
      <c r="Y73" s="184"/>
      <c r="Z73" s="184"/>
      <c r="AA73" s="184"/>
      <c r="AB73" s="184"/>
    </row>
    <row r="74" spans="2:28">
      <c r="B74" s="41"/>
      <c r="C74" s="41"/>
      <c r="D74" s="209">
        <v>2027</v>
      </c>
      <c r="E74" s="210">
        <f>MAX('CC 2027'!$F$155:$F$157)</f>
        <v>0</v>
      </c>
      <c r="F74" s="210">
        <f>MAX('CC 2027'!$F$160:$F$162)</f>
        <v>0</v>
      </c>
      <c r="G74" s="210">
        <f>MAX('CC 2027'!$F$165:$F$167)</f>
        <v>0</v>
      </c>
      <c r="H74" s="210">
        <f>MAX('CC 2027'!$F$170:$F$172)</f>
        <v>0</v>
      </c>
      <c r="I74" s="41"/>
      <c r="O74" s="184"/>
      <c r="P74" s="184"/>
      <c r="Q74" s="184"/>
      <c r="R74" s="184"/>
      <c r="S74" s="184"/>
      <c r="T74" s="184"/>
      <c r="U74" s="184"/>
      <c r="V74" s="184"/>
      <c r="W74" s="184"/>
      <c r="X74" s="184"/>
      <c r="Y74" s="184"/>
      <c r="Z74" s="184"/>
      <c r="AA74" s="184"/>
      <c r="AB74" s="184"/>
    </row>
    <row r="75" spans="2:28">
      <c r="B75" s="41"/>
      <c r="C75" s="41"/>
      <c r="D75" s="41"/>
      <c r="E75" s="41"/>
      <c r="F75" s="41"/>
      <c r="G75" s="41"/>
      <c r="H75" s="41"/>
      <c r="I75" s="41"/>
      <c r="O75" s="184"/>
      <c r="P75" s="184"/>
      <c r="Q75" s="184"/>
      <c r="R75" s="184"/>
      <c r="S75" s="184"/>
      <c r="T75" s="184"/>
      <c r="U75" s="184"/>
      <c r="V75" s="184"/>
      <c r="W75" s="184"/>
      <c r="X75" s="184"/>
      <c r="Y75" s="184"/>
      <c r="Z75" s="184"/>
      <c r="AA75" s="184"/>
      <c r="AB75" s="184"/>
    </row>
    <row r="76" spans="2:28">
      <c r="B76" s="41"/>
      <c r="C76" s="41"/>
      <c r="D76" s="41"/>
      <c r="E76" s="41"/>
      <c r="F76" s="41"/>
      <c r="G76" s="41"/>
      <c r="H76" s="221"/>
      <c r="I76" s="41"/>
      <c r="O76" s="184"/>
      <c r="P76" s="184"/>
      <c r="Q76" s="184"/>
      <c r="R76" s="184"/>
      <c r="S76" s="184"/>
      <c r="T76" s="184"/>
      <c r="U76" s="184"/>
      <c r="V76" s="184"/>
      <c r="W76" s="184"/>
      <c r="X76" s="184"/>
      <c r="Y76" s="184"/>
      <c r="Z76" s="184"/>
      <c r="AA76" s="184"/>
      <c r="AB76" s="184"/>
    </row>
    <row r="77" spans="2:28">
      <c r="B77" s="41"/>
      <c r="C77" s="41"/>
      <c r="D77" s="41"/>
      <c r="E77" s="41"/>
      <c r="F77" s="41"/>
      <c r="G77" s="41"/>
      <c r="H77" s="41"/>
      <c r="I77" s="41"/>
    </row>
    <row r="78" spans="2:28">
      <c r="B78" s="41"/>
      <c r="C78" s="41"/>
      <c r="D78" s="41"/>
      <c r="E78" s="41"/>
      <c r="F78" s="41"/>
      <c r="G78" s="41"/>
      <c r="H78" s="41"/>
      <c r="I78" s="41"/>
    </row>
    <row r="79" spans="2:28">
      <c r="B79" s="41"/>
      <c r="C79" s="41"/>
      <c r="D79" s="41"/>
      <c r="E79" s="41"/>
      <c r="F79" s="41"/>
      <c r="G79" s="41"/>
      <c r="H79" s="41"/>
      <c r="I79" s="41"/>
    </row>
    <row r="80" spans="2:28" ht="18.75">
      <c r="B80" s="41"/>
      <c r="C80" s="41"/>
      <c r="D80" s="549" t="s">
        <v>273</v>
      </c>
      <c r="E80" s="549"/>
      <c r="F80" s="549"/>
      <c r="G80" s="41"/>
      <c r="H80" s="41"/>
      <c r="I80" s="41"/>
    </row>
    <row r="81" spans="2:9">
      <c r="B81" s="41"/>
      <c r="C81" s="41"/>
      <c r="D81" s="41"/>
      <c r="E81" s="41"/>
      <c r="F81" s="41"/>
      <c r="G81" s="41"/>
      <c r="H81" s="41"/>
      <c r="I81" s="41"/>
    </row>
    <row r="82" spans="2:9">
      <c r="B82" s="41"/>
      <c r="C82" s="41"/>
      <c r="D82" s="183" t="s">
        <v>253</v>
      </c>
      <c r="E82" s="183" t="s">
        <v>274</v>
      </c>
      <c r="F82" s="183" t="s">
        <v>275</v>
      </c>
      <c r="G82" s="41"/>
      <c r="H82" s="41"/>
      <c r="I82" s="41"/>
    </row>
    <row r="83" spans="2:9" ht="20.100000000000001" customHeight="1">
      <c r="B83" s="41"/>
      <c r="C83" s="41"/>
      <c r="D83" s="209">
        <v>2023</v>
      </c>
      <c r="E83" s="209">
        <f>'CC 2023'!$E$73</f>
        <v>0</v>
      </c>
      <c r="F83" s="211">
        <f>'CC 2023'!$K$73</f>
        <v>0</v>
      </c>
      <c r="G83" s="41"/>
      <c r="H83" s="221"/>
      <c r="I83" s="41"/>
    </row>
    <row r="84" spans="2:9" ht="20.100000000000001" customHeight="1">
      <c r="B84" s="41"/>
      <c r="C84" s="41"/>
      <c r="D84" s="209">
        <v>2023</v>
      </c>
      <c r="E84" s="209">
        <f>'CC 2023'!$E$74</f>
        <v>0</v>
      </c>
      <c r="F84" s="211">
        <f>'CC 2023'!$J$74</f>
        <v>0</v>
      </c>
      <c r="G84" s="41"/>
      <c r="H84" s="41"/>
      <c r="I84" s="41"/>
    </row>
    <row r="85" spans="2:9" ht="20.100000000000001" customHeight="1">
      <c r="B85" s="41"/>
      <c r="C85" s="41"/>
      <c r="D85" s="209">
        <v>2023</v>
      </c>
      <c r="E85" s="209">
        <f>'CC 2023'!$E$75</f>
        <v>0</v>
      </c>
      <c r="F85" s="211">
        <f>'CC 2023'!$K$75</f>
        <v>0</v>
      </c>
      <c r="G85" s="41"/>
      <c r="H85" s="41"/>
      <c r="I85" s="41"/>
    </row>
    <row r="86" spans="2:9" ht="20.100000000000001" customHeight="1">
      <c r="B86" s="41"/>
      <c r="C86" s="41"/>
      <c r="D86" s="209">
        <v>2023</v>
      </c>
      <c r="E86" s="209">
        <f>'CC 2023'!$E$76</f>
        <v>0</v>
      </c>
      <c r="F86" s="211">
        <f>'CC 2023'!$K$76</f>
        <v>0</v>
      </c>
      <c r="G86" s="41"/>
      <c r="H86" s="41"/>
      <c r="I86" s="41"/>
    </row>
    <row r="87" spans="2:9" ht="20.100000000000001" customHeight="1">
      <c r="B87" s="41"/>
      <c r="C87" s="41"/>
      <c r="D87" s="209">
        <v>2023</v>
      </c>
      <c r="E87" s="209">
        <f>'CC 2023'!$E$77</f>
        <v>0</v>
      </c>
      <c r="F87" s="211">
        <f>'CC 2023'!$K$77</f>
        <v>0</v>
      </c>
      <c r="G87" s="41"/>
      <c r="H87" s="41"/>
      <c r="I87" s="41"/>
    </row>
    <row r="88" spans="2:9" ht="20.100000000000001" customHeight="1">
      <c r="B88" s="41"/>
      <c r="C88" s="41"/>
      <c r="D88" s="209">
        <v>2023</v>
      </c>
      <c r="E88" s="209">
        <f>'CC 2023'!$E$78</f>
        <v>0</v>
      </c>
      <c r="F88" s="211">
        <f>'CC 2023'!$K$78</f>
        <v>0</v>
      </c>
      <c r="G88" s="41"/>
      <c r="H88" s="41"/>
      <c r="I88" s="41"/>
    </row>
    <row r="89" spans="2:9" ht="20.100000000000001" customHeight="1">
      <c r="B89" s="41"/>
      <c r="C89" s="41"/>
      <c r="D89" s="209">
        <v>2023</v>
      </c>
      <c r="E89" s="209">
        <f>'CC 2023'!$E$79</f>
        <v>0</v>
      </c>
      <c r="F89" s="211">
        <f>'CC 2023'!$K$79</f>
        <v>0</v>
      </c>
      <c r="G89" s="41"/>
      <c r="H89" s="41"/>
      <c r="I89" s="41"/>
    </row>
    <row r="90" spans="2:9" ht="20.100000000000001" customHeight="1">
      <c r="B90" s="41"/>
      <c r="C90" s="41"/>
      <c r="D90" s="209">
        <v>2023</v>
      </c>
      <c r="E90" s="209">
        <f>'CC 2023'!$E$80</f>
        <v>0</v>
      </c>
      <c r="F90" s="211">
        <f>'CC 2023'!$K$80</f>
        <v>0</v>
      </c>
      <c r="G90" s="41"/>
      <c r="H90" s="41"/>
      <c r="I90" s="41"/>
    </row>
    <row r="91" spans="2:9" ht="20.100000000000001" customHeight="1">
      <c r="B91" s="41"/>
      <c r="C91" s="41"/>
      <c r="D91" s="209">
        <v>2024</v>
      </c>
      <c r="E91" s="209" t="str">
        <f>'CC 2024'!$E$73</f>
        <v>Team management / Team leader training</v>
      </c>
      <c r="F91" s="211">
        <f>'CC 2024'!$K$73</f>
        <v>0</v>
      </c>
      <c r="G91" s="41"/>
      <c r="H91" s="41"/>
      <c r="I91" s="41"/>
    </row>
    <row r="92" spans="2:9" ht="20.100000000000001" customHeight="1">
      <c r="B92" s="41"/>
      <c r="C92" s="41"/>
      <c r="D92" s="209">
        <v>2024</v>
      </c>
      <c r="E92" s="209" t="str">
        <f>'CC 2024'!$E$74</f>
        <v>A training around AI applied to our business</v>
      </c>
      <c r="F92" s="211">
        <f>'CC 2024'!$K$74</f>
        <v>0</v>
      </c>
      <c r="G92" s="41"/>
      <c r="H92" s="41"/>
      <c r="I92" s="41"/>
    </row>
    <row r="93" spans="2:9" ht="20.100000000000001" customHeight="1">
      <c r="B93" s="41"/>
      <c r="C93" s="41"/>
      <c r="D93" s="209">
        <v>2024</v>
      </c>
      <c r="E93" s="209" t="str">
        <f>'CC 2024'!$E$75</f>
        <v>Grafana training</v>
      </c>
      <c r="F93" s="211">
        <f>'CC 2024'!$K$75</f>
        <v>0</v>
      </c>
      <c r="G93" s="41"/>
      <c r="H93" s="41"/>
      <c r="I93" s="41"/>
    </row>
    <row r="94" spans="2:9" ht="20.100000000000001" customHeight="1">
      <c r="B94" s="41"/>
      <c r="C94" s="41"/>
      <c r="D94" s="209">
        <v>2024</v>
      </c>
      <c r="E94" s="209">
        <f>'CC 2024'!$E$76</f>
        <v>0</v>
      </c>
      <c r="F94" s="211">
        <f>'CC 2024'!$K$76</f>
        <v>0</v>
      </c>
      <c r="G94" s="41"/>
      <c r="H94" s="41"/>
      <c r="I94" s="41"/>
    </row>
    <row r="95" spans="2:9" ht="20.100000000000001" customHeight="1">
      <c r="B95" s="41"/>
      <c r="C95" s="41"/>
      <c r="D95" s="209">
        <v>2024</v>
      </c>
      <c r="E95" s="209">
        <f>'CC 2024'!$E$77</f>
        <v>0</v>
      </c>
      <c r="F95" s="211">
        <f>'CC 2024'!$K$77</f>
        <v>0</v>
      </c>
      <c r="G95" s="41"/>
      <c r="H95" s="41"/>
      <c r="I95" s="41"/>
    </row>
    <row r="96" spans="2:9" ht="20.100000000000001" customHeight="1">
      <c r="B96" s="41"/>
      <c r="C96" s="41"/>
      <c r="D96" s="209">
        <v>2024</v>
      </c>
      <c r="E96" s="209">
        <f>'CC 2024'!$E$78</f>
        <v>0</v>
      </c>
      <c r="F96" s="211">
        <f>'CC 2024'!$K$78</f>
        <v>0</v>
      </c>
      <c r="G96" s="41"/>
      <c r="H96" s="41"/>
      <c r="I96" s="41"/>
    </row>
    <row r="97" spans="2:9" ht="20.100000000000001" customHeight="1">
      <c r="B97" s="41"/>
      <c r="C97" s="41"/>
      <c r="D97" s="209">
        <v>2024</v>
      </c>
      <c r="E97" s="209">
        <f>'CC 2024'!$E$79</f>
        <v>0</v>
      </c>
      <c r="F97" s="211">
        <f>'CC 2024'!$K$79</f>
        <v>0</v>
      </c>
      <c r="G97" s="41"/>
      <c r="H97" s="41"/>
      <c r="I97" s="41"/>
    </row>
    <row r="98" spans="2:9" ht="20.100000000000001" customHeight="1">
      <c r="B98" s="41"/>
      <c r="C98" s="41"/>
      <c r="D98" s="209">
        <v>2024</v>
      </c>
      <c r="E98" s="209">
        <f>'CC 2024'!$E$80</f>
        <v>0</v>
      </c>
      <c r="F98" s="211">
        <f>'CC 2024'!$K$80</f>
        <v>0</v>
      </c>
      <c r="G98" s="41"/>
      <c r="H98" s="41"/>
      <c r="I98" s="41"/>
    </row>
    <row r="99" spans="2:9" ht="20.100000000000001" hidden="1" customHeight="1">
      <c r="B99" s="41"/>
      <c r="C99" s="41"/>
      <c r="D99" s="209">
        <v>2025</v>
      </c>
      <c r="E99" s="209">
        <f>'CC 2025'!$E$73</f>
        <v>0</v>
      </c>
      <c r="F99" s="211">
        <f>'CC 2025'!$K$73</f>
        <v>0</v>
      </c>
      <c r="G99" s="41"/>
      <c r="H99" s="41"/>
      <c r="I99" s="41"/>
    </row>
    <row r="100" spans="2:9" ht="20.100000000000001" hidden="1" customHeight="1">
      <c r="B100" s="41"/>
      <c r="C100" s="41"/>
      <c r="D100" s="209">
        <v>2025</v>
      </c>
      <c r="E100" s="209">
        <f>'CC 2025'!$E$74</f>
        <v>0</v>
      </c>
      <c r="F100" s="211">
        <f>'CC 2025'!$K$74</f>
        <v>0</v>
      </c>
      <c r="G100" s="41"/>
      <c r="H100" s="41"/>
      <c r="I100" s="41"/>
    </row>
    <row r="101" spans="2:9" ht="20.100000000000001" hidden="1" customHeight="1">
      <c r="B101" s="41"/>
      <c r="C101" s="41"/>
      <c r="D101" s="209">
        <v>2025</v>
      </c>
      <c r="E101" s="209">
        <f>'CC 2025'!$E$75</f>
        <v>0</v>
      </c>
      <c r="F101" s="211">
        <f>'CC 2025'!$K$75</f>
        <v>0</v>
      </c>
      <c r="G101" s="41"/>
      <c r="H101" s="41"/>
      <c r="I101" s="41"/>
    </row>
    <row r="102" spans="2:9" ht="20.100000000000001" hidden="1" customHeight="1">
      <c r="B102" s="41"/>
      <c r="C102" s="41"/>
      <c r="D102" s="209">
        <v>2025</v>
      </c>
      <c r="E102" s="209">
        <f>'CC 2025'!$E$76</f>
        <v>0</v>
      </c>
      <c r="F102" s="211">
        <f>'CC 2025'!$K$76</f>
        <v>0</v>
      </c>
      <c r="G102" s="41"/>
      <c r="H102" s="41"/>
      <c r="I102" s="41"/>
    </row>
    <row r="103" spans="2:9" ht="20.100000000000001" hidden="1" customHeight="1">
      <c r="B103" s="41"/>
      <c r="C103" s="41"/>
      <c r="D103" s="209">
        <v>2025</v>
      </c>
      <c r="E103" s="209">
        <f>'CC 2025'!$E$77</f>
        <v>0</v>
      </c>
      <c r="F103" s="211">
        <f>'CC 2025'!$K$77</f>
        <v>0</v>
      </c>
      <c r="G103" s="41"/>
      <c r="H103" s="41"/>
      <c r="I103" s="41"/>
    </row>
    <row r="104" spans="2:9" ht="20.100000000000001" hidden="1" customHeight="1">
      <c r="B104" s="41"/>
      <c r="C104" s="41"/>
      <c r="D104" s="209">
        <v>2025</v>
      </c>
      <c r="E104" s="209">
        <f>'CC 2025'!$E$78</f>
        <v>0</v>
      </c>
      <c r="F104" s="211">
        <f>'CC 2025'!$K$78</f>
        <v>0</v>
      </c>
      <c r="G104" s="41"/>
      <c r="H104" s="41"/>
      <c r="I104" s="41"/>
    </row>
    <row r="105" spans="2:9" ht="20.100000000000001" hidden="1" customHeight="1">
      <c r="B105" s="41"/>
      <c r="C105" s="41"/>
      <c r="D105" s="209">
        <v>2025</v>
      </c>
      <c r="E105" s="209">
        <f>'CC 2025'!$E$79</f>
        <v>0</v>
      </c>
      <c r="F105" s="211">
        <f>'CC 2025'!$K$79</f>
        <v>0</v>
      </c>
      <c r="G105" s="41"/>
      <c r="H105" s="41"/>
      <c r="I105" s="41"/>
    </row>
    <row r="106" spans="2:9" ht="20.100000000000001" hidden="1" customHeight="1">
      <c r="B106" s="41"/>
      <c r="C106" s="41"/>
      <c r="D106" s="209">
        <v>2025</v>
      </c>
      <c r="E106" s="209">
        <f>'CC 2025'!$E$80</f>
        <v>0</v>
      </c>
      <c r="F106" s="211">
        <f>'CC 2025'!$K$80</f>
        <v>0</v>
      </c>
      <c r="G106" s="41"/>
      <c r="H106" s="41"/>
      <c r="I106" s="41"/>
    </row>
    <row r="107" spans="2:9" ht="20.100000000000001" hidden="1" customHeight="1">
      <c r="B107" s="41"/>
      <c r="C107" s="41"/>
      <c r="D107" s="209">
        <v>2026</v>
      </c>
      <c r="E107" s="209">
        <f>'CC 2026'!$E$73</f>
        <v>0</v>
      </c>
      <c r="F107" s="211">
        <f>'CC 2026'!$K$73</f>
        <v>0</v>
      </c>
      <c r="G107" s="41"/>
      <c r="H107" s="41"/>
      <c r="I107" s="41"/>
    </row>
    <row r="108" spans="2:9" ht="20.100000000000001" hidden="1" customHeight="1">
      <c r="B108" s="41"/>
      <c r="C108" s="41"/>
      <c r="D108" s="209">
        <v>2026</v>
      </c>
      <c r="E108" s="209">
        <f>'CC 2026'!$E$74</f>
        <v>0</v>
      </c>
      <c r="F108" s="211">
        <f>'CC 2026'!$K$74</f>
        <v>0</v>
      </c>
      <c r="G108" s="41"/>
      <c r="H108" s="41"/>
      <c r="I108" s="41"/>
    </row>
    <row r="109" spans="2:9" ht="20.100000000000001" hidden="1" customHeight="1">
      <c r="B109" s="41"/>
      <c r="C109" s="41"/>
      <c r="D109" s="209">
        <v>2026</v>
      </c>
      <c r="E109" s="209">
        <f>'CC 2026'!$E$75</f>
        <v>0</v>
      </c>
      <c r="F109" s="211">
        <f>'CC 2026'!$K$75</f>
        <v>0</v>
      </c>
      <c r="G109" s="41"/>
      <c r="H109" s="41"/>
      <c r="I109" s="41"/>
    </row>
    <row r="110" spans="2:9" ht="20.100000000000001" hidden="1" customHeight="1">
      <c r="B110" s="41"/>
      <c r="C110" s="41"/>
      <c r="D110" s="209">
        <v>2026</v>
      </c>
      <c r="E110" s="209">
        <f>'CC 2026'!$E$76</f>
        <v>0</v>
      </c>
      <c r="F110" s="211">
        <f>'CC 2026'!$K$76</f>
        <v>0</v>
      </c>
      <c r="G110" s="41"/>
      <c r="H110" s="41"/>
      <c r="I110" s="41"/>
    </row>
    <row r="111" spans="2:9" ht="20.100000000000001" hidden="1" customHeight="1">
      <c r="B111" s="41"/>
      <c r="C111" s="41"/>
      <c r="D111" s="209">
        <v>2026</v>
      </c>
      <c r="E111" s="209">
        <f>'CC 2026'!$E$77</f>
        <v>0</v>
      </c>
      <c r="F111" s="211">
        <f>'CC 2026'!$K$77</f>
        <v>0</v>
      </c>
      <c r="G111" s="41"/>
      <c r="H111" s="41"/>
      <c r="I111" s="41"/>
    </row>
    <row r="112" spans="2:9" ht="20.100000000000001" hidden="1" customHeight="1">
      <c r="B112" s="41"/>
      <c r="C112" s="41"/>
      <c r="D112" s="209">
        <v>2026</v>
      </c>
      <c r="E112" s="209">
        <f>'CC 2026'!$E$78</f>
        <v>0</v>
      </c>
      <c r="F112" s="211">
        <f>'CC 2026'!$K$78</f>
        <v>0</v>
      </c>
      <c r="G112" s="41"/>
      <c r="H112" s="41"/>
      <c r="I112" s="41"/>
    </row>
    <row r="113" spans="2:9" ht="20.100000000000001" hidden="1" customHeight="1">
      <c r="B113" s="41"/>
      <c r="C113" s="41"/>
      <c r="D113" s="209">
        <v>2026</v>
      </c>
      <c r="E113" s="209">
        <f>'CC 2026'!$E$79</f>
        <v>0</v>
      </c>
      <c r="F113" s="211">
        <f>'CC 2026'!$K$79</f>
        <v>0</v>
      </c>
      <c r="G113" s="41"/>
      <c r="H113" s="41"/>
      <c r="I113" s="41"/>
    </row>
    <row r="114" spans="2:9" ht="20.100000000000001" hidden="1" customHeight="1">
      <c r="B114" s="41"/>
      <c r="C114" s="41"/>
      <c r="D114" s="209">
        <v>2026</v>
      </c>
      <c r="E114" s="209">
        <f>'CC 2026'!$E$80</f>
        <v>0</v>
      </c>
      <c r="F114" s="211">
        <f>'CC 2026'!$K$80</f>
        <v>0</v>
      </c>
      <c r="G114" s="41"/>
      <c r="H114" s="41"/>
      <c r="I114" s="41"/>
    </row>
    <row r="115" spans="2:9">
      <c r="B115" s="41"/>
      <c r="C115" s="41"/>
      <c r="D115" s="41"/>
      <c r="E115" s="41"/>
      <c r="F115" s="41"/>
      <c r="G115" s="41"/>
      <c r="H115" s="41"/>
      <c r="I115" s="41"/>
    </row>
    <row r="116" spans="2:9">
      <c r="B116" s="41"/>
      <c r="C116" s="41"/>
      <c r="D116" s="41"/>
      <c r="E116" s="41"/>
      <c r="F116" s="41"/>
      <c r="G116" s="41"/>
      <c r="H116" s="41"/>
      <c r="I116" s="41"/>
    </row>
    <row r="117" spans="2:9">
      <c r="B117" s="41"/>
      <c r="C117" s="41"/>
      <c r="D117" s="41"/>
      <c r="E117" s="41"/>
      <c r="F117" s="41"/>
      <c r="G117" s="41"/>
      <c r="H117" s="41"/>
      <c r="I117" s="41"/>
    </row>
    <row r="118" spans="2:9">
      <c r="B118" s="41"/>
      <c r="C118" s="41"/>
      <c r="D118" s="41"/>
      <c r="E118" s="41"/>
      <c r="F118" s="41"/>
      <c r="G118" s="41"/>
      <c r="H118" s="41"/>
      <c r="I118" s="41"/>
    </row>
    <row r="119" spans="2:9">
      <c r="B119" s="41"/>
      <c r="C119" s="41"/>
      <c r="D119" s="41"/>
      <c r="E119" s="41"/>
      <c r="F119" s="41"/>
      <c r="G119" s="41"/>
      <c r="H119" s="41"/>
      <c r="I119" s="41"/>
    </row>
    <row r="120" spans="2:9">
      <c r="B120" s="41"/>
      <c r="C120" s="41"/>
      <c r="D120" s="41"/>
      <c r="E120" s="41"/>
      <c r="F120" s="41"/>
      <c r="G120" s="41"/>
      <c r="H120" s="41"/>
      <c r="I120" s="41"/>
    </row>
    <row r="121" spans="2:9">
      <c r="B121" s="41"/>
      <c r="C121" s="41"/>
      <c r="D121" s="41"/>
      <c r="E121" s="41"/>
      <c r="F121" s="41"/>
      <c r="G121" s="41"/>
      <c r="H121" s="41"/>
      <c r="I121" s="41"/>
    </row>
    <row r="122" spans="2:9">
      <c r="B122" s="41"/>
      <c r="C122" s="41"/>
      <c r="D122" s="41"/>
      <c r="E122" s="41"/>
      <c r="F122" s="41"/>
      <c r="G122" s="41"/>
      <c r="H122" s="41"/>
      <c r="I122" s="41"/>
    </row>
  </sheetData>
  <sheetProtection formatCells="0" formatColumns="0" formatRows="0" insertColumns="0" insertRows="0" sort="0" autoFilter="0"/>
  <autoFilter ref="D82:F107" xr:uid="{3DA7BC17-686D-4687-9BA3-006D262BAEB4}"/>
  <mergeCells count="9">
    <mergeCell ref="D80:F80"/>
    <mergeCell ref="E9:G9"/>
    <mergeCell ref="E10:G10"/>
    <mergeCell ref="E11:G11"/>
    <mergeCell ref="D16:G16"/>
    <mergeCell ref="D67:H67"/>
    <mergeCell ref="D27:G27"/>
    <mergeCell ref="H32:I32"/>
    <mergeCell ref="E13:G13"/>
  </mergeCells>
  <conditionalFormatting sqref="D19:G23 D70:H74 D83:F114">
    <cfRule type="expression" dxfId="2" priority="3397">
      <formula>$D19&gt;$C$8</formula>
    </cfRule>
  </conditionalFormatting>
  <conditionalFormatting sqref="D30:H31 D32:G32 D33:H54">
    <cfRule type="expression" dxfId="1" priority="3394">
      <formula>$D30&gt;$C$8</formula>
    </cfRule>
  </conditionalFormatting>
  <conditionalFormatting sqref="E70:H74">
    <cfRule type="dataBar" priority="1">
      <dataBar>
        <cfvo type="num" val="0"/>
        <cfvo type="num" val="1"/>
        <color theme="0" tint="-0.249977111117893"/>
      </dataBar>
      <extLst>
        <ext xmlns:x14="http://schemas.microsoft.com/office/spreadsheetml/2009/9/main" uri="{B025F937-C7B1-47D3-B67F-A62EFF666E3E}">
          <x14:id>{66D68713-745F-4481-8B3E-39EBFB228635}</x14:id>
        </ext>
      </extLst>
    </cfRule>
  </conditionalFormatting>
  <conditionalFormatting sqref="F30:G54 F83:F114">
    <cfRule type="dataBar" priority="3">
      <dataBar>
        <cfvo type="num" val="0"/>
        <cfvo type="num" val="1"/>
        <color theme="0" tint="-0.14999847407452621"/>
      </dataBar>
      <extLst>
        <ext xmlns:x14="http://schemas.microsoft.com/office/spreadsheetml/2009/9/main" uri="{B025F937-C7B1-47D3-B67F-A62EFF666E3E}">
          <x14:id>{070CD312-0313-41BC-94DA-82D18385F758}</x14:id>
        </ext>
      </extLst>
    </cfRule>
  </conditionalFormatting>
  <conditionalFormatting sqref="H57">
    <cfRule type="expression" dxfId="0" priority="3398">
      <formula>$D58&gt;$C$8</formula>
    </cfRule>
  </conditionalFormatting>
  <pageMargins left="0.70866141732283472" right="0.70866141732283472" top="0.74803149606299213" bottom="0.74803149606299213" header="0.31496062992125984" footer="0.31496062992125984"/>
  <pageSetup scale="30" orientation="portrait" r:id="rId1"/>
  <drawing r:id="rId2"/>
  <tableParts count="4">
    <tablePart r:id="rId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66D68713-745F-4481-8B3E-39EBFB228635}">
            <x14:dataBar minLength="0" maxLength="100" gradient="0">
              <x14:cfvo type="num">
                <xm:f>0</xm:f>
              </x14:cfvo>
              <x14:cfvo type="num">
                <xm:f>1</xm:f>
              </x14:cfvo>
              <x14:negativeFillColor rgb="FFFF0000"/>
              <x14:axisColor rgb="FF000000"/>
            </x14:dataBar>
          </x14:cfRule>
          <xm:sqref>E70:H74</xm:sqref>
        </x14:conditionalFormatting>
        <x14:conditionalFormatting xmlns:xm="http://schemas.microsoft.com/office/excel/2006/main">
          <x14:cfRule type="dataBar" id="{070CD312-0313-41BC-94DA-82D18385F758}">
            <x14:dataBar minLength="0" maxLength="100" border="1" gradient="0" negativeBarBorderColorSameAsPositive="0">
              <x14:cfvo type="num">
                <xm:f>0</xm:f>
              </x14:cfvo>
              <x14:cfvo type="num">
                <xm:f>1</xm:f>
              </x14:cfvo>
              <x14:borderColor theme="0" tint="-0.249977111117893"/>
              <x14:negativeFillColor rgb="FFFF0000"/>
              <x14:negativeBorderColor rgb="FFFF0000"/>
              <x14:axisColor rgb="FF000000"/>
            </x14:dataBar>
          </x14:cfRule>
          <xm:sqref>F30:G54 F83:F114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14aec0e4-37bb-4314-bb44-5b1dceb9bf9e">
      <UserInfo>
        <DisplayName>Margaux Faurie</DisplayName>
        <AccountId>12</AccountId>
        <AccountType/>
      </UserInfo>
      <UserInfo>
        <DisplayName>Everyone</DisplayName>
        <AccountId>9</AccountId>
        <AccountType/>
      </UserInfo>
      <UserInfo>
        <DisplayName>Anaël Greiveldinger</DisplayName>
        <AccountId>21</AccountId>
        <AccountType/>
      </UserInfo>
      <UserInfo>
        <DisplayName>Akshat Tandon</DisplayName>
        <AccountId>20</AccountId>
        <AccountType/>
      </UserInfo>
      <UserInfo>
        <DisplayName>Oscar Yip</DisplayName>
        <AccountId>91</AccountId>
        <AccountType/>
      </UserInfo>
    </SharedWithUsers>
    <Status xmlns="daaa6dae-35e7-4bb9-9857-1ce4b15e81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7" ma:contentTypeDescription="Create a new document." ma:contentTypeScope="" ma:versionID="23a591f0582685976c63a36c68ce056e">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be43c1dcf7f838990a8c17df0e40e816"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Status" ma:index="14" nillable="true" ma:displayName="Status" ma:format="Dropdown" ma:internalName="Status">
      <xsd:simpleType>
        <xsd:restriction base="dms:Choice">
          <xsd:enumeration value="Inactive"/>
          <xsd:enumeration value="Active"/>
        </xsd:restriction>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F9CFB1-360A-4795-AB29-20A6F29F80FB}">
  <ds:schemaRefs>
    <ds:schemaRef ds:uri="http://schemas.microsoft.com/office/2006/metadata/properties"/>
    <ds:schemaRef ds:uri="http://schemas.microsoft.com/office/infopath/2007/PartnerControls"/>
    <ds:schemaRef ds:uri="14aec0e4-37bb-4314-bb44-5b1dceb9bf9e"/>
    <ds:schemaRef ds:uri="daaa6dae-35e7-4bb9-9857-1ce4b15e8123"/>
  </ds:schemaRefs>
</ds:datastoreItem>
</file>

<file path=customXml/itemProps2.xml><?xml version="1.0" encoding="utf-8"?>
<ds:datastoreItem xmlns:ds="http://schemas.openxmlformats.org/officeDocument/2006/customXml" ds:itemID="{3D677C47-279C-47C4-89A2-BE5287334F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a6dae-35e7-4bb9-9857-1ce4b15e8123"/>
    <ds:schemaRef ds:uri="14aec0e4-37bb-4314-bb44-5b1dceb9bf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A6508F-56DD-407D-852B-88ABE3B170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CC 2023</vt:lpstr>
      <vt:lpstr>Ramp Up Model</vt:lpstr>
      <vt:lpstr>CC 2024</vt:lpstr>
      <vt:lpstr>CC 2025</vt:lpstr>
      <vt:lpstr>CC 2026</vt:lpstr>
      <vt:lpstr>CC Model</vt:lpstr>
      <vt:lpstr>CC 2027</vt:lpstr>
      <vt:lpstr>Dashboard</vt:lpstr>
      <vt:lpstr>'CC 2023'!Print_Area</vt:lpstr>
      <vt:lpstr>'CC 2024'!Print_Area</vt:lpstr>
      <vt:lpstr>'CC 2025'!Print_Area</vt:lpstr>
      <vt:lpstr>'CC 2026'!Print_Area</vt:lpstr>
      <vt:lpstr>'CC 2027'!Print_Area</vt:lpstr>
      <vt:lpstr>'CC Model'!Print_Area</vt:lpstr>
      <vt:lpstr>'Ramp Up Model'!Print_Area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Margaux Faurie</dc:creator>
  <cp:keywords/>
  <dc:description/>
  <cp:lastModifiedBy>Oscar Yip</cp:lastModifiedBy>
  <cp:revision/>
  <dcterms:created xsi:type="dcterms:W3CDTF">2023-08-03T00:43:43Z</dcterms:created>
  <dcterms:modified xsi:type="dcterms:W3CDTF">2024-07-19T02:58:15Z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SharedWithUsers">
    <vt:lpwstr>12;#Marie Leclerc;#9;#Margaux Faurie</vt:lpwstr>
  </property>
  <property fmtid="{D5CDD505-2E9C-101B-9397-08002B2CF9AE}" pid="4" name="MSIP_Label_3fcb40f8-0b03-406c-bbc7-21d55793edc1_Enabled">
    <vt:lpwstr>true</vt:lpwstr>
  </property>
  <property fmtid="{D5CDD505-2E9C-101B-9397-08002B2CF9AE}" pid="5" name="MSIP_Label_3fcb40f8-0b03-406c-bbc7-21d55793edc1_SetDate">
    <vt:lpwstr>2023-10-30T03:22:42Z</vt:lpwstr>
  </property>
  <property fmtid="{D5CDD505-2E9C-101B-9397-08002B2CF9AE}" pid="6" name="MSIP_Label_3fcb40f8-0b03-406c-bbc7-21d55793edc1_Method">
    <vt:lpwstr>Privileged</vt:lpwstr>
  </property>
  <property fmtid="{D5CDD505-2E9C-101B-9397-08002B2CF9AE}" pid="7" name="MSIP_Label_3fcb40f8-0b03-406c-bbc7-21d55793edc1_Name">
    <vt:lpwstr>defa4170-0d19-0005-0000-bc88714345d2</vt:lpwstr>
  </property>
  <property fmtid="{D5CDD505-2E9C-101B-9397-08002B2CF9AE}" pid="8" name="MSIP_Label_3fcb40f8-0b03-406c-bbc7-21d55793edc1_SiteId">
    <vt:lpwstr>11168e9d-8339-4497-a4a0-a9213624f2cd</vt:lpwstr>
  </property>
  <property fmtid="{D5CDD505-2E9C-101B-9397-08002B2CF9AE}" pid="9" name="MSIP_Label_3fcb40f8-0b03-406c-bbc7-21d55793edc1_ActionId">
    <vt:lpwstr>52a53e61-0572-49ce-8d42-fde7f7a95f3b</vt:lpwstr>
  </property>
  <property fmtid="{D5CDD505-2E9C-101B-9397-08002B2CF9AE}" pid="10" name="MSIP_Label_3fcb40f8-0b03-406c-bbc7-21d55793edc1_ContentBits">
    <vt:lpwstr>0</vt:lpwstr>
  </property>
</Properties>
</file>