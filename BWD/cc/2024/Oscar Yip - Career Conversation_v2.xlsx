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xl/tables/table2.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https://hawaiki-my.sharepoint.com/personal/oyip_bw-digital_com/Documents/BWD/ramp up and cc/2024/"/>
    </mc:Choice>
  </mc:AlternateContent>
  <xr:revisionPtr revIDLastSave="1111" documentId="13_ncr:101_{3481C91F-F1D8-4AB7-80CA-6FD453CD0C81}" xr6:coauthVersionLast="47" xr6:coauthVersionMax="47" xr10:uidLastSave="{E7749E2C-3B71-419C-85BF-D36EE223C929}"/>
  <bookViews>
    <workbookView xWindow="28680" yWindow="-120" windowWidth="29040" windowHeight="15990" firstSheet="1" activeTab="2" xr2:uid="{85D2EE43-84F4-4C3C-86A4-4F8CD70FB5F6}"/>
  </bookViews>
  <sheets>
    <sheet name="CC 2023" sheetId="52" state="hidden" r:id="rId1"/>
    <sheet name="Ramp Up Model" sheetId="45" r:id="rId2"/>
    <sheet name="CC 2024" sheetId="54" r:id="rId3"/>
    <sheet name="CC 2025" sheetId="55" state="hidden" r:id="rId4"/>
    <sheet name="CC 2026" sheetId="56" state="hidden" r:id="rId5"/>
    <sheet name="CC Model" sheetId="39" state="hidden" r:id="rId6"/>
    <sheet name="CC 2027" sheetId="57" state="hidden" r:id="rId7"/>
    <sheet name="Dashboard" sheetId="47" r:id="rId8"/>
  </sheets>
  <definedNames>
    <definedName name="_xlnm._FilterDatabase" localSheetId="0" hidden="1">'CC 2023'!$E$72:$L$80</definedName>
    <definedName name="_xlnm._FilterDatabase" localSheetId="2" hidden="1">'CC 2024'!$E$72:$L$80</definedName>
    <definedName name="_xlnm._FilterDatabase" localSheetId="3" hidden="1">'CC 2025'!$E$72:$L$80</definedName>
    <definedName name="_xlnm._FilterDatabase" localSheetId="4" hidden="1">'CC 2026'!$E$72:$L$80</definedName>
    <definedName name="_xlnm._FilterDatabase" localSheetId="6" hidden="1">'CC 2027'!$E$72:$L$80</definedName>
    <definedName name="_xlnm._FilterDatabase" localSheetId="5" hidden="1">'CC Model'!$E$72:$L$80</definedName>
    <definedName name="_xlnm._FilterDatabase" localSheetId="7" hidden="1">Dashboard!$D$82:$F$107</definedName>
    <definedName name="_xlnm.Print_Area" localSheetId="0">'CC 2023'!$D$1:$M$191</definedName>
    <definedName name="_xlnm.Print_Area" localSheetId="2">'CC 2024'!$D$1:$M$189</definedName>
    <definedName name="_xlnm.Print_Area" localSheetId="3">'CC 2025'!$D$1:$M$189</definedName>
    <definedName name="_xlnm.Print_Area" localSheetId="4">'CC 2026'!$D$1:$M$189</definedName>
    <definedName name="_xlnm.Print_Area" localSheetId="6">'CC 2027'!$D$1:$M$189</definedName>
    <definedName name="_xlnm.Print_Area" localSheetId="5">'CC Model'!$D$1:$M$189</definedName>
    <definedName name="_xlnm.Print_Area" localSheetId="1">'Ramp Up Model'!$C$1:$L$230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5" l="1"/>
  <c r="G177" i="57"/>
  <c r="G171" i="57"/>
  <c r="G169" i="57"/>
  <c r="G166" i="57"/>
  <c r="G164" i="57"/>
  <c r="G161" i="57"/>
  <c r="G159" i="57"/>
  <c r="G156" i="57"/>
  <c r="G154" i="57"/>
  <c r="F138" i="57"/>
  <c r="F126" i="57"/>
  <c r="F114" i="57"/>
  <c r="F102" i="57"/>
  <c r="F90" i="57"/>
  <c r="G67" i="57"/>
  <c r="G65" i="57"/>
  <c r="G61" i="57"/>
  <c r="G59" i="57"/>
  <c r="G55" i="57"/>
  <c r="G53" i="57"/>
  <c r="G49" i="57"/>
  <c r="G47" i="57"/>
  <c r="G43" i="57"/>
  <c r="G41" i="57"/>
  <c r="G37" i="57"/>
  <c r="G35" i="57"/>
  <c r="G31" i="57"/>
  <c r="G29" i="57"/>
  <c r="G14" i="57"/>
  <c r="E2" i="57"/>
  <c r="G177" i="39"/>
  <c r="G171" i="39"/>
  <c r="G169" i="39"/>
  <c r="G166" i="39"/>
  <c r="G164" i="39"/>
  <c r="G161" i="39"/>
  <c r="G159" i="39"/>
  <c r="G156" i="39"/>
  <c r="G154" i="39"/>
  <c r="F138" i="39"/>
  <c r="F126" i="39"/>
  <c r="F114" i="39"/>
  <c r="F102" i="39"/>
  <c r="F90" i="39"/>
  <c r="G67" i="39"/>
  <c r="G65" i="39"/>
  <c r="G61" i="39"/>
  <c r="G59" i="39"/>
  <c r="G55" i="39"/>
  <c r="G53" i="39"/>
  <c r="G49" i="39"/>
  <c r="G47" i="39"/>
  <c r="G43" i="39"/>
  <c r="G41" i="39"/>
  <c r="G37" i="39"/>
  <c r="G35" i="39"/>
  <c r="G31" i="39"/>
  <c r="G29" i="39"/>
  <c r="G14" i="39"/>
  <c r="G177" i="56"/>
  <c r="G171" i="56"/>
  <c r="G169" i="56"/>
  <c r="G166" i="56"/>
  <c r="G164" i="56"/>
  <c r="G161" i="56"/>
  <c r="G159" i="56"/>
  <c r="G156" i="56"/>
  <c r="G154" i="56"/>
  <c r="F138" i="56"/>
  <c r="F126" i="56"/>
  <c r="E47" i="47" s="1"/>
  <c r="F114" i="56"/>
  <c r="F102" i="56"/>
  <c r="F90" i="56"/>
  <c r="G67" i="56"/>
  <c r="G65" i="56"/>
  <c r="G61" i="56"/>
  <c r="G59" i="56"/>
  <c r="G55" i="56"/>
  <c r="G53" i="56"/>
  <c r="G49" i="56"/>
  <c r="G47" i="56"/>
  <c r="G43" i="56"/>
  <c r="G41" i="56"/>
  <c r="G37" i="56"/>
  <c r="G35" i="56"/>
  <c r="G31" i="56"/>
  <c r="G29" i="56"/>
  <c r="G14" i="56"/>
  <c r="E2" i="56"/>
  <c r="G177" i="55"/>
  <c r="G171" i="55"/>
  <c r="G169" i="55"/>
  <c r="G166" i="55"/>
  <c r="G164" i="55"/>
  <c r="G161" i="55"/>
  <c r="G159" i="55"/>
  <c r="G156" i="55"/>
  <c r="G154" i="55"/>
  <c r="F138" i="55"/>
  <c r="F126" i="55"/>
  <c r="F114" i="55"/>
  <c r="F102" i="55"/>
  <c r="F90" i="55"/>
  <c r="G67" i="55"/>
  <c r="G65" i="55"/>
  <c r="G61" i="55"/>
  <c r="G59" i="55"/>
  <c r="G55" i="55"/>
  <c r="G53" i="55"/>
  <c r="G49" i="55"/>
  <c r="G47" i="55"/>
  <c r="G43" i="55"/>
  <c r="G41" i="55"/>
  <c r="G37" i="55"/>
  <c r="G35" i="55"/>
  <c r="G31" i="55"/>
  <c r="G29" i="55"/>
  <c r="G14" i="55"/>
  <c r="E2" i="55"/>
  <c r="E2" i="39"/>
  <c r="C7" i="47"/>
  <c r="F8" i="55"/>
  <c r="F8" i="56" s="1"/>
  <c r="F8" i="57" s="1"/>
  <c r="J164" i="54"/>
  <c r="F6" i="55"/>
  <c r="F6" i="56" s="1"/>
  <c r="F6" i="57" s="1"/>
  <c r="L137" i="55"/>
  <c r="L137" i="56" s="1"/>
  <c r="O137" i="56" s="1"/>
  <c r="K137" i="55"/>
  <c r="K137" i="56" s="1"/>
  <c r="J137" i="55"/>
  <c r="J137" i="56" s="1"/>
  <c r="I137" i="55"/>
  <c r="I137" i="56" s="1"/>
  <c r="F137" i="55"/>
  <c r="F137" i="56" s="1"/>
  <c r="L125" i="55"/>
  <c r="K125" i="55"/>
  <c r="K125" i="56" s="1"/>
  <c r="J125" i="55"/>
  <c r="J125" i="56" s="1"/>
  <c r="I125" i="55"/>
  <c r="I125" i="56" s="1"/>
  <c r="F125" i="55"/>
  <c r="F125" i="56" s="1"/>
  <c r="L113" i="55"/>
  <c r="L113" i="56" s="1"/>
  <c r="K113" i="55"/>
  <c r="K113" i="56" s="1"/>
  <c r="J113" i="55"/>
  <c r="J113" i="56" s="1"/>
  <c r="I113" i="55"/>
  <c r="I113" i="56" s="1"/>
  <c r="F113" i="55"/>
  <c r="F113" i="56" s="1"/>
  <c r="L101" i="55"/>
  <c r="L101" i="56" s="1"/>
  <c r="O101" i="56" s="1"/>
  <c r="K101" i="55"/>
  <c r="K101" i="56" s="1"/>
  <c r="J101" i="55"/>
  <c r="J101" i="56" s="1"/>
  <c r="I101" i="55"/>
  <c r="I101" i="56" s="1"/>
  <c r="F101" i="55"/>
  <c r="F101" i="56" s="1"/>
  <c r="J89" i="55"/>
  <c r="J89" i="56" s="1"/>
  <c r="K89" i="55"/>
  <c r="K89" i="56" s="1"/>
  <c r="L89" i="55"/>
  <c r="O89" i="55" s="1"/>
  <c r="I89" i="55"/>
  <c r="I89" i="56" s="1"/>
  <c r="F89" i="55"/>
  <c r="F89" i="56" s="1"/>
  <c r="G14" i="52"/>
  <c r="G29" i="52"/>
  <c r="G31" i="52"/>
  <c r="G35" i="52"/>
  <c r="G37" i="52"/>
  <c r="G41" i="52"/>
  <c r="G43" i="52"/>
  <c r="G47" i="52"/>
  <c r="G49" i="52"/>
  <c r="G53" i="52"/>
  <c r="G55" i="52"/>
  <c r="G59" i="52"/>
  <c r="G61" i="52"/>
  <c r="G65" i="52"/>
  <c r="G67" i="52"/>
  <c r="F90" i="52"/>
  <c r="F102" i="52"/>
  <c r="F114" i="52"/>
  <c r="F126" i="52"/>
  <c r="F138" i="52"/>
  <c r="G154" i="52"/>
  <c r="G156" i="52"/>
  <c r="G159" i="52"/>
  <c r="G161" i="52"/>
  <c r="G164" i="52"/>
  <c r="G166" i="52"/>
  <c r="G169" i="52"/>
  <c r="G171" i="52"/>
  <c r="G177" i="52"/>
  <c r="G14" i="54"/>
  <c r="G29" i="54"/>
  <c r="G31" i="54"/>
  <c r="G35" i="54"/>
  <c r="G37" i="54"/>
  <c r="G41" i="54"/>
  <c r="G43" i="54"/>
  <c r="G47" i="54"/>
  <c r="G49" i="54"/>
  <c r="G53" i="54"/>
  <c r="G55" i="54"/>
  <c r="G59" i="54"/>
  <c r="G61" i="54"/>
  <c r="G65" i="54"/>
  <c r="G67" i="54"/>
  <c r="F90" i="54"/>
  <c r="F102" i="54"/>
  <c r="F114" i="54"/>
  <c r="F126" i="54"/>
  <c r="F138" i="54"/>
  <c r="G154" i="54"/>
  <c r="G156" i="54"/>
  <c r="G159" i="54"/>
  <c r="G161" i="54"/>
  <c r="G164" i="54"/>
  <c r="G166" i="54"/>
  <c r="G169" i="54"/>
  <c r="G171" i="54"/>
  <c r="G177" i="54"/>
  <c r="E2" i="54"/>
  <c r="F111" i="55"/>
  <c r="F111" i="56" s="1"/>
  <c r="F87" i="55"/>
  <c r="E40" i="47" s="1"/>
  <c r="F114" i="47"/>
  <c r="E114" i="47"/>
  <c r="F113" i="47"/>
  <c r="E113" i="47"/>
  <c r="F112" i="47"/>
  <c r="E112" i="47"/>
  <c r="F111" i="47"/>
  <c r="E111" i="47"/>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3" i="47"/>
  <c r="F84" i="47"/>
  <c r="E84" i="47"/>
  <c r="E83" i="47"/>
  <c r="G54" i="47"/>
  <c r="F54" i="47"/>
  <c r="E54" i="47"/>
  <c r="G53" i="47"/>
  <c r="F53" i="47"/>
  <c r="E53" i="47"/>
  <c r="G52" i="47"/>
  <c r="F52" i="47"/>
  <c r="E52" i="47"/>
  <c r="G51" i="47"/>
  <c r="F51" i="47"/>
  <c r="E51" i="47"/>
  <c r="G50" i="47"/>
  <c r="W66" i="47" s="1"/>
  <c r="F50" i="47"/>
  <c r="E50" i="47"/>
  <c r="G49" i="47"/>
  <c r="F49" i="47"/>
  <c r="G48" i="47"/>
  <c r="F48" i="47"/>
  <c r="G47" i="47"/>
  <c r="F47" i="47"/>
  <c r="G46" i="47"/>
  <c r="F46" i="47"/>
  <c r="G45" i="47"/>
  <c r="F45" i="47"/>
  <c r="G44" i="47"/>
  <c r="F44" i="47"/>
  <c r="G43" i="47"/>
  <c r="F43" i="47"/>
  <c r="G42" i="47"/>
  <c r="F42" i="47"/>
  <c r="E42" i="47"/>
  <c r="G41" i="47"/>
  <c r="F41" i="47"/>
  <c r="G40" i="47"/>
  <c r="F40" i="47"/>
  <c r="G39" i="47"/>
  <c r="F39" i="47"/>
  <c r="G38" i="47"/>
  <c r="F38" i="47"/>
  <c r="G37" i="47"/>
  <c r="F37" i="47"/>
  <c r="E37" i="47"/>
  <c r="G36" i="47"/>
  <c r="F36" i="47"/>
  <c r="G35" i="47"/>
  <c r="F35" i="47"/>
  <c r="E31" i="47"/>
  <c r="G34" i="47"/>
  <c r="F34" i="47"/>
  <c r="E34" i="47"/>
  <c r="G33" i="47"/>
  <c r="F33" i="47"/>
  <c r="E33" i="47"/>
  <c r="G32" i="47"/>
  <c r="F32" i="47"/>
  <c r="E32" i="47"/>
  <c r="G31" i="47"/>
  <c r="F31" i="47"/>
  <c r="G30" i="47"/>
  <c r="F30" i="47"/>
  <c r="E30" i="47"/>
  <c r="H74" i="47"/>
  <c r="G74" i="47"/>
  <c r="F74" i="47"/>
  <c r="E74" i="47"/>
  <c r="H70" i="47"/>
  <c r="G70" i="47"/>
  <c r="F70" i="47"/>
  <c r="E70" i="47"/>
  <c r="G19" i="47"/>
  <c r="F19" i="47"/>
  <c r="E19" i="47"/>
  <c r="H73" i="47"/>
  <c r="G73" i="47"/>
  <c r="F73" i="47"/>
  <c r="E73" i="47"/>
  <c r="H72" i="47"/>
  <c r="G72" i="47"/>
  <c r="F72" i="47"/>
  <c r="E72" i="47"/>
  <c r="H71" i="47"/>
  <c r="G71" i="47"/>
  <c r="F71" i="47"/>
  <c r="E71" i="47"/>
  <c r="G23" i="47"/>
  <c r="F23" i="47"/>
  <c r="E23" i="47"/>
  <c r="G22" i="47"/>
  <c r="F22" i="47"/>
  <c r="E22" i="47"/>
  <c r="G21" i="47"/>
  <c r="F21" i="47"/>
  <c r="E21" i="47"/>
  <c r="G20" i="47"/>
  <c r="F20" i="47"/>
  <c r="E20" i="47"/>
  <c r="E188" i="57"/>
  <c r="E187" i="57"/>
  <c r="E179" i="57"/>
  <c r="E178" i="57"/>
  <c r="E171" i="57"/>
  <c r="Q170" i="57"/>
  <c r="Q173" i="57" s="1"/>
  <c r="Q174" i="57" s="1"/>
  <c r="L2" i="57" s="1"/>
  <c r="Q169" i="57"/>
  <c r="E169" i="57"/>
  <c r="E166" i="57"/>
  <c r="Q165" i="57"/>
  <c r="Q164" i="57"/>
  <c r="E164" i="57"/>
  <c r="E161" i="57"/>
  <c r="Q160" i="57"/>
  <c r="Q159" i="57"/>
  <c r="E159" i="57"/>
  <c r="E156" i="57"/>
  <c r="Q155" i="57"/>
  <c r="Q154" i="57"/>
  <c r="E154" i="57"/>
  <c r="Q147" i="57"/>
  <c r="G146" i="57"/>
  <c r="E145" i="57"/>
  <c r="E144" i="57"/>
  <c r="E141" i="57"/>
  <c r="E140" i="57"/>
  <c r="O137" i="57"/>
  <c r="E133" i="57"/>
  <c r="E132" i="57"/>
  <c r="E129" i="57"/>
  <c r="E128" i="57"/>
  <c r="O125" i="57"/>
  <c r="E121" i="57"/>
  <c r="E120" i="57"/>
  <c r="E117" i="57"/>
  <c r="E116" i="57"/>
  <c r="O113" i="57"/>
  <c r="E109" i="57"/>
  <c r="E108" i="57"/>
  <c r="E105" i="57"/>
  <c r="E104" i="57"/>
  <c r="O101" i="57"/>
  <c r="E97" i="57"/>
  <c r="E96" i="57"/>
  <c r="E93" i="57"/>
  <c r="E92" i="57"/>
  <c r="O89" i="57"/>
  <c r="E67" i="57"/>
  <c r="E65" i="57"/>
  <c r="E61" i="57"/>
  <c r="E59" i="57"/>
  <c r="E55" i="57"/>
  <c r="E53" i="57"/>
  <c r="E49" i="57"/>
  <c r="E47" i="57"/>
  <c r="E43" i="57"/>
  <c r="E41" i="57"/>
  <c r="E37" i="57"/>
  <c r="E35" i="57"/>
  <c r="E31" i="57"/>
  <c r="E29" i="57"/>
  <c r="G22" i="57"/>
  <c r="E19" i="57"/>
  <c r="G18" i="57"/>
  <c r="E15" i="57"/>
  <c r="E188" i="56"/>
  <c r="E187" i="56"/>
  <c r="E179" i="56"/>
  <c r="E178" i="56"/>
  <c r="E171" i="56"/>
  <c r="Q170" i="56"/>
  <c r="Q173" i="56" s="1"/>
  <c r="Q174" i="56" s="1"/>
  <c r="Q169" i="56"/>
  <c r="E169" i="56"/>
  <c r="E166" i="56"/>
  <c r="Q165" i="56"/>
  <c r="Q164" i="56"/>
  <c r="E164" i="56"/>
  <c r="E161" i="56"/>
  <c r="Q160" i="56"/>
  <c r="Q159" i="56"/>
  <c r="E159" i="56"/>
  <c r="E156" i="56"/>
  <c r="Q155" i="56"/>
  <c r="Q154" i="56"/>
  <c r="E154" i="56"/>
  <c r="Q147" i="56"/>
  <c r="G146" i="56"/>
  <c r="L2" i="56" s="1"/>
  <c r="E145" i="56"/>
  <c r="E144" i="56"/>
  <c r="E141" i="56"/>
  <c r="E140" i="56"/>
  <c r="E133" i="56"/>
  <c r="E132" i="56"/>
  <c r="E129" i="56"/>
  <c r="E128" i="56"/>
  <c r="E121" i="56"/>
  <c r="E120" i="56"/>
  <c r="E117" i="56"/>
  <c r="E116" i="56"/>
  <c r="O113" i="56"/>
  <c r="E109" i="56"/>
  <c r="E108" i="56"/>
  <c r="E105" i="56"/>
  <c r="E104" i="56"/>
  <c r="E97" i="56"/>
  <c r="E96" i="56"/>
  <c r="E93" i="56"/>
  <c r="E92" i="56"/>
  <c r="E67" i="56"/>
  <c r="E65" i="56"/>
  <c r="E61" i="56"/>
  <c r="E59" i="56"/>
  <c r="E55" i="56"/>
  <c r="E53" i="56"/>
  <c r="E49" i="56"/>
  <c r="E47" i="56"/>
  <c r="E43" i="56"/>
  <c r="E41" i="56"/>
  <c r="E37" i="56"/>
  <c r="E35" i="56"/>
  <c r="E31" i="56"/>
  <c r="E29" i="56"/>
  <c r="G22" i="56"/>
  <c r="E19" i="56"/>
  <c r="G18" i="56"/>
  <c r="E15" i="56"/>
  <c r="E188" i="55"/>
  <c r="E187" i="55"/>
  <c r="E179" i="55"/>
  <c r="E178" i="55"/>
  <c r="E171" i="55"/>
  <c r="Q170" i="55"/>
  <c r="Q173" i="55" s="1"/>
  <c r="Q174" i="55" s="1"/>
  <c r="L2" i="55" s="1"/>
  <c r="Q169" i="55"/>
  <c r="E169" i="55"/>
  <c r="E166" i="55"/>
  <c r="Q165" i="55"/>
  <c r="Q164" i="55"/>
  <c r="E164" i="55"/>
  <c r="E161" i="55"/>
  <c r="Q160" i="55"/>
  <c r="Q159" i="55"/>
  <c r="E159" i="55"/>
  <c r="E156" i="55"/>
  <c r="Q155" i="55"/>
  <c r="Q154" i="55"/>
  <c r="E154" i="55"/>
  <c r="G146" i="55"/>
  <c r="Q147" i="55" s="1"/>
  <c r="E145" i="55"/>
  <c r="E144" i="55"/>
  <c r="E141" i="55"/>
  <c r="E140" i="55"/>
  <c r="E133" i="55"/>
  <c r="E132" i="55"/>
  <c r="E129" i="55"/>
  <c r="E128" i="55"/>
  <c r="E121" i="55"/>
  <c r="E120" i="55"/>
  <c r="E117" i="55"/>
  <c r="E116" i="55"/>
  <c r="O113" i="55"/>
  <c r="E109" i="55"/>
  <c r="E108" i="55"/>
  <c r="E105" i="55"/>
  <c r="E104" i="55"/>
  <c r="O101" i="55"/>
  <c r="E97" i="55"/>
  <c r="E96" i="55"/>
  <c r="E93" i="55"/>
  <c r="E92" i="55"/>
  <c r="E67" i="55"/>
  <c r="E65" i="55"/>
  <c r="E61" i="55"/>
  <c r="E59" i="55"/>
  <c r="E55" i="55"/>
  <c r="E53" i="55"/>
  <c r="E49" i="55"/>
  <c r="E47" i="55"/>
  <c r="E43" i="55"/>
  <c r="E41" i="55"/>
  <c r="E37" i="55"/>
  <c r="E35" i="55"/>
  <c r="E31" i="55"/>
  <c r="E29" i="55"/>
  <c r="G22" i="55"/>
  <c r="E19" i="55"/>
  <c r="G18" i="55"/>
  <c r="E15" i="55"/>
  <c r="F28" i="55"/>
  <c r="F28" i="56" s="1"/>
  <c r="F28" i="57" s="1"/>
  <c r="F34" i="55"/>
  <c r="F34" i="56" s="1"/>
  <c r="F34" i="57" s="1"/>
  <c r="F40" i="55"/>
  <c r="F40" i="56" s="1"/>
  <c r="F40" i="57" s="1"/>
  <c r="F46" i="55"/>
  <c r="F46" i="56" s="1"/>
  <c r="F46" i="57" s="1"/>
  <c r="F52" i="55"/>
  <c r="F52" i="56" s="1"/>
  <c r="F52" i="57" s="1"/>
  <c r="F58" i="55"/>
  <c r="F58" i="56" s="1"/>
  <c r="F58" i="57" s="1"/>
  <c r="F64" i="55"/>
  <c r="F64" i="56" s="1"/>
  <c r="F64" i="57" s="1"/>
  <c r="E188" i="54"/>
  <c r="E187" i="54"/>
  <c r="E179" i="54"/>
  <c r="E178" i="54"/>
  <c r="E171" i="54"/>
  <c r="Q170" i="54"/>
  <c r="Q173" i="54" s="1"/>
  <c r="Q174" i="54" s="1"/>
  <c r="Q169" i="54"/>
  <c r="J169" i="54"/>
  <c r="E169" i="54"/>
  <c r="E166" i="54"/>
  <c r="Q165" i="54"/>
  <c r="Q164" i="54"/>
  <c r="E164" i="54"/>
  <c r="E161" i="54"/>
  <c r="Q160" i="54"/>
  <c r="Q159" i="54"/>
  <c r="J159" i="54"/>
  <c r="E159" i="54"/>
  <c r="E156" i="54"/>
  <c r="Q155" i="54"/>
  <c r="Q154" i="54"/>
  <c r="E154" i="54"/>
  <c r="G146" i="54"/>
  <c r="Q147" i="54" s="1"/>
  <c r="E145" i="54"/>
  <c r="E144" i="54"/>
  <c r="F142" i="54"/>
  <c r="E141" i="54"/>
  <c r="E140" i="54"/>
  <c r="O137" i="54"/>
  <c r="E133" i="54"/>
  <c r="E132" i="54"/>
  <c r="E129" i="54"/>
  <c r="E128" i="54"/>
  <c r="O125" i="54"/>
  <c r="E121" i="54"/>
  <c r="E120" i="54"/>
  <c r="F118" i="54"/>
  <c r="E117" i="54"/>
  <c r="E116" i="54"/>
  <c r="O113" i="54"/>
  <c r="E109" i="54"/>
  <c r="E108" i="54"/>
  <c r="E105" i="54"/>
  <c r="E104" i="54"/>
  <c r="O101" i="54"/>
  <c r="E97" i="54"/>
  <c r="E96" i="54"/>
  <c r="F94" i="54"/>
  <c r="E93" i="54"/>
  <c r="E92" i="54"/>
  <c r="O89" i="54"/>
  <c r="E67" i="54"/>
  <c r="E65" i="54"/>
  <c r="E61" i="54"/>
  <c r="E59" i="54"/>
  <c r="J55" i="54"/>
  <c r="E55" i="54"/>
  <c r="E53" i="54"/>
  <c r="E49" i="54"/>
  <c r="E47" i="54"/>
  <c r="E43" i="54"/>
  <c r="E41" i="54"/>
  <c r="E37" i="54"/>
  <c r="E35" i="54"/>
  <c r="E31" i="54"/>
  <c r="E29" i="54"/>
  <c r="G22" i="54"/>
  <c r="E19" i="54"/>
  <c r="G18" i="54"/>
  <c r="E15" i="54"/>
  <c r="E188" i="52"/>
  <c r="E187" i="52"/>
  <c r="E179" i="52"/>
  <c r="E178" i="52"/>
  <c r="J177" i="52"/>
  <c r="J171" i="52"/>
  <c r="E171" i="52"/>
  <c r="Q170" i="52"/>
  <c r="Q169" i="52"/>
  <c r="J169" i="52"/>
  <c r="E169" i="52"/>
  <c r="J166" i="52"/>
  <c r="E166" i="52"/>
  <c r="Q165" i="52"/>
  <c r="Q164" i="52"/>
  <c r="J164" i="52"/>
  <c r="E164" i="52"/>
  <c r="J161" i="52"/>
  <c r="E161" i="52"/>
  <c r="Q160" i="52"/>
  <c r="Q159" i="52"/>
  <c r="J159" i="52"/>
  <c r="E159" i="52"/>
  <c r="J156" i="52"/>
  <c r="E156" i="52"/>
  <c r="Q155" i="52"/>
  <c r="Q154" i="52"/>
  <c r="J154" i="52"/>
  <c r="E154" i="52"/>
  <c r="G146" i="52"/>
  <c r="Q147" i="52" s="1"/>
  <c r="E145" i="52"/>
  <c r="E144" i="52"/>
  <c r="F142" i="52"/>
  <c r="E141" i="52"/>
  <c r="E140" i="52"/>
  <c r="O137" i="52"/>
  <c r="E133" i="52"/>
  <c r="E132" i="52"/>
  <c r="F130" i="52"/>
  <c r="E129" i="52"/>
  <c r="E128" i="52"/>
  <c r="O125" i="52"/>
  <c r="E121" i="52"/>
  <c r="E120" i="52"/>
  <c r="F118" i="52"/>
  <c r="E117" i="52"/>
  <c r="E116" i="52"/>
  <c r="O113" i="52"/>
  <c r="E109" i="52"/>
  <c r="E108" i="52"/>
  <c r="F106" i="52"/>
  <c r="E105" i="52"/>
  <c r="E104" i="52"/>
  <c r="O101" i="52"/>
  <c r="E97" i="52"/>
  <c r="E96" i="52"/>
  <c r="F94" i="52"/>
  <c r="E93" i="52"/>
  <c r="E92" i="52"/>
  <c r="O89" i="52"/>
  <c r="J67" i="52"/>
  <c r="E67" i="52"/>
  <c r="J65" i="52"/>
  <c r="E65" i="52"/>
  <c r="J61" i="52"/>
  <c r="E61" i="52"/>
  <c r="J59" i="52"/>
  <c r="E59" i="52"/>
  <c r="J55" i="52"/>
  <c r="E55" i="52"/>
  <c r="J53" i="52"/>
  <c r="E53" i="52"/>
  <c r="J49" i="52"/>
  <c r="E49" i="52"/>
  <c r="J47" i="52"/>
  <c r="E47" i="52"/>
  <c r="J43" i="52"/>
  <c r="E43" i="52"/>
  <c r="J41" i="52"/>
  <c r="E41" i="52"/>
  <c r="J37" i="52"/>
  <c r="E37" i="52"/>
  <c r="J35" i="52"/>
  <c r="E35" i="52"/>
  <c r="J31" i="52"/>
  <c r="E31" i="52"/>
  <c r="J29" i="52"/>
  <c r="E29" i="52"/>
  <c r="G22" i="52"/>
  <c r="E19" i="52"/>
  <c r="G18" i="52"/>
  <c r="E15" i="52"/>
  <c r="G22" i="39"/>
  <c r="J177" i="39"/>
  <c r="J171" i="39"/>
  <c r="J169" i="39"/>
  <c r="J166" i="39"/>
  <c r="J164" i="39"/>
  <c r="J161" i="39"/>
  <c r="J159" i="39"/>
  <c r="J156" i="39"/>
  <c r="J154" i="39"/>
  <c r="F142" i="39"/>
  <c r="F130" i="39"/>
  <c r="F118" i="39"/>
  <c r="F106" i="39"/>
  <c r="F94" i="39"/>
  <c r="J67" i="39"/>
  <c r="J65" i="39"/>
  <c r="J61" i="39"/>
  <c r="J59" i="39"/>
  <c r="J55" i="39"/>
  <c r="J53" i="39"/>
  <c r="J49" i="39"/>
  <c r="J47" i="39"/>
  <c r="J43" i="39"/>
  <c r="J41" i="39"/>
  <c r="J37" i="39"/>
  <c r="J35" i="39"/>
  <c r="J31" i="39"/>
  <c r="J29" i="39"/>
  <c r="G18" i="39"/>
  <c r="G146" i="39"/>
  <c r="Q169" i="39"/>
  <c r="Q170" i="39"/>
  <c r="Q164" i="39"/>
  <c r="Q159" i="39"/>
  <c r="Q154" i="39"/>
  <c r="Q155" i="39"/>
  <c r="Q160" i="39"/>
  <c r="Q165" i="39"/>
  <c r="Q173" i="39"/>
  <c r="E192" i="45"/>
  <c r="K193" i="45" s="1"/>
  <c r="Q147" i="39"/>
  <c r="K232" i="45"/>
  <c r="L232" i="45" s="1"/>
  <c r="K233" i="45"/>
  <c r="L233" i="45" s="1"/>
  <c r="K234" i="45"/>
  <c r="L234" i="45" s="1"/>
  <c r="D191" i="45"/>
  <c r="D190" i="45"/>
  <c r="D189" i="45"/>
  <c r="D186" i="45"/>
  <c r="D185" i="45"/>
  <c r="D184" i="45"/>
  <c r="D177" i="45"/>
  <c r="D176" i="45"/>
  <c r="D175" i="45"/>
  <c r="D172" i="45"/>
  <c r="D171" i="45"/>
  <c r="D170" i="45"/>
  <c r="D163" i="45"/>
  <c r="D162" i="45"/>
  <c r="D161" i="45"/>
  <c r="D158" i="45"/>
  <c r="D157" i="45"/>
  <c r="D156" i="45"/>
  <c r="D149" i="45"/>
  <c r="D148" i="45"/>
  <c r="D147" i="45"/>
  <c r="D144" i="45"/>
  <c r="D143" i="45"/>
  <c r="D142" i="45"/>
  <c r="D135" i="45"/>
  <c r="D134" i="45"/>
  <c r="D133" i="45"/>
  <c r="D130" i="45"/>
  <c r="D114" i="45"/>
  <c r="D129" i="45"/>
  <c r="D112" i="45"/>
  <c r="D128" i="45"/>
  <c r="D110" i="45"/>
  <c r="D43" i="45"/>
  <c r="N181" i="45"/>
  <c r="N167" i="45"/>
  <c r="N153" i="45"/>
  <c r="N139" i="45"/>
  <c r="N125" i="45"/>
  <c r="E145" i="39"/>
  <c r="E144" i="39"/>
  <c r="E141" i="39"/>
  <c r="E140" i="39"/>
  <c r="O137" i="39"/>
  <c r="E133" i="39"/>
  <c r="E132" i="39"/>
  <c r="E129" i="39"/>
  <c r="E128" i="39"/>
  <c r="O125" i="39"/>
  <c r="E121" i="39"/>
  <c r="E120" i="39"/>
  <c r="E117" i="39"/>
  <c r="E116" i="39"/>
  <c r="O113" i="39"/>
  <c r="E109" i="39"/>
  <c r="E108" i="39"/>
  <c r="E105" i="39"/>
  <c r="E104" i="39"/>
  <c r="O101" i="39"/>
  <c r="E19" i="39"/>
  <c r="E15" i="39"/>
  <c r="E188" i="39"/>
  <c r="E187" i="39"/>
  <c r="E179" i="39"/>
  <c r="E178" i="39"/>
  <c r="E171" i="39"/>
  <c r="E169" i="39"/>
  <c r="E166" i="39"/>
  <c r="E164" i="39"/>
  <c r="E161" i="39"/>
  <c r="E159" i="39"/>
  <c r="E156" i="39"/>
  <c r="E154" i="39"/>
  <c r="E97" i="39"/>
  <c r="E96" i="39"/>
  <c r="E93" i="39"/>
  <c r="E92" i="39"/>
  <c r="O89" i="39"/>
  <c r="E67" i="39"/>
  <c r="E65" i="39"/>
  <c r="E61" i="39"/>
  <c r="E59" i="39"/>
  <c r="E55" i="39"/>
  <c r="E53" i="39"/>
  <c r="E49" i="39"/>
  <c r="E47" i="39"/>
  <c r="E43" i="39"/>
  <c r="E41" i="39"/>
  <c r="E37" i="39"/>
  <c r="E35" i="39"/>
  <c r="E31" i="39"/>
  <c r="E29" i="39"/>
  <c r="A1" i="47"/>
  <c r="C8" i="47" s="1"/>
  <c r="K231" i="45"/>
  <c r="L231" i="45" s="1"/>
  <c r="D227" i="45"/>
  <c r="D225" i="45"/>
  <c r="D223" i="45"/>
  <c r="D220" i="45"/>
  <c r="D218" i="45"/>
  <c r="D216" i="45"/>
  <c r="D213" i="45"/>
  <c r="D211" i="45"/>
  <c r="D209" i="45"/>
  <c r="D206" i="45"/>
  <c r="D204" i="45"/>
  <c r="D202" i="45"/>
  <c r="D106" i="45"/>
  <c r="D104" i="45"/>
  <c r="D102" i="45"/>
  <c r="D98" i="45"/>
  <c r="D96" i="45"/>
  <c r="D94" i="45"/>
  <c r="D90" i="45"/>
  <c r="D88" i="45"/>
  <c r="D86" i="45"/>
  <c r="D82" i="45"/>
  <c r="D80" i="45"/>
  <c r="D78" i="45"/>
  <c r="D74" i="45"/>
  <c r="D72" i="45"/>
  <c r="D70" i="45"/>
  <c r="D66" i="45"/>
  <c r="D64" i="45"/>
  <c r="D62" i="45"/>
  <c r="F54" i="45"/>
  <c r="D51" i="45"/>
  <c r="F50" i="45"/>
  <c r="D47" i="45"/>
  <c r="F46" i="45"/>
  <c r="O137" i="55" l="1"/>
  <c r="O125" i="55"/>
  <c r="L125" i="56"/>
  <c r="O125" i="56" s="1"/>
  <c r="J156" i="54"/>
  <c r="L2" i="54"/>
  <c r="J53" i="54"/>
  <c r="J166" i="54"/>
  <c r="J35" i="54"/>
  <c r="J37" i="54"/>
  <c r="L89" i="56"/>
  <c r="O89" i="56" s="1"/>
  <c r="F87" i="56"/>
  <c r="E45" i="47" s="1"/>
  <c r="J177" i="54"/>
  <c r="J31" i="54"/>
  <c r="J49" i="54"/>
  <c r="J67" i="54"/>
  <c r="F7" i="55"/>
  <c r="F7" i="56" s="1"/>
  <c r="F7" i="57" s="1"/>
  <c r="F94" i="57" s="1"/>
  <c r="J41" i="54"/>
  <c r="J59" i="54"/>
  <c r="J43" i="54"/>
  <c r="J61" i="54"/>
  <c r="J161" i="54"/>
  <c r="J171" i="54"/>
  <c r="J29" i="54"/>
  <c r="J47" i="54"/>
  <c r="J65" i="54"/>
  <c r="F106" i="54"/>
  <c r="F130" i="54"/>
  <c r="J154" i="54"/>
  <c r="J47" i="57"/>
  <c r="J65" i="56"/>
  <c r="J166" i="55"/>
  <c r="F130" i="55"/>
  <c r="J154" i="55"/>
  <c r="J61" i="55"/>
  <c r="J41" i="55"/>
  <c r="Q173" i="52"/>
  <c r="Q174" i="52" s="1"/>
  <c r="L2" i="52" s="1"/>
  <c r="E39" i="47"/>
  <c r="F135" i="55"/>
  <c r="E38" i="47"/>
  <c r="F123" i="55"/>
  <c r="E36" i="47"/>
  <c r="F99" i="55"/>
  <c r="W64" i="47"/>
  <c r="W65" i="47"/>
  <c r="V64" i="47"/>
  <c r="W63" i="47"/>
  <c r="V66" i="47"/>
  <c r="V65" i="47"/>
  <c r="V63" i="47"/>
  <c r="K2" i="45"/>
  <c r="Q174" i="39"/>
  <c r="L2" i="39" s="1"/>
  <c r="W62" i="47"/>
  <c r="U60" i="47" s="1"/>
  <c r="Q63" i="47" s="1"/>
  <c r="V62" i="47"/>
  <c r="J41" i="57" l="1"/>
  <c r="J53" i="55"/>
  <c r="J169" i="55"/>
  <c r="J59" i="55"/>
  <c r="F106" i="55"/>
  <c r="J55" i="55"/>
  <c r="F94" i="55"/>
  <c r="J31" i="55"/>
  <c r="F142" i="55"/>
  <c r="J49" i="55"/>
  <c r="J67" i="55"/>
  <c r="J156" i="55"/>
  <c r="E44" i="47"/>
  <c r="F135" i="56"/>
  <c r="E49" i="47" s="1"/>
  <c r="E43" i="47"/>
  <c r="F123" i="56"/>
  <c r="E48" i="47" s="1"/>
  <c r="E41" i="47"/>
  <c r="F99" i="56"/>
  <c r="E46" i="47" s="1"/>
  <c r="J37" i="56"/>
  <c r="J29" i="57"/>
  <c r="J67" i="57"/>
  <c r="F142" i="56"/>
  <c r="J154" i="57"/>
  <c r="J43" i="55"/>
  <c r="J161" i="55"/>
  <c r="J37" i="55"/>
  <c r="J159" i="56"/>
  <c r="J43" i="56"/>
  <c r="J177" i="57"/>
  <c r="J35" i="57"/>
  <c r="J164" i="55"/>
  <c r="J171" i="55"/>
  <c r="F118" i="55"/>
  <c r="J169" i="56"/>
  <c r="J41" i="56"/>
  <c r="J164" i="57"/>
  <c r="J59" i="57"/>
  <c r="J35" i="55"/>
  <c r="J29" i="55"/>
  <c r="J177" i="56"/>
  <c r="F106" i="56"/>
  <c r="J59" i="56"/>
  <c r="F130" i="57"/>
  <c r="J166" i="57"/>
  <c r="J159" i="55"/>
  <c r="J47" i="55"/>
  <c r="J61" i="56"/>
  <c r="J154" i="56"/>
  <c r="J161" i="56"/>
  <c r="F106" i="57"/>
  <c r="J37" i="57"/>
  <c r="J177" i="55"/>
  <c r="J65" i="55"/>
  <c r="J164" i="56"/>
  <c r="J47" i="56"/>
  <c r="J171" i="56"/>
  <c r="J65" i="57"/>
  <c r="J169" i="57"/>
  <c r="J49" i="57"/>
  <c r="J156" i="56"/>
  <c r="F94" i="56"/>
  <c r="J31" i="57"/>
  <c r="J161" i="57"/>
  <c r="J159" i="57"/>
  <c r="J35" i="56"/>
  <c r="F130" i="56"/>
  <c r="J171" i="57"/>
  <c r="F118" i="57"/>
  <c r="F142" i="57"/>
  <c r="J67" i="56"/>
  <c r="J49" i="56"/>
  <c r="J31" i="56"/>
  <c r="J43" i="57"/>
  <c r="J55" i="56"/>
  <c r="J29" i="56"/>
  <c r="J166" i="56"/>
  <c r="J156" i="57"/>
  <c r="J53" i="56"/>
  <c r="J61" i="57"/>
  <c r="J53" i="57"/>
  <c r="F118" i="56"/>
  <c r="J55" i="57"/>
</calcChain>
</file>

<file path=xl/sharedStrings.xml><?xml version="1.0" encoding="utf-8"?>
<sst xmlns="http://schemas.openxmlformats.org/spreadsheetml/2006/main" count="1155" uniqueCount="251">
  <si>
    <t>Employee Name</t>
  </si>
  <si>
    <r>
      <rPr>
        <b/>
        <sz val="20"/>
        <color rgb="FF000000"/>
        <rFont val="Arial"/>
      </rPr>
      <t xml:space="preserve">Part 1: </t>
    </r>
    <r>
      <rPr>
        <sz val="20"/>
        <color rgb="FF000000"/>
        <rFont val="Arial"/>
      </rPr>
      <t>Ice Breaker : Introduction &amp; General Feedback</t>
    </r>
  </si>
  <si>
    <t>Role:</t>
  </si>
  <si>
    <t xml:space="preserve">Reports to: </t>
  </si>
  <si>
    <t>Start Date:</t>
  </si>
  <si>
    <t xml:space="preserve">Mid-year meeting </t>
  </si>
  <si>
    <t xml:space="preserve">End-of-year meeting </t>
  </si>
  <si>
    <t xml:space="preserve">How do you feel? 
Any ideas for BWD to improve ? </t>
  </si>
  <si>
    <t>out of 10</t>
  </si>
  <si>
    <t>What is going well in my role</t>
  </si>
  <si>
    <t>What is challenging in my role</t>
  </si>
  <si>
    <t xml:space="preserve">How is BWD as an Employer 
( management style, culture, work environment) </t>
  </si>
  <si>
    <t xml:space="preserve">Average </t>
  </si>
  <si>
    <t>What is going well</t>
  </si>
  <si>
    <t>What is challenging</t>
  </si>
  <si>
    <r>
      <rPr>
        <b/>
        <sz val="20"/>
        <color rgb="FF000000"/>
        <rFont val="Arial"/>
      </rPr>
      <t>Part 2:</t>
    </r>
    <r>
      <rPr>
        <sz val="20"/>
        <color rgb="FF000000"/>
        <rFont val="Arial"/>
      </rPr>
      <t xml:space="preserve">  Your skill set &amp; Learning Plan </t>
    </r>
  </si>
  <si>
    <t xml:space="preserve">Just checking your current skill-set and exploring new competences to develop. </t>
  </si>
  <si>
    <t>SKILL 1</t>
  </si>
  <si>
    <t>SKILL 2</t>
  </si>
  <si>
    <t>SKILL 3</t>
  </si>
  <si>
    <t xml:space="preserve"> </t>
  </si>
  <si>
    <t>SKILL 4</t>
  </si>
  <si>
    <t>SKILL 5</t>
  </si>
  <si>
    <t>SKILL 6</t>
  </si>
  <si>
    <t>SKILL 7</t>
  </si>
  <si>
    <t xml:space="preserve">Based on your skill-set and growth plan, what is your learning target? Plan, Track, Celebrate! </t>
  </si>
  <si>
    <t xml:space="preserve">Training required 
(description, link) </t>
  </si>
  <si>
    <t>Format</t>
  </si>
  <si>
    <t>Timeline</t>
  </si>
  <si>
    <t>Budget</t>
  </si>
  <si>
    <t>Supported by BWD?</t>
  </si>
  <si>
    <t xml:space="preserve">% of accomplishment </t>
  </si>
  <si>
    <t>Training's review (/10)</t>
  </si>
  <si>
    <r>
      <rPr>
        <b/>
        <sz val="20"/>
        <color rgb="FF000000"/>
        <rFont val="Arial"/>
      </rPr>
      <t>Part 3:</t>
    </r>
    <r>
      <rPr>
        <sz val="20"/>
        <color rgb="FF000000"/>
        <rFont val="Arial"/>
      </rPr>
      <t xml:space="preserve"> SMART Goals</t>
    </r>
  </si>
  <si>
    <t xml:space="preserve">With the help of your manager, and based on your current KPIs and ambition, define 5 SMART goals that you will accomplish for the next 12 months. The most significant will be included in your next year KPIs and used for your bonus calculation.  
No worries, if a goal is not applicable anymore, just do not fill a percentage and it will not be taken into account. </t>
  </si>
  <si>
    <t>Feeling lost? Check out this link -&gt;</t>
  </si>
  <si>
    <t>Examples of SMART Goals</t>
  </si>
  <si>
    <t>GOAL1</t>
  </si>
  <si>
    <t xml:space="preserve">Short description </t>
  </si>
  <si>
    <t>Talent Acquisition ( 100% fast &amp; successful recruitments ) 2023</t>
  </si>
  <si>
    <t xml:space="preserve">Make it SMART </t>
  </si>
  <si>
    <t xml:space="preserve">Specific </t>
  </si>
  <si>
    <t>Measurable</t>
  </si>
  <si>
    <t>Achievable</t>
  </si>
  <si>
    <t xml:space="preserve">Relevant </t>
  </si>
  <si>
    <t>Time-bound</t>
  </si>
  <si>
    <t>Ensure hiring managers satisfaction by providing quickly strong shortlists of candidates, smooth interviews process and guidance in the decision</t>
  </si>
  <si>
    <t>100% hiring manager satisfaction 
100% new employee success after 6 months</t>
  </si>
  <si>
    <t>thanks to a strong culture and employer branding, a good collaboration with managers and sharp recruitment tools &amp; techniques</t>
  </si>
  <si>
    <t>to support BWD performance and growth</t>
  </si>
  <si>
    <t>by the end of 2023</t>
  </si>
  <si>
    <t>% accomplished</t>
  </si>
  <si>
    <t>Comments</t>
  </si>
  <si>
    <t>GOAL 2</t>
  </si>
  <si>
    <t>GOAL 3</t>
  </si>
  <si>
    <t>GOAL 4</t>
  </si>
  <si>
    <t>GOAL 5</t>
  </si>
  <si>
    <t>End-of-year average (Manager)</t>
  </si>
  <si>
    <r>
      <rPr>
        <b/>
        <sz val="20"/>
        <color rgb="FF000000"/>
        <rFont val="Arial"/>
      </rPr>
      <t xml:space="preserve">Part 4: </t>
    </r>
    <r>
      <rPr>
        <sz val="20"/>
        <color rgb="FF000000"/>
        <rFont val="Arial"/>
      </rPr>
      <t xml:space="preserve">Values Alignement </t>
    </r>
  </si>
  <si>
    <t>Are we aligning our actions with our values and exhibiting the desired behaviors?</t>
  </si>
  <si>
    <t>Assessment 
(Each meeting)</t>
  </si>
  <si>
    <t>Value ambassador</t>
  </si>
  <si>
    <t>Quality</t>
  </si>
  <si>
    <t>I plan, organize, make the extra effort and preparation.
I learn from my mistakes and document my learnings.
I deliver on time and on quality.
I seek information to make decisions and solve problems.</t>
  </si>
  <si>
    <t>% of alignment</t>
  </si>
  <si>
    <t>Innovation</t>
  </si>
  <si>
    <t>I explore innovation in the market, and I use tools and techniques to explore new ideas.
I adapt to changing environments.
I engage in and suggest innovative ways of working (continuous improvement)
I am self aware, open minded, continuously identifying opportunities for skill growth.</t>
  </si>
  <si>
    <t>Collaboration</t>
  </si>
  <si>
    <t>We work together to solve clients challenges and call on others to contribute.
I empower my colleagues in their work.
I respect the views of others and recognizes the impact of self on team culture.
I communicate in a timely and effective manner.</t>
  </si>
  <si>
    <t>Collab.</t>
  </si>
  <si>
    <t>Customer centricity</t>
  </si>
  <si>
    <t>I continuously listen to my clients, understand their needs, and respond consistently in a timely manner.
I think outside the box to support customers.
I deliver outstanding customer experiences.
I proactively anticipate customer needs.</t>
  </si>
  <si>
    <t>Cust. Cent.</t>
  </si>
  <si>
    <t>Final</t>
  </si>
  <si>
    <r>
      <rPr>
        <b/>
        <sz val="20"/>
        <color rgb="FF000000"/>
        <rFont val="Arial"/>
      </rPr>
      <t>Part 5:</t>
    </r>
    <r>
      <rPr>
        <sz val="20"/>
        <color rgb="FF000000"/>
        <rFont val="Arial"/>
      </rPr>
      <t xml:space="preserve"> Career development</t>
    </r>
  </si>
  <si>
    <t xml:space="preserve">Let's talk about a potential next step in the company, and your compensation package. </t>
  </si>
  <si>
    <t>Status</t>
  </si>
  <si>
    <r>
      <rPr>
        <b/>
        <sz val="20"/>
        <color rgb="FF000000"/>
        <rFont val="Arial"/>
      </rPr>
      <t>Part 6:</t>
    </r>
    <r>
      <rPr>
        <sz val="20"/>
        <color rgb="FF000000"/>
        <rFont val="Arial"/>
      </rPr>
      <t xml:space="preserve"> Start, Stop, Continue</t>
    </r>
  </si>
  <si>
    <t xml:space="preserve">What are your take-aways from that conversation ? Introspect and look for actions that you should Start / Stop / Continue. </t>
  </si>
  <si>
    <t xml:space="preserve">START </t>
  </si>
  <si>
    <t xml:space="preserve">STOP </t>
  </si>
  <si>
    <t xml:space="preserve">CONTINUE </t>
  </si>
  <si>
    <t xml:space="preserve">Part 1 : Ice Breaker : Introduction &amp; General Feedback </t>
  </si>
  <si>
    <t>New Role</t>
  </si>
  <si>
    <t xml:space="preserve">Full Stack Developer </t>
  </si>
  <si>
    <t>Reports to</t>
  </si>
  <si>
    <t xml:space="preserve">Anael </t>
  </si>
  <si>
    <t>Context</t>
  </si>
  <si>
    <t xml:space="preserve">Akshat Replacement - Akshat last day of work if 1/5/2024 </t>
  </si>
  <si>
    <t>Job Description*</t>
  </si>
  <si>
    <t xml:space="preserve">As the Full Stack Developer, you will report to the Director - Engineering and IT and play a critical role in designing, developing, deploying, maintaining, and supporting our diverse range of applications. Your efforts will be closely aligned with our IT strategy and product roadmap, ensuring our technological solutions remain at the forefront of industry standards.  
Key tasks and responsibilities 
Participate in strategic decision-making and contribute to the design of the 2023 Roadmap 
Report to the manager on collaboration and projects, and proactively offer solutions 
Participate in designing and implementing the software architecture and applications 
Review, identify, propose, and implement changes in our current application stacks, in collaboration with IT system team, to optimize costs and reduce maintenance  
In accordance with company cybersecurity roadmap and industry best practices, adapt, improve and update internal applications to be compliant with written policies. 
ldentify, test, recommend, develop and deploy applications and tools including and not limited to Java related technologies and frameworks that are relevant to the business requirements of the company. 
ldentify, assess, advise on, develop and implement centralized software development tools and development guidelines and processes that are the state of the art in implementing front-end and back-end applications 
Maintain updated overview of the software stack and applications, their interactions and user documentations 
Participate in and facilitate code reviews with peers </t>
  </si>
  <si>
    <t>2023 KPIs</t>
  </si>
  <si>
    <t>COMPANY PERFORMANCE</t>
  </si>
  <si>
    <t xml:space="preserve">2023 Order Intake </t>
  </si>
  <si>
    <t xml:space="preserve">2023 Cost Management </t>
  </si>
  <si>
    <t xml:space="preserve">2023 Return on Capital Employed </t>
  </si>
  <si>
    <t>TEAM GOALS*</t>
  </si>
  <si>
    <t>SMART GOALS*</t>
  </si>
  <si>
    <t xml:space="preserve">COMPANY VALUES AMBASSADOR </t>
  </si>
  <si>
    <t>Start date</t>
  </si>
  <si>
    <t>Meeting 1 (during 1st week)</t>
  </si>
  <si>
    <t>15/02/2024</t>
  </si>
  <si>
    <t>Meeting 2</t>
  </si>
  <si>
    <t>Meeting 3</t>
  </si>
  <si>
    <t>15/04/2024</t>
  </si>
  <si>
    <r>
      <rPr>
        <b/>
        <sz val="20"/>
        <color rgb="FF000000"/>
        <rFont val="Arial"/>
      </rPr>
      <t xml:space="preserve">Part 1: </t>
    </r>
    <r>
      <rPr>
        <sz val="20"/>
        <color rgb="FF000000"/>
        <rFont val="Arial"/>
      </rPr>
      <t>Introduction &amp; General Feedback</t>
    </r>
  </si>
  <si>
    <t>Team member</t>
  </si>
  <si>
    <t>Manager</t>
  </si>
  <si>
    <t>Things are going well, have everything he needs, will request more services and accesses later on.</t>
  </si>
  <si>
    <t xml:space="preserve">Akshat : confirms he will give access later. Good 1st week - Anael : MCP should be available. Good 1st success with a alarm problem solved. He has a lot to discover. </t>
  </si>
  <si>
    <t xml:space="preserve">get familiar to tools </t>
  </si>
  <si>
    <t xml:space="preserve">Nice people, good environment , quite relax, efficiency </t>
  </si>
  <si>
    <t xml:space="preserve">Marie encourages to catchup with Thasa and Graham </t>
  </si>
  <si>
    <t xml:space="preserve">Transfer is shared session by session, with practical opportunity in between </t>
  </si>
  <si>
    <t xml:space="preserve">exceptional job since last month , Oscar is almost autonomous / confirmed bby Anael, ex Pat dashboard </t>
  </si>
  <si>
    <t xml:space="preserve">some apps are complex and require more time :  NRMS &gt; need more practice </t>
  </si>
  <si>
    <t xml:space="preserve">there will be more session and work on NRMS </t>
  </si>
  <si>
    <t xml:space="preserve">people are still nice and helpful </t>
  </si>
  <si>
    <r>
      <rPr>
        <b/>
        <sz val="22"/>
        <color theme="1"/>
        <rFont val="Arial"/>
        <family val="2"/>
      </rPr>
      <t>Part 2:</t>
    </r>
    <r>
      <rPr>
        <sz val="22"/>
        <color theme="1"/>
        <rFont val="Arial"/>
        <family val="2"/>
      </rPr>
      <t xml:space="preserve"> Skills Audit and Upskilling Plan</t>
    </r>
  </si>
  <si>
    <t xml:space="preserve">Let's check how comfortable you feel for each main component of your new role. Identify any gaps and create an upskilling plan to help you become an expert. This plan will involve formal training and learning by doing. Monitor the progression with your % of autonomy. </t>
  </si>
  <si>
    <t>SKILL 1*</t>
  </si>
  <si>
    <t>Technology – Spring Boot, Java ,  MySQL , Graph DB , Docker, Groovy, Node.js , Angular , SQL, Unix , shell scripts</t>
  </si>
  <si>
    <t>Manager*</t>
  </si>
  <si>
    <t xml:space="preserve">familiar with all of them : 85% , 
expect Angular and MySQL : 55% </t>
  </si>
  <si>
    <t xml:space="preserve">agreed </t>
  </si>
  <si>
    <t xml:space="preserve">Manager </t>
  </si>
  <si>
    <t xml:space="preserve">no change in Angular 55%, feel better in SQL and others </t>
  </si>
  <si>
    <t>Pentahu is still a challenge, but others are progressing well.</t>
  </si>
  <si>
    <t>SKILL 2*</t>
  </si>
  <si>
    <t>Tools  - Grafana, GitLab, Jenkins , Confluence , OTRS , JIRA, OpenNMS , MariaDb , Postgres DB</t>
  </si>
  <si>
    <t xml:space="preserve">familiar with al l of them, grafana, gitlab, jenkins : OK / expect OpenNms 
</t>
  </si>
  <si>
    <t>Akshat to train Oscar on OpenNMS</t>
  </si>
  <si>
    <t>all good for all of them, needs to practice on  Jenkins  set up BWD , openNMS</t>
  </si>
  <si>
    <t xml:space="preserve">agreed, demo to be organised </t>
  </si>
  <si>
    <t>SKILL 3*</t>
  </si>
  <si>
    <t>Integration – Pentahu</t>
  </si>
  <si>
    <t xml:space="preserve">New framework , has used similar tools </t>
  </si>
  <si>
    <t xml:space="preserve">Pentahu has been used last </t>
  </si>
  <si>
    <t xml:space="preserve">agreed - Oscar is independent on Pentahu </t>
  </si>
  <si>
    <t>SKILL 4*</t>
  </si>
  <si>
    <t>SKILL 5*</t>
  </si>
  <si>
    <t>SKILL 6*</t>
  </si>
  <si>
    <t>SKILL 7*</t>
  </si>
  <si>
    <r>
      <rPr>
        <b/>
        <sz val="22"/>
        <color theme="1"/>
        <rFont val="Arial"/>
        <family val="2"/>
      </rPr>
      <t>Part 3:</t>
    </r>
    <r>
      <rPr>
        <sz val="22"/>
        <color theme="1"/>
        <rFont val="Arial"/>
        <family val="2"/>
      </rPr>
      <t xml:space="preserve"> SMART Goals</t>
    </r>
  </si>
  <si>
    <t xml:space="preserve">What can be achieved during your induction period ? Define your 5 priorities.Split your goals accordingly to ensure they are smart. </t>
  </si>
  <si>
    <t>Add new dashboards in Stats Portal  (https://stats-new.local.bw-digital.com/)</t>
  </si>
  <si>
    <t xml:space="preserve">Eng. Team new feature requests </t>
  </si>
  <si>
    <t xml:space="preserve">Diagram of active fibers and historical table of 5 last switches </t>
  </si>
  <si>
    <t>With Akshat and Pat Support</t>
  </si>
  <si>
    <t xml:space="preserve">To implement new features / improve traffic visibility </t>
  </si>
  <si>
    <t>Q2 2024</t>
  </si>
  <si>
    <t xml:space="preserve">out of 3 parts, part 1 and 3 completed, being reviewed by Pat , part2 Network diagram is not completed as Oscar needs support for Akshat - Discussion with Pat will help </t>
  </si>
  <si>
    <t xml:space="preserve">US Backhaul 2 fibers - dash board to show the history of switches and status of the traffic / Pentahu will be used - </t>
  </si>
  <si>
    <t xml:space="preserve">Akshat : Agreed for 1 and 3. Part 2 will start soon. Anael : Good delivery. Very good additional feature for NOC. Good autonomy </t>
  </si>
  <si>
    <t>Update, Improve &amp; Support NRMS (https://nrmsportalv2.local.bw-digital.com/#/)</t>
  </si>
  <si>
    <t>Resolve the issue with 2 x DAC/AOC removal and bring back the visibility of the HIKA port for provisioning.
Address the removal of 29 x DAC/AOC entries.
Add 24 x DAC/AOC labels.</t>
  </si>
  <si>
    <t xml:space="preserve">Thasa check </t>
  </si>
  <si>
    <t>With Akshat + Thasa Support</t>
  </si>
  <si>
    <t xml:space="preserve">To fix information </t>
  </si>
  <si>
    <t xml:space="preserve">a few attempts ( misinterpretation )  , but finally completed </t>
  </si>
  <si>
    <t xml:space="preserve">completed 1st week March </t>
  </si>
  <si>
    <t xml:space="preserve">Update &amp; Support Mediation </t>
  </si>
  <si>
    <t>False email alarm
Discrepencies in circuit identification</t>
  </si>
  <si>
    <t xml:space="preserve">all identified false alarms has been fixed </t>
  </si>
  <si>
    <t>With Akshat - NOC Support</t>
  </si>
  <si>
    <t>To fix alerting</t>
  </si>
  <si>
    <t>updated the list thanks to Oday and Christian &gt; as a result there was no false alarm since then</t>
  </si>
  <si>
    <t xml:space="preserve">1st success, one alarm already resolved </t>
  </si>
  <si>
    <t xml:space="preserve">New process : data is shared and a testing is completed - to be followed diligently with Ops </t>
  </si>
  <si>
    <t>Support Internal Ticketing system</t>
  </si>
  <si>
    <t xml:space="preserve">complement Akshat on trouble shooting the new OTRS system </t>
  </si>
  <si>
    <t xml:space="preserve">autonomy in solving tickets </t>
  </si>
  <si>
    <t xml:space="preserve">job shadowing Akshat </t>
  </si>
  <si>
    <t>users experience</t>
  </si>
  <si>
    <t xml:space="preserve">feels 60% familiar with the system - each new issue is  managed 1st by Oscar - </t>
  </si>
  <si>
    <t xml:space="preserve">OTRS is quite complex , a few session happened already 40% , tool usage will make oscar more familiar , more sessions will help Oscar to get a the full overview ( explore past issues together ) </t>
  </si>
  <si>
    <r>
      <rPr>
        <b/>
        <sz val="22"/>
        <color theme="1"/>
        <rFont val="Arial"/>
        <family val="2"/>
      </rPr>
      <t>Part 4:</t>
    </r>
    <r>
      <rPr>
        <sz val="22"/>
        <color theme="1"/>
        <rFont val="Arial"/>
        <family val="2"/>
      </rPr>
      <t xml:space="preserve"> Values alignment</t>
    </r>
  </si>
  <si>
    <t>Assessment</t>
  </si>
  <si>
    <t>Automatically calculated rank</t>
  </si>
  <si>
    <t xml:space="preserve">process has been followed , innovations are done under pre-prod environment, so we make sure business and standards are met </t>
  </si>
  <si>
    <t xml:space="preserve">exceptional job in maintening the quality - good a requesting feedback before release - one correction has been done </t>
  </si>
  <si>
    <t xml:space="preserve">solved an integration issue - data collection </t>
  </si>
  <si>
    <t xml:space="preserve">better resiliency in the system and better performance - more ideas will come with experience </t>
  </si>
  <si>
    <t xml:space="preserve">good work with Akshat, discussions with Oday </t>
  </si>
  <si>
    <t xml:space="preserve">lovely working with Oscar - he approaches other teams autonomously - Oscar can connect with more colleagues - good communication </t>
  </si>
  <si>
    <t>I continuously listen to my clients, understand their needs, and respond consistently in a timely manner.
I think outside thhe box to support customers.
I deliver outstanding customer experiences.
I proactively anticipate customer needs.</t>
  </si>
  <si>
    <t xml:space="preserve">responded to a lot of requests from Oday, explained the causes of the issue, </t>
  </si>
  <si>
    <t xml:space="preserve">good understanding of clients requests, reconfirming the need,  improvment will come with experience </t>
  </si>
  <si>
    <t>Support container architecture</t>
  </si>
  <si>
    <t xml:space="preserve">Be proficient on troubleshooting the newly migrated servers onto containers. </t>
  </si>
  <si>
    <t>Be able to fix issues</t>
  </si>
  <si>
    <t>With Akshat knowledge transfer</t>
  </si>
  <si>
    <t>We need a ressource able to maintain this when Akshat has left.</t>
  </si>
  <si>
    <t>By 31/05/2024</t>
  </si>
  <si>
    <t>Improve NRMS usability</t>
  </si>
  <si>
    <t xml:space="preserve">In collaboration with NOC and Thasa, evaluate, prioritize, and improve features/GUI to make NRMS more user friendly. </t>
  </si>
  <si>
    <t>Based on targets defined by Thasa/NOC</t>
  </si>
  <si>
    <t>With support of NOC &amp; Thasa</t>
  </si>
  <si>
    <t>NRMS is our primary tool to manage ressources and it must be "sexy" to use.</t>
  </si>
  <si>
    <t>Q3 2024</t>
  </si>
  <si>
    <t>Allow Service delivery team to provision new services on stats portal &amp; NRMS</t>
  </si>
  <si>
    <t xml:space="preserve">Each time we onboard or remove a circuit/customer, IT-Dev is involved to manually create the entries in Stats portal, NRMS and Customer Portal. I'd like this process to be handled by Service Delivery team. </t>
  </si>
  <si>
    <t xml:space="preserve">100% successfull usage by Service Delivery team </t>
  </si>
  <si>
    <t xml:space="preserve">by designing and implementing tool </t>
  </si>
  <si>
    <t>To reduce load on IT-DEV and allow SD to be autonomous</t>
  </si>
  <si>
    <t>Q4 2024</t>
  </si>
  <si>
    <t>Investigate how a chatbot / AI can help NOC operations</t>
  </si>
  <si>
    <t>Based on the ticket information, NRMS data, Stats portal data, identify and suggest how AI/Chatbot can help daily operations of the NOC / Service Delivery</t>
  </si>
  <si>
    <t>prototype delivered to Anael / roadmap ready to be implemented in 2025</t>
  </si>
  <si>
    <t xml:space="preserve">thanks to Exploration / gather Akshat researchs </t>
  </si>
  <si>
    <t>To facilitate NOC / Service delivery gathering of information</t>
  </si>
  <si>
    <t xml:space="preserve">Deliver on User Requests </t>
  </si>
  <si>
    <t xml:space="preserve">To be able to support Eng, NOC, Service Delivery teams new feature requests and support existing systems </t>
  </si>
  <si>
    <t xml:space="preserve">1-100 % New feature requests implemented 
2- support - No major concern raised by relevant teams &amp; most of the issues should get fixed within resonable timeframes  </t>
  </si>
  <si>
    <t xml:space="preserve">Yes, after knowledge transfer </t>
  </si>
  <si>
    <t xml:space="preserve">To be able to maintain existing resources managed by Dev Team </t>
  </si>
  <si>
    <t>TBD</t>
  </si>
  <si>
    <t>Manager Name</t>
  </si>
  <si>
    <t>Dashboard - Career Conversations</t>
  </si>
  <si>
    <t>Note: Some rows for future years are hidden. Unhide them when needed.</t>
  </si>
  <si>
    <t>Our Vision</t>
  </si>
  <si>
    <t>We connect countries across oceans sustainably</t>
  </si>
  <si>
    <t xml:space="preserve">Our Mission </t>
  </si>
  <si>
    <t>We develop, fund and operate digital infrastructures in the Asia-Pacific region</t>
  </si>
  <si>
    <t>Our Values</t>
  </si>
  <si>
    <t>Quality, Innovation, Collaboration, Customer centricity</t>
  </si>
  <si>
    <r>
      <rPr>
        <b/>
        <sz val="11"/>
        <color rgb="FFFFFFFF"/>
        <rFont val="Calibri"/>
        <scheme val="minor"/>
      </rPr>
      <t xml:space="preserve">My Mission
</t>
    </r>
    <r>
      <rPr>
        <b/>
        <i/>
        <sz val="11"/>
        <color rgb="FFFFFFFF"/>
        <rFont val="Calibri"/>
        <scheme val="minor"/>
      </rPr>
      <t>What is your very own purpose?</t>
    </r>
  </si>
  <si>
    <t>Start - Stop - Continue</t>
  </si>
  <si>
    <t>Date</t>
  </si>
  <si>
    <t>Start</t>
  </si>
  <si>
    <t>Stop</t>
  </si>
  <si>
    <t>Continue</t>
  </si>
  <si>
    <t>SMART Goals</t>
  </si>
  <si>
    <t xml:space="preserve">Description </t>
  </si>
  <si>
    <t>Team member status</t>
  </si>
  <si>
    <t>Manager status</t>
  </si>
  <si>
    <t>Parameters are hidden between those cells. Color the front and you will be able to see them.</t>
  </si>
  <si>
    <t>Column P-W</t>
  </si>
  <si>
    <t xml:space="preserve">Faible </t>
  </si>
  <si>
    <t>Correct</t>
  </si>
  <si>
    <t>Satisfaisant</t>
  </si>
  <si>
    <t>Vide</t>
  </si>
  <si>
    <t>Year</t>
  </si>
  <si>
    <t>Valeur indicateur</t>
  </si>
  <si>
    <t>Reste</t>
  </si>
  <si>
    <t>Values - End of year ratings</t>
  </si>
  <si>
    <t>Collab</t>
  </si>
  <si>
    <t>Cust. Centricity</t>
  </si>
  <si>
    <t>Trainings</t>
  </si>
  <si>
    <t>Name</t>
  </si>
  <si>
    <t>%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</si>
</sst>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00_);_(* \(#,##0.00\);_(* &quot;-&quot;??_);_(@_)"/>
  </numFmts>
  <fonts count="60" x14ac:knownFonts="1">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6"/>
      <name val="Arial"/>
      <family val="2"/>
    </font>
    <font>
      <b/>
      <sz val="16"/>
      <color theme="0"/>
      <name val="Arial"/>
      <family val="2"/>
    </font>
    <font>
      <sz val="16"/>
      <color theme="0"/>
      <name val="Arial"/>
      <family val="2"/>
    </font>
    <font>
      <sz val="16"/>
      <name val="Arial"/>
      <family val="2"/>
    </font>
    <font>
      <sz val="16"/>
      <color theme="1"/>
      <name val="Arial"/>
      <family val="2"/>
    </font>
    <font>
      <b/>
      <sz val="16"/>
      <color theme="1"/>
      <name val="Arial"/>
      <family val="2"/>
    </font>
    <font>
      <b/>
      <sz val="16"/>
      <color rgb="FF000000"/>
      <name val="Arial"/>
      <family val="2"/>
    </font>
    <font>
      <sz val="16"/>
      <color rgb="FF000000"/>
      <name val="Arial"/>
      <family val="2"/>
    </font>
    <font>
      <sz val="22"/>
      <color theme="1"/>
      <name val="Arial"/>
      <family val="2"/>
    </font>
    <font>
      <sz val="16"/>
      <color rgb="FFFF0000"/>
      <name val="Arial"/>
      <family val="2"/>
    </font>
    <font>
      <u/>
      <sz val="16"/>
      <color theme="10"/>
      <name val="Arial"/>
      <family val="2"/>
    </font>
    <font>
      <b/>
      <sz val="26"/>
      <color rgb="FF002060"/>
      <name val="Arial"/>
      <family val="2"/>
    </font>
    <font>
      <b/>
      <sz val="11"/>
      <color theme="1"/>
      <name val="Calibri"/>
      <family val="2"/>
      <scheme val="minor"/>
    </font>
    <font>
      <sz val="11"/>
      <color theme="0" tint="-0.249977111117893"/>
      <name val="Calibri"/>
      <family val="2"/>
      <scheme val="minor"/>
    </font>
    <font>
      <b/>
      <sz val="11"/>
      <color theme="0"/>
      <name val="Calibri"/>
      <family val="2"/>
      <scheme val="minor"/>
    </font>
    <font>
      <b/>
      <sz val="22"/>
      <name val="Arial"/>
      <family val="2"/>
    </font>
    <font>
      <sz val="22"/>
      <color theme="1"/>
      <name val="Calibri"/>
      <family val="2"/>
      <scheme val="minor"/>
    </font>
    <font>
      <b/>
      <sz val="20"/>
      <name val="Arial"/>
      <family val="2"/>
    </font>
    <font>
      <b/>
      <sz val="14"/>
      <color theme="1"/>
      <name val="Calibri"/>
      <family val="2"/>
      <scheme val="minor"/>
    </font>
    <font>
      <sz val="22"/>
      <color theme="1"/>
      <name val="Calibri"/>
      <scheme val="minor"/>
    </font>
    <font>
      <sz val="20"/>
      <color theme="0"/>
      <name val="Arial"/>
      <family val="2"/>
    </font>
    <font>
      <sz val="20"/>
      <color rgb="FFFF0000"/>
      <name val="Arial"/>
      <family val="2"/>
    </font>
    <font>
      <sz val="20"/>
      <name val="Arial"/>
      <family val="2"/>
    </font>
    <font>
      <sz val="20"/>
      <color theme="1"/>
      <name val="Arial"/>
      <family val="2"/>
    </font>
    <font>
      <sz val="20"/>
      <color theme="2" tint="-0.249977111117893"/>
      <name val="Arial"/>
      <family val="2"/>
    </font>
    <font>
      <b/>
      <sz val="20"/>
      <color theme="0"/>
      <name val="Arial"/>
      <family val="2"/>
    </font>
    <font>
      <b/>
      <sz val="20"/>
      <color theme="1"/>
      <name val="Arial"/>
      <family val="2"/>
    </font>
    <font>
      <sz val="20"/>
      <color rgb="FF000000"/>
      <name val="Arial"/>
      <family val="2"/>
    </font>
    <font>
      <b/>
      <sz val="20"/>
      <color rgb="FF000000"/>
      <name val="Arial"/>
      <family val="2"/>
    </font>
    <font>
      <u/>
      <sz val="20"/>
      <color theme="10"/>
      <name val="Arial"/>
      <family val="2"/>
    </font>
    <font>
      <b/>
      <sz val="32"/>
      <color theme="0"/>
      <name val="Arial"/>
      <family val="2"/>
    </font>
    <font>
      <b/>
      <sz val="11"/>
      <color rgb="FFFFFFFF"/>
      <name val="Calibri"/>
      <scheme val="minor"/>
    </font>
    <font>
      <b/>
      <i/>
      <sz val="11"/>
      <color rgb="FFFFFFFF"/>
      <name val="Calibri"/>
      <scheme val="minor"/>
    </font>
    <font>
      <b/>
      <sz val="20"/>
      <color rgb="FF000000"/>
      <name val="Arial"/>
    </font>
    <font>
      <sz val="20"/>
      <color rgb="FF000000"/>
      <name val="Arial"/>
    </font>
    <font>
      <sz val="26"/>
      <color theme="0"/>
      <name val="Arial"/>
      <family val="2"/>
    </font>
    <font>
      <b/>
      <sz val="24"/>
      <name val="Arial"/>
      <family val="2"/>
    </font>
    <font>
      <b/>
      <sz val="20"/>
      <color rgb="FFFF0000"/>
      <name val="Arial"/>
      <family val="2"/>
    </font>
    <font>
      <b/>
      <sz val="22"/>
      <color theme="1"/>
      <name val="Arial"/>
      <family val="2"/>
    </font>
    <font>
      <b/>
      <sz val="20"/>
      <color theme="0"/>
      <name val="Arial"/>
    </font>
    <font>
      <sz val="20"/>
      <color theme="1"/>
      <name val="Arial"/>
    </font>
    <font>
      <b/>
      <sz val="20"/>
      <color theme="1"/>
      <name val="Arial"/>
    </font>
    <font>
      <b/>
      <sz val="20"/>
      <name val="Arial"/>
    </font>
    <font>
      <sz val="26"/>
      <color theme="0"/>
      <name val="Arial"/>
    </font>
    <font>
      <sz val="16"/>
      <color theme="0"/>
      <name val="Arial"/>
    </font>
    <font>
      <i/>
      <sz val="9"/>
      <name val="Calibri  "/>
    </font>
    <font>
      <b/>
      <sz val="11"/>
      <color rgb="FF000000"/>
      <name val="Calibri"/>
      <scheme val="minor"/>
    </font>
    <font>
      <sz val="11"/>
      <color rgb="FF000000"/>
      <name val="Calibri"/>
      <charset val="1"/>
    </font>
    <font>
      <sz val="11"/>
      <color rgb="FFFF0000"/>
      <name val="Calibri"/>
      <family val="2"/>
      <scheme val="minor"/>
    </font>
    <font>
      <b/>
      <sz val="14"/>
      <color theme="1"/>
      <name val="Arial"/>
      <family val="2"/>
    </font>
    <font>
      <sz val="14"/>
      <color rgb="FF000000"/>
      <name val="Arial"/>
      <family val="2"/>
    </font>
    <font>
      <sz val="14"/>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bgColor theme="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2060"/>
        <bgColor indexed="64"/>
      </patternFill>
    </fill>
    <fill>
      <patternFill patternType="solid">
        <fgColor rgb="FF002060"/>
        <bgColor theme="4"/>
      </patternFill>
    </fill>
    <fill>
      <patternFill patternType="solid">
        <fgColor theme="0" tint="-0.14999847407452621"/>
        <bgColor indexed="64"/>
      </patternFill>
    </fill>
    <fill>
      <patternFill patternType="solid">
        <fgColor rgb="FFACD8C3"/>
        <bgColor indexed="64"/>
      </patternFill>
    </fill>
    <fill>
      <patternFill patternType="solid">
        <fgColor rgb="FF008080"/>
        <bgColor indexed="64"/>
      </patternFill>
    </fill>
    <fill>
      <patternFill patternType="solid">
        <fgColor rgb="FF008080"/>
        <bgColor theme="4"/>
      </patternFill>
    </fill>
    <fill>
      <patternFill patternType="solid">
        <fgColor rgb="FFFFFFFF"/>
        <bgColor rgb="FF000000"/>
      </patternFill>
    </fill>
    <fill>
      <patternFill patternType="solid">
        <fgColor theme="9" tint="0.39997558519241921"/>
        <bgColor indexed="64"/>
      </patternFill>
    </fill>
  </fills>
  <borders count="12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medium">
        <color rgb="FF000000"/>
      </left>
      <right style="thin">
        <color indexed="64"/>
      </right>
      <top style="thin">
        <color indexed="64"/>
      </top>
      <bottom/>
      <diagonal/>
    </border>
    <border>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thin">
        <color rgb="FF000000"/>
      </left>
      <right/>
      <top style="thin">
        <color rgb="FF000000"/>
      </top>
      <bottom/>
      <diagonal/>
    </border>
    <border>
      <left style="medium">
        <color rgb="FF000000"/>
      </left>
      <right/>
      <top style="thin">
        <color indexed="64"/>
      </top>
      <bottom/>
      <diagonal/>
    </border>
    <border>
      <left/>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thin">
        <color indexed="64"/>
      </bottom>
      <diagonal/>
    </border>
    <border>
      <left style="medium">
        <color rgb="FF000000"/>
      </left>
      <right style="medium">
        <color indexed="64"/>
      </right>
      <top style="thin">
        <color indexed="64"/>
      </top>
      <bottom/>
      <diagonal/>
    </border>
    <border>
      <left/>
      <right style="medium">
        <color rgb="FF000000"/>
      </right>
      <top style="thin">
        <color indexed="64"/>
      </top>
      <bottom style="thin">
        <color indexed="64"/>
      </bottom>
      <diagonal/>
    </border>
    <border>
      <left style="thin">
        <color indexed="64"/>
      </left>
      <right style="medium">
        <color indexed="64"/>
      </right>
      <top style="thin">
        <color indexed="64"/>
      </top>
      <bottom style="medium">
        <color rgb="FF000000"/>
      </bottom>
      <diagonal/>
    </border>
    <border>
      <left style="medium">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0"/>
    <xf numFmtId="14" fontId="2" fillId="0" borderId="0" applyFont="0" applyFill="0" applyBorder="0">
      <alignment horizontal="center" vertical="center"/>
    </xf>
    <xf numFmtId="43" fontId="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6" fillId="5" borderId="0" applyFill="0" applyAlignment="0">
      <alignment vertical="center" wrapText="1"/>
    </xf>
    <xf numFmtId="9" fontId="2" fillId="0" borderId="0" applyFont="0" applyFill="0" applyBorder="0" applyAlignment="0" applyProtection="0"/>
  </cellStyleXfs>
  <cellXfs count="555">
    <xf numFmtId="0" fontId="0" fillId="0" borderId="0" xfId="0"/>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9" fillId="8" borderId="2" xfId="0" applyFont="1" applyFill="1" applyBorder="1" applyAlignment="1">
      <alignment horizontal="center" vertical="center" wrapText="1" readingOrder="1"/>
    </xf>
    <xf numFmtId="9" fontId="9" fillId="8" borderId="2" xfId="0" applyNumberFormat="1" applyFont="1" applyFill="1" applyBorder="1" applyAlignment="1">
      <alignment horizontal="center" vertical="center" wrapText="1" readingOrder="1"/>
    </xf>
    <xf numFmtId="0" fontId="12" fillId="2" borderId="0" xfId="0" applyFont="1" applyFill="1" applyAlignment="1">
      <alignment wrapText="1"/>
    </xf>
    <xf numFmtId="9" fontId="9" fillId="4" borderId="0" xfId="0" applyNumberFormat="1" applyFont="1" applyFill="1" applyAlignment="1">
      <alignment horizontal="center" vertical="center" wrapText="1" readingOrder="1"/>
    </xf>
    <xf numFmtId="0" fontId="12" fillId="2" borderId="0" xfId="0" applyFont="1" applyFill="1"/>
    <xf numFmtId="0" fontId="0" fillId="2" borderId="0" xfId="0" applyFill="1" applyAlignment="1">
      <alignment vertical="center" wrapText="1"/>
    </xf>
    <xf numFmtId="0" fontId="0" fillId="5" borderId="0" xfId="0" applyFill="1" applyAlignment="1">
      <alignment vertical="center" wrapText="1"/>
    </xf>
    <xf numFmtId="0" fontId="10" fillId="5" borderId="0" xfId="3" applyFont="1" applyFill="1" applyAlignment="1">
      <alignment vertical="center" wrapText="1"/>
    </xf>
    <xf numFmtId="0" fontId="8" fillId="2" borderId="0" xfId="0" applyFont="1" applyFill="1" applyAlignment="1">
      <alignment horizontal="left" vertical="center" wrapText="1"/>
    </xf>
    <xf numFmtId="0" fontId="12" fillId="5" borderId="0" xfId="0" applyFont="1" applyFill="1" applyAlignment="1">
      <alignment vertical="center" wrapText="1"/>
    </xf>
    <xf numFmtId="0" fontId="12" fillId="2" borderId="0" xfId="0" applyFont="1" applyFill="1" applyAlignment="1">
      <alignment vertical="center" wrapText="1"/>
    </xf>
    <xf numFmtId="0" fontId="11" fillId="2" borderId="0" xfId="2" applyFont="1" applyFill="1" applyBorder="1" applyAlignment="1" applyProtection="1">
      <alignment horizontal="left" vertical="center" wrapText="1"/>
    </xf>
    <xf numFmtId="0" fontId="11" fillId="2" borderId="0" xfId="2" applyFont="1" applyFill="1" applyBorder="1" applyAlignment="1" applyProtection="1">
      <alignment horizontal="right" vertical="center" wrapText="1"/>
    </xf>
    <xf numFmtId="0" fontId="9" fillId="8" borderId="2" xfId="0" applyFont="1" applyFill="1" applyBorder="1" applyAlignment="1">
      <alignment horizontal="left" vertical="center" wrapText="1" indent="1" readingOrder="1"/>
    </xf>
    <xf numFmtId="0" fontId="12" fillId="2" borderId="0" xfId="0" applyFont="1" applyFill="1" applyAlignment="1">
      <alignment horizontal="left" vertical="center" wrapText="1" indent="1"/>
    </xf>
    <xf numFmtId="14" fontId="13" fillId="2" borderId="0" xfId="0" applyNumberFormat="1" applyFont="1" applyFill="1" applyAlignment="1">
      <alignment horizontal="left" vertical="center" wrapText="1"/>
    </xf>
    <xf numFmtId="0" fontId="13" fillId="2" borderId="0" xfId="0" applyFont="1" applyFill="1" applyAlignment="1">
      <alignment vertical="center" wrapText="1"/>
    </xf>
    <xf numFmtId="0" fontId="12" fillId="5" borderId="0" xfId="0" applyFont="1" applyFill="1" applyAlignment="1">
      <alignment wrapText="1"/>
    </xf>
    <xf numFmtId="14" fontId="12" fillId="2" borderId="0" xfId="5" applyNumberFormat="1" applyFont="1" applyFill="1" applyBorder="1" applyAlignment="1" applyProtection="1">
      <alignment horizontal="left" vertical="center" wrapText="1"/>
    </xf>
    <xf numFmtId="0" fontId="15" fillId="2" borderId="0" xfId="0" applyFont="1" applyFill="1" applyAlignment="1">
      <alignment vertical="center" wrapText="1" readingOrder="1"/>
    </xf>
    <xf numFmtId="0" fontId="11" fillId="0" borderId="0" xfId="0" applyFont="1" applyAlignment="1">
      <alignment horizontal="center" vertical="center" wrapText="1"/>
    </xf>
    <xf numFmtId="0" fontId="8" fillId="2" borderId="0" xfId="0" applyFont="1" applyFill="1" applyAlignment="1">
      <alignment horizontal="center" vertical="center" wrapText="1" readingOrder="1"/>
    </xf>
    <xf numFmtId="10" fontId="11" fillId="2" borderId="0" xfId="0" applyNumberFormat="1" applyFont="1" applyFill="1" applyAlignment="1">
      <alignment horizontal="center" vertical="center" wrapText="1"/>
    </xf>
    <xf numFmtId="0" fontId="16" fillId="0" borderId="0" xfId="11" applyFill="1" applyAlignment="1"/>
    <xf numFmtId="0" fontId="8" fillId="10" borderId="2" xfId="0" applyFont="1" applyFill="1" applyBorder="1" applyAlignment="1">
      <alignment horizontal="center" vertical="center" wrapText="1" readingOrder="1"/>
    </xf>
    <xf numFmtId="10" fontId="10" fillId="2" borderId="0" xfId="0" applyNumberFormat="1" applyFont="1" applyFill="1" applyAlignment="1">
      <alignment wrapText="1"/>
    </xf>
    <xf numFmtId="0" fontId="10" fillId="2" borderId="0" xfId="0" applyFont="1" applyFill="1" applyAlignment="1">
      <alignment wrapText="1"/>
    </xf>
    <xf numFmtId="9" fontId="9" fillId="12" borderId="2" xfId="0" applyNumberFormat="1" applyFont="1" applyFill="1" applyBorder="1" applyAlignment="1">
      <alignment vertical="center" wrapText="1" readingOrder="1"/>
    </xf>
    <xf numFmtId="0" fontId="10" fillId="2" borderId="0" xfId="0" applyFont="1" applyFill="1" applyAlignment="1">
      <alignment vertical="center" wrapText="1"/>
    </xf>
    <xf numFmtId="0" fontId="10" fillId="2" borderId="0" xfId="0" applyFont="1" applyFill="1" applyAlignment="1">
      <alignment horizontal="center" vertical="center" wrapText="1"/>
    </xf>
    <xf numFmtId="9" fontId="9" fillId="8" borderId="47" xfId="0" applyNumberFormat="1" applyFont="1" applyFill="1" applyBorder="1" applyAlignment="1">
      <alignment horizontal="center" vertical="center" wrapText="1" readingOrder="1"/>
    </xf>
    <xf numFmtId="9" fontId="9" fillId="12" borderId="2" xfId="0" applyNumberFormat="1" applyFont="1" applyFill="1" applyBorder="1" applyAlignment="1">
      <alignment horizontal="center" vertical="center" wrapText="1" readingOrder="1"/>
    </xf>
    <xf numFmtId="9" fontId="11" fillId="0" borderId="2" xfId="0" applyNumberFormat="1" applyFont="1" applyBorder="1" applyAlignment="1" applyProtection="1">
      <alignment vertical="center" wrapText="1"/>
      <protection locked="0"/>
    </xf>
    <xf numFmtId="9" fontId="11" fillId="2" borderId="2" xfId="0" applyNumberFormat="1" applyFont="1" applyFill="1" applyBorder="1" applyAlignment="1" applyProtection="1">
      <alignment vertical="center" wrapText="1"/>
      <protection locked="0"/>
    </xf>
    <xf numFmtId="9" fontId="10" fillId="11" borderId="64" xfId="0" applyNumberFormat="1" applyFont="1" applyFill="1" applyBorder="1" applyAlignment="1">
      <alignment horizontal="center" vertical="center" wrapText="1" readingOrder="1"/>
    </xf>
    <xf numFmtId="0" fontId="11" fillId="9" borderId="47" xfId="0" applyFont="1" applyFill="1" applyBorder="1" applyAlignment="1" applyProtection="1">
      <alignment horizontal="center" vertical="center" wrapText="1"/>
      <protection locked="0"/>
    </xf>
    <xf numFmtId="0" fontId="0" fillId="2" borderId="0" xfId="0" applyFill="1"/>
    <xf numFmtId="0" fontId="31" fillId="2" borderId="0" xfId="0" applyFont="1" applyFill="1" applyAlignment="1">
      <alignment horizontal="left"/>
    </xf>
    <xf numFmtId="0" fontId="31" fillId="2" borderId="0" xfId="0" applyFont="1" applyFill="1"/>
    <xf numFmtId="0" fontId="31" fillId="2" borderId="0" xfId="0" applyFont="1" applyFill="1" applyAlignment="1">
      <alignment wrapText="1"/>
    </xf>
    <xf numFmtId="0" fontId="30" fillId="0" borderId="31" xfId="0" applyFont="1" applyBorder="1" applyAlignment="1" applyProtection="1">
      <alignment horizontal="center" vertical="center" wrapText="1"/>
      <protection locked="0"/>
    </xf>
    <xf numFmtId="0" fontId="28" fillId="2" borderId="0" xfId="0" applyFont="1" applyFill="1"/>
    <xf numFmtId="0" fontId="28" fillId="2" borderId="0" xfId="0" applyFont="1" applyFill="1" applyAlignment="1">
      <alignment vertical="center"/>
    </xf>
    <xf numFmtId="0" fontId="36" fillId="2" borderId="0" xfId="0" applyFont="1" applyFill="1" applyAlignment="1">
      <alignment vertical="center" wrapText="1" readingOrder="1"/>
    </xf>
    <xf numFmtId="10" fontId="30" fillId="2" borderId="0" xfId="0" applyNumberFormat="1" applyFont="1" applyFill="1" applyAlignment="1">
      <alignment vertical="center" wrapText="1"/>
    </xf>
    <xf numFmtId="0" fontId="30" fillId="2" borderId="0" xfId="0" applyFont="1" applyFill="1" applyAlignment="1" applyProtection="1">
      <alignment vertical="center" wrapText="1"/>
      <protection locked="0"/>
    </xf>
    <xf numFmtId="0" fontId="28" fillId="2" borderId="0" xfId="0" applyFont="1" applyFill="1" applyAlignment="1">
      <alignment vertical="center" wrapText="1"/>
    </xf>
    <xf numFmtId="9" fontId="30" fillId="0" borderId="15" xfId="0" applyNumberFormat="1" applyFont="1" applyBorder="1" applyAlignment="1" applyProtection="1">
      <alignment vertical="center" wrapText="1"/>
      <protection locked="0"/>
    </xf>
    <xf numFmtId="0" fontId="42" fillId="2" borderId="0" xfId="11" applyFont="1" applyFill="1" applyAlignment="1">
      <alignment horizontal="left"/>
    </xf>
    <xf numFmtId="0" fontId="31" fillId="2" borderId="47" xfId="0" applyFont="1" applyFill="1" applyBorder="1" applyProtection="1">
      <protection locked="0"/>
    </xf>
    <xf numFmtId="0" fontId="25" fillId="5" borderId="47" xfId="0" applyFont="1" applyFill="1" applyBorder="1" applyAlignment="1">
      <alignment horizontal="center" vertical="center" wrapText="1" readingOrder="1"/>
    </xf>
    <xf numFmtId="9" fontId="33" fillId="8" borderId="68" xfId="0" applyNumberFormat="1" applyFont="1" applyFill="1" applyBorder="1" applyAlignment="1">
      <alignment horizontal="center" vertical="center" wrapText="1" readingOrder="1"/>
    </xf>
    <xf numFmtId="0" fontId="38" fillId="7" borderId="71" xfId="0" applyFont="1" applyFill="1" applyBorder="1" applyAlignment="1">
      <alignment horizontal="center" vertical="center" wrapText="1"/>
    </xf>
    <xf numFmtId="0" fontId="12" fillId="5" borderId="0" xfId="0" applyFont="1" applyFill="1"/>
    <xf numFmtId="0" fontId="31" fillId="5" borderId="0" xfId="0" applyFont="1" applyFill="1" applyAlignment="1">
      <alignment wrapText="1"/>
    </xf>
    <xf numFmtId="0" fontId="31" fillId="5" borderId="0" xfId="0" applyFont="1" applyFill="1"/>
    <xf numFmtId="0" fontId="32" fillId="5" borderId="0" xfId="0" applyFont="1" applyFill="1" applyAlignment="1">
      <alignment horizontal="center" vertical="center"/>
    </xf>
    <xf numFmtId="0" fontId="8" fillId="5" borderId="0" xfId="1" applyFont="1" applyFill="1" applyBorder="1" applyAlignment="1" applyProtection="1">
      <alignment horizontal="left" vertical="center" wrapText="1"/>
    </xf>
    <xf numFmtId="0" fontId="8" fillId="5" borderId="0" xfId="0" applyFont="1" applyFill="1" applyAlignment="1">
      <alignment horizontal="left" vertical="center" wrapText="1"/>
    </xf>
    <xf numFmtId="0" fontId="11" fillId="5" borderId="0" xfId="0" applyFont="1" applyFill="1" applyAlignment="1">
      <alignment vertical="center" wrapText="1"/>
    </xf>
    <xf numFmtId="0" fontId="11" fillId="5" borderId="0" xfId="0" applyFont="1" applyFill="1" applyAlignment="1">
      <alignment horizontal="center" vertical="center" wrapText="1"/>
    </xf>
    <xf numFmtId="9" fontId="31" fillId="2" borderId="50" xfId="12" applyFont="1" applyFill="1" applyBorder="1" applyAlignment="1">
      <alignment horizontal="center" vertical="center"/>
    </xf>
    <xf numFmtId="0" fontId="35" fillId="2" borderId="2" xfId="0" applyFont="1" applyFill="1" applyBorder="1" applyAlignment="1">
      <alignment vertical="center" wrapText="1" readingOrder="1"/>
    </xf>
    <xf numFmtId="0" fontId="45" fillId="2" borderId="0" xfId="0" applyFont="1" applyFill="1" applyAlignment="1">
      <alignment vertical="center" wrapText="1" readingOrder="1"/>
    </xf>
    <xf numFmtId="0" fontId="17" fillId="2" borderId="0" xfId="0" applyFont="1" applyFill="1" applyAlignment="1">
      <alignment vertical="center" wrapText="1"/>
    </xf>
    <xf numFmtId="0" fontId="34" fillId="10" borderId="47" xfId="0" applyFont="1" applyFill="1" applyBorder="1" applyAlignment="1">
      <alignment horizontal="center" vertical="center" wrapText="1" readingOrder="1"/>
    </xf>
    <xf numFmtId="9" fontId="52" fillId="11" borderId="62" xfId="0" applyNumberFormat="1" applyFont="1" applyFill="1" applyBorder="1" applyAlignment="1">
      <alignment horizontal="center" vertical="center" wrapText="1" readingOrder="1"/>
    </xf>
    <xf numFmtId="0" fontId="10" fillId="11" borderId="77" xfId="0" applyFont="1" applyFill="1" applyBorder="1" applyAlignment="1">
      <alignment horizontal="center" vertical="center" wrapText="1" readingOrder="1"/>
    </xf>
    <xf numFmtId="9" fontId="15" fillId="10" borderId="79" xfId="0" applyNumberFormat="1" applyFont="1" applyFill="1" applyBorder="1" applyAlignment="1">
      <alignment horizontal="center" vertical="center" wrapText="1" readingOrder="1"/>
    </xf>
    <xf numFmtId="9" fontId="15" fillId="10" borderId="82" xfId="0" applyNumberFormat="1" applyFont="1" applyFill="1" applyBorder="1" applyAlignment="1">
      <alignment horizontal="center" vertical="center" wrapText="1" readingOrder="1"/>
    </xf>
    <xf numFmtId="0" fontId="48" fillId="2" borderId="47" xfId="0" applyFont="1" applyFill="1" applyBorder="1" applyAlignment="1" applyProtection="1">
      <alignment horizontal="center" vertical="center" wrapText="1"/>
      <protection locked="0"/>
    </xf>
    <xf numFmtId="0" fontId="48" fillId="2" borderId="61"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9" fontId="30" fillId="0" borderId="63" xfId="0" applyNumberFormat="1" applyFont="1" applyBorder="1" applyAlignment="1" applyProtection="1">
      <alignment vertical="center" wrapText="1"/>
      <protection locked="0"/>
    </xf>
    <xf numFmtId="0" fontId="35" fillId="0" borderId="47" xfId="0" applyFont="1" applyBorder="1" applyAlignment="1" applyProtection="1">
      <alignment vertical="center" wrapText="1" readingOrder="1"/>
      <protection locked="0"/>
    </xf>
    <xf numFmtId="44" fontId="15" fillId="0" borderId="47" xfId="10" applyFont="1" applyBorder="1" applyAlignment="1" applyProtection="1">
      <alignment vertical="center" wrapText="1" readingOrder="1"/>
      <protection locked="0"/>
    </xf>
    <xf numFmtId="10" fontId="11" fillId="0" borderId="47" xfId="0" applyNumberFormat="1" applyFont="1" applyBorder="1" applyAlignment="1" applyProtection="1">
      <alignment vertical="center" wrapText="1"/>
      <protection locked="0"/>
    </xf>
    <xf numFmtId="0" fontId="11" fillId="0" borderId="47" xfId="0" applyFont="1" applyBorder="1" applyAlignment="1" applyProtection="1">
      <alignment vertical="center" wrapText="1"/>
      <protection locked="0"/>
    </xf>
    <xf numFmtId="0" fontId="30" fillId="0" borderId="47" xfId="0" applyFont="1" applyBorder="1" applyAlignment="1" applyProtection="1">
      <alignment vertical="center" wrapText="1"/>
      <protection locked="0"/>
    </xf>
    <xf numFmtId="44" fontId="35" fillId="0" borderId="47" xfId="10" applyFont="1" applyBorder="1" applyAlignment="1" applyProtection="1">
      <alignment vertical="center" wrapText="1" readingOrder="1"/>
      <protection locked="0"/>
    </xf>
    <xf numFmtId="10" fontId="30" fillId="0" borderId="47" xfId="0" applyNumberFormat="1" applyFont="1" applyBorder="1" applyAlignment="1" applyProtection="1">
      <alignment vertical="center" wrapText="1"/>
      <protection locked="0"/>
    </xf>
    <xf numFmtId="44" fontId="15" fillId="0" borderId="58" xfId="10" applyFont="1" applyBorder="1" applyAlignment="1" applyProtection="1">
      <alignment vertical="center" wrapText="1" readingOrder="1"/>
      <protection locked="0"/>
    </xf>
    <xf numFmtId="10" fontId="11" fillId="0" borderId="58" xfId="0" applyNumberFormat="1" applyFont="1" applyBorder="1" applyAlignment="1" applyProtection="1">
      <alignment vertical="center" wrapText="1"/>
      <protection locked="0"/>
    </xf>
    <xf numFmtId="0" fontId="11" fillId="0" borderId="59" xfId="0" applyFont="1" applyBorder="1" applyAlignment="1" applyProtection="1">
      <alignment horizontal="center" vertical="center" wrapText="1"/>
      <protection locked="0"/>
    </xf>
    <xf numFmtId="0" fontId="11" fillId="0" borderId="61" xfId="0" applyFont="1" applyBorder="1" applyAlignment="1" applyProtection="1">
      <alignment horizontal="center" vertical="center" wrapText="1"/>
      <protection locked="0"/>
    </xf>
    <xf numFmtId="0" fontId="30" fillId="0" borderId="61" xfId="0" applyFont="1" applyBorder="1" applyAlignment="1" applyProtection="1">
      <alignment horizontal="center" vertical="center" wrapText="1"/>
      <protection locked="0"/>
    </xf>
    <xf numFmtId="0" fontId="30" fillId="0" borderId="63" xfId="0" applyFont="1" applyBorder="1" applyAlignment="1" applyProtection="1">
      <alignment vertical="center" wrapText="1"/>
      <protection locked="0"/>
    </xf>
    <xf numFmtId="44" fontId="35" fillId="0" borderId="63" xfId="10" applyFont="1" applyBorder="1" applyAlignment="1" applyProtection="1">
      <alignment vertical="center" wrapText="1" readingOrder="1"/>
      <protection locked="0"/>
    </xf>
    <xf numFmtId="10" fontId="30" fillId="0" borderId="63" xfId="0" applyNumberFormat="1" applyFont="1" applyBorder="1" applyAlignment="1" applyProtection="1">
      <alignment vertical="center" wrapText="1"/>
      <protection locked="0"/>
    </xf>
    <xf numFmtId="0" fontId="15" fillId="0" borderId="85" xfId="0" applyFont="1" applyBorder="1" applyAlignment="1" applyProtection="1">
      <alignment vertical="center" wrapText="1" readingOrder="1"/>
      <protection locked="0"/>
    </xf>
    <xf numFmtId="0" fontId="15" fillId="0" borderId="75" xfId="0" applyFont="1" applyBorder="1" applyAlignment="1" applyProtection="1">
      <alignment vertical="center" wrapText="1" readingOrder="1"/>
      <protection locked="0"/>
    </xf>
    <xf numFmtId="0" fontId="35" fillId="0" borderId="75" xfId="0" applyFont="1" applyBorder="1" applyAlignment="1" applyProtection="1">
      <alignment vertical="center" wrapText="1" readingOrder="1"/>
      <protection locked="0"/>
    </xf>
    <xf numFmtId="0" fontId="35" fillId="0" borderId="32" xfId="0" applyFont="1" applyBorder="1" applyAlignment="1" applyProtection="1">
      <alignment vertical="center" wrapText="1" readingOrder="1"/>
      <protection locked="0"/>
    </xf>
    <xf numFmtId="0" fontId="11" fillId="0" borderId="58" xfId="0" applyFont="1" applyBorder="1" applyAlignment="1" applyProtection="1">
      <alignment vertical="center" wrapText="1"/>
      <protection locked="0"/>
    </xf>
    <xf numFmtId="9" fontId="30" fillId="0" borderId="99" xfId="0" applyNumberFormat="1" applyFont="1" applyBorder="1" applyAlignment="1" applyProtection="1">
      <alignment vertical="center" wrapText="1"/>
      <protection locked="0"/>
    </xf>
    <xf numFmtId="0" fontId="28" fillId="6" borderId="0" xfId="3" applyFont="1" applyFill="1" applyAlignment="1">
      <alignment vertical="center" wrapText="1"/>
    </xf>
    <xf numFmtId="0" fontId="29" fillId="6" borderId="0" xfId="3" applyFont="1" applyFill="1" applyAlignment="1">
      <alignment vertical="center" wrapText="1"/>
    </xf>
    <xf numFmtId="0" fontId="30" fillId="2" borderId="0" xfId="0" applyFont="1" applyFill="1" applyAlignment="1">
      <alignment vertical="center" wrapText="1"/>
    </xf>
    <xf numFmtId="0" fontId="30" fillId="2" borderId="0" xfId="0" applyFont="1" applyFill="1" applyAlignment="1">
      <alignment horizontal="left" vertical="center" wrapText="1"/>
    </xf>
    <xf numFmtId="0" fontId="33" fillId="8" borderId="10" xfId="0" applyFont="1" applyFill="1" applyBorder="1" applyAlignment="1">
      <alignment horizontal="left" vertical="center" wrapText="1" indent="1" readingOrder="1"/>
    </xf>
    <xf numFmtId="0" fontId="33" fillId="8" borderId="7" xfId="0" applyFont="1" applyFill="1" applyBorder="1" applyAlignment="1">
      <alignment horizontal="left" vertical="center" wrapText="1" indent="1" readingOrder="1"/>
    </xf>
    <xf numFmtId="0" fontId="33" fillId="8" borderId="9" xfId="0" applyFont="1" applyFill="1" applyBorder="1" applyAlignment="1">
      <alignment horizontal="left" vertical="center" wrapText="1" indent="1" readingOrder="1"/>
    </xf>
    <xf numFmtId="0" fontId="31" fillId="2" borderId="0" xfId="0" applyFont="1" applyFill="1" applyAlignment="1">
      <alignment horizontal="left" vertical="center" wrapText="1"/>
    </xf>
    <xf numFmtId="0" fontId="33" fillId="11" borderId="95" xfId="0" applyFont="1" applyFill="1" applyBorder="1" applyAlignment="1">
      <alignment horizontal="center" vertical="center" wrapText="1" readingOrder="1"/>
    </xf>
    <xf numFmtId="0" fontId="28" fillId="11" borderId="77" xfId="0" applyFont="1" applyFill="1" applyBorder="1" applyAlignment="1">
      <alignment horizontal="center" vertical="center" wrapText="1" readingOrder="1"/>
    </xf>
    <xf numFmtId="9" fontId="28" fillId="11" borderId="64" xfId="0" applyNumberFormat="1" applyFont="1" applyFill="1" applyBorder="1" applyAlignment="1">
      <alignment horizontal="center" vertical="center" wrapText="1" readingOrder="1"/>
    </xf>
    <xf numFmtId="9" fontId="35" fillId="10" borderId="42" xfId="0" applyNumberFormat="1" applyFont="1" applyFill="1" applyBorder="1" applyAlignment="1">
      <alignment horizontal="center" vertical="center" wrapText="1" readingOrder="1"/>
    </xf>
    <xf numFmtId="0" fontId="28" fillId="11" borderId="58" xfId="0" applyFont="1" applyFill="1" applyBorder="1" applyAlignment="1">
      <alignment horizontal="center" vertical="center" wrapText="1" readingOrder="1"/>
    </xf>
    <xf numFmtId="9" fontId="28" fillId="11" borderId="47" xfId="0" applyNumberFormat="1" applyFont="1" applyFill="1" applyBorder="1" applyAlignment="1">
      <alignment horizontal="center" vertical="center" wrapText="1" readingOrder="1"/>
    </xf>
    <xf numFmtId="9" fontId="35" fillId="10" borderId="63" xfId="0" applyNumberFormat="1" applyFont="1" applyFill="1" applyBorder="1" applyAlignment="1">
      <alignment horizontal="center" vertical="center" wrapText="1" readingOrder="1"/>
    </xf>
    <xf numFmtId="9" fontId="33" fillId="4" borderId="0" xfId="0" applyNumberFormat="1" applyFont="1" applyFill="1" applyAlignment="1">
      <alignment horizontal="center" vertical="center" wrapText="1" readingOrder="1"/>
    </xf>
    <xf numFmtId="9" fontId="36" fillId="2" borderId="0" xfId="0" applyNumberFormat="1" applyFont="1" applyFill="1" applyAlignment="1">
      <alignment horizontal="center" vertical="center" wrapText="1" readingOrder="1"/>
    </xf>
    <xf numFmtId="9" fontId="33" fillId="12" borderId="40" xfId="0" applyNumberFormat="1" applyFont="1" applyFill="1" applyBorder="1" applyAlignment="1">
      <alignment vertical="center" wrapText="1" readingOrder="1"/>
    </xf>
    <xf numFmtId="9" fontId="33" fillId="8" borderId="51" xfId="0" applyNumberFormat="1"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33" fillId="8" borderId="89" xfId="0" applyNumberFormat="1" applyFont="1" applyFill="1" applyBorder="1" applyAlignment="1">
      <alignment horizontal="center" vertical="center" wrapText="1" readingOrder="1"/>
    </xf>
    <xf numFmtId="9" fontId="33" fillId="8" borderId="91" xfId="0" applyNumberFormat="1" applyFont="1" applyFill="1" applyBorder="1" applyAlignment="1">
      <alignment horizontal="center" vertical="center" wrapText="1" readingOrder="1"/>
    </xf>
    <xf numFmtId="0" fontId="37" fillId="2" borderId="0" xfId="7" applyFont="1" applyFill="1" applyAlignment="1" applyProtection="1">
      <alignment horizontal="left" vertical="center" wrapText="1"/>
    </xf>
    <xf numFmtId="0" fontId="31" fillId="6" borderId="0" xfId="0" applyFont="1" applyFill="1" applyAlignment="1">
      <alignment wrapText="1"/>
    </xf>
    <xf numFmtId="0" fontId="34" fillId="10" borderId="61" xfId="0" applyFont="1" applyFill="1" applyBorder="1" applyAlignment="1">
      <alignment horizontal="center" vertical="center" wrapText="1" readingOrder="1"/>
    </xf>
    <xf numFmtId="9" fontId="47" fillId="8" borderId="69" xfId="0" applyNumberFormat="1"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49" fillId="10" borderId="61" xfId="0" applyFont="1" applyFill="1" applyBorder="1" applyAlignment="1">
      <alignment horizontal="center" vertical="center" wrapText="1" readingOrder="1"/>
    </xf>
    <xf numFmtId="9" fontId="33" fillId="8" borderId="69" xfId="0" applyNumberFormat="1" applyFont="1" applyFill="1" applyBorder="1" applyAlignment="1">
      <alignment horizontal="center" vertical="center" wrapText="1" readingOrder="1"/>
    </xf>
    <xf numFmtId="0" fontId="35" fillId="2" borderId="67" xfId="0" applyFont="1" applyFill="1" applyBorder="1" applyAlignment="1">
      <alignment vertical="center" wrapText="1" readingOrder="1"/>
    </xf>
    <xf numFmtId="9" fontId="36" fillId="2" borderId="45" xfId="0" applyNumberFormat="1" applyFont="1" applyFill="1" applyBorder="1" applyAlignment="1">
      <alignment horizontal="center" vertical="center" wrapText="1" readingOrder="1"/>
    </xf>
    <xf numFmtId="0" fontId="36" fillId="2" borderId="0" xfId="0" applyFont="1" applyFill="1" applyAlignment="1">
      <alignment horizontal="center" vertical="center" wrapText="1" readingOrder="1"/>
    </xf>
    <xf numFmtId="0" fontId="30" fillId="2" borderId="0" xfId="0" applyFont="1" applyFill="1" applyAlignment="1">
      <alignment horizontal="center" vertical="center" wrapText="1"/>
    </xf>
    <xf numFmtId="0" fontId="33" fillId="8" borderId="10" xfId="0" applyFont="1" applyFill="1" applyBorder="1" applyAlignment="1">
      <alignment horizontal="center" vertical="center" wrapText="1" readingOrder="1"/>
    </xf>
    <xf numFmtId="0" fontId="25" fillId="10" borderId="29" xfId="0" applyFont="1" applyFill="1" applyBorder="1" applyAlignment="1">
      <alignment horizontal="center" vertical="center" wrapText="1" readingOrder="1"/>
    </xf>
    <xf numFmtId="0" fontId="25" fillId="10" borderId="23" xfId="0" applyFont="1" applyFill="1" applyBorder="1" applyAlignment="1">
      <alignment horizontal="center" vertical="center" wrapText="1" readingOrder="1"/>
    </xf>
    <xf numFmtId="0" fontId="25" fillId="10" borderId="12" xfId="0"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0" fontId="33" fillId="7" borderId="64" xfId="0" applyFont="1" applyFill="1" applyBorder="1" applyAlignment="1">
      <alignment horizontal="center" vertical="center" wrapText="1"/>
    </xf>
    <xf numFmtId="0" fontId="33" fillId="7" borderId="64" xfId="0" applyFont="1" applyFill="1" applyBorder="1" applyAlignment="1">
      <alignment horizontal="center" vertical="center" wrapText="1" readingOrder="1"/>
    </xf>
    <xf numFmtId="0" fontId="33" fillId="7" borderId="2" xfId="0" applyFont="1" applyFill="1" applyBorder="1" applyAlignment="1">
      <alignment horizontal="center" vertical="center" wrapText="1"/>
    </xf>
    <xf numFmtId="0" fontId="33" fillId="7" borderId="2" xfId="0" applyFont="1" applyFill="1" applyBorder="1" applyAlignment="1">
      <alignment horizontal="center" vertical="center" wrapText="1" readingOrder="1"/>
    </xf>
    <xf numFmtId="0" fontId="35" fillId="2" borderId="47" xfId="0" applyFont="1" applyFill="1" applyBorder="1" applyAlignment="1" applyProtection="1">
      <alignment horizontal="center" vertical="center" wrapText="1" readingOrder="1"/>
      <protection locked="0"/>
    </xf>
    <xf numFmtId="0" fontId="31" fillId="2" borderId="0" xfId="2" applyFont="1" applyFill="1" applyBorder="1" applyAlignment="1" applyProtection="1">
      <alignment horizontal="right" vertical="center" wrapText="1"/>
    </xf>
    <xf numFmtId="9" fontId="30" fillId="2" borderId="99" xfId="0" applyNumberFormat="1" applyFont="1" applyFill="1" applyBorder="1" applyAlignment="1" applyProtection="1">
      <alignment vertical="center" wrapText="1"/>
      <protection locked="0"/>
    </xf>
    <xf numFmtId="0" fontId="25" fillId="2" borderId="0" xfId="1" applyFont="1" applyFill="1" applyBorder="1" applyAlignment="1" applyProtection="1">
      <alignment horizontal="left" vertical="center" wrapText="1"/>
    </xf>
    <xf numFmtId="0" fontId="25" fillId="2" borderId="0" xfId="0" applyFont="1" applyFill="1" applyAlignment="1">
      <alignment horizontal="left" vertical="center" wrapText="1"/>
    </xf>
    <xf numFmtId="0" fontId="31" fillId="6" borderId="0" xfId="0" applyFont="1" applyFill="1" applyAlignment="1">
      <alignment vertical="center" wrapText="1"/>
    </xf>
    <xf numFmtId="0" fontId="32" fillId="6" borderId="0" xfId="0" applyFont="1" applyFill="1" applyAlignment="1">
      <alignment horizontal="center" vertical="center" wrapText="1"/>
    </xf>
    <xf numFmtId="0" fontId="30" fillId="2" borderId="0" xfId="2" applyFont="1" applyFill="1" applyBorder="1" applyAlignment="1" applyProtection="1">
      <alignment horizontal="left" vertical="center" wrapText="1"/>
    </xf>
    <xf numFmtId="0" fontId="31" fillId="2" borderId="0" xfId="0" applyFont="1" applyFill="1" applyAlignment="1">
      <alignment vertical="center" wrapText="1"/>
    </xf>
    <xf numFmtId="0" fontId="28" fillId="2" borderId="0" xfId="0" applyFont="1" applyFill="1" applyAlignment="1">
      <alignment horizontal="left" vertical="center" wrapText="1"/>
    </xf>
    <xf numFmtId="0" fontId="42" fillId="2" borderId="0" xfId="11" applyFont="1" applyFill="1" applyAlignment="1">
      <alignment horizontal="left" wrapText="1"/>
    </xf>
    <xf numFmtId="0" fontId="32" fillId="2" borderId="0" xfId="0" applyFont="1" applyFill="1" applyAlignment="1">
      <alignment horizontal="center" vertical="center" wrapText="1"/>
    </xf>
    <xf numFmtId="0" fontId="29" fillId="6" borderId="0" xfId="0" applyFont="1" applyFill="1" applyAlignment="1">
      <alignment vertical="center" wrapText="1"/>
    </xf>
    <xf numFmtId="0" fontId="34" fillId="2" borderId="0" xfId="0" applyFont="1" applyFill="1" applyAlignment="1">
      <alignment horizontal="left" vertical="center" wrapText="1"/>
    </xf>
    <xf numFmtId="0" fontId="29" fillId="6" borderId="0" xfId="0" applyFont="1" applyFill="1" applyAlignment="1">
      <alignment wrapText="1"/>
    </xf>
    <xf numFmtId="0" fontId="31" fillId="2" borderId="0" xfId="0" applyFont="1" applyFill="1" applyAlignment="1">
      <alignment horizontal="left" wrapText="1"/>
    </xf>
    <xf numFmtId="0" fontId="31" fillId="2" borderId="0" xfId="11" applyFont="1" applyFill="1" applyAlignment="1">
      <alignment horizontal="left" vertical="center" wrapText="1"/>
    </xf>
    <xf numFmtId="0" fontId="31" fillId="2" borderId="0" xfId="0" applyFont="1" applyFill="1" applyAlignment="1">
      <alignment horizontal="center" wrapText="1"/>
    </xf>
    <xf numFmtId="0" fontId="42" fillId="2" borderId="0" xfId="11" applyFont="1" applyFill="1" applyAlignment="1">
      <alignment horizontal="left" vertical="center" wrapText="1"/>
    </xf>
    <xf numFmtId="0" fontId="29" fillId="6" borderId="0" xfId="0" applyFont="1" applyFill="1" applyAlignment="1">
      <alignment horizontal="center" wrapText="1"/>
    </xf>
    <xf numFmtId="0" fontId="31" fillId="6" borderId="0" xfId="0" applyFont="1" applyFill="1" applyAlignment="1">
      <alignment horizontal="center" wrapText="1"/>
    </xf>
    <xf numFmtId="0" fontId="29" fillId="6" borderId="0" xfId="0" applyFont="1" applyFill="1" applyAlignment="1">
      <alignment horizontal="center" vertical="center" wrapText="1"/>
    </xf>
    <xf numFmtId="0" fontId="31" fillId="6" borderId="0" xfId="0" applyFont="1" applyFill="1" applyAlignment="1" applyProtection="1">
      <alignment wrapText="1"/>
      <protection locked="0"/>
    </xf>
    <xf numFmtId="0" fontId="28" fillId="2" borderId="0" xfId="0" applyFont="1" applyFill="1" applyAlignment="1">
      <alignment wrapText="1"/>
    </xf>
    <xf numFmtId="0" fontId="31" fillId="6" borderId="0" xfId="0" applyFont="1" applyFill="1" applyAlignment="1">
      <alignment horizontal="left" wrapText="1"/>
    </xf>
    <xf numFmtId="0" fontId="31" fillId="6" borderId="0" xfId="0" applyFont="1" applyFill="1" applyAlignment="1">
      <alignment horizontal="left" vertical="center" wrapText="1"/>
    </xf>
    <xf numFmtId="9" fontId="31" fillId="6" borderId="0" xfId="0" applyNumberFormat="1" applyFont="1" applyFill="1" applyAlignment="1">
      <alignment horizontal="left" vertical="top" wrapText="1"/>
    </xf>
    <xf numFmtId="0" fontId="31" fillId="6" borderId="0" xfId="0" applyFont="1" applyFill="1" applyAlignment="1">
      <alignment horizontal="left" vertical="top" wrapText="1"/>
    </xf>
    <xf numFmtId="9" fontId="31" fillId="6" borderId="0" xfId="0" applyNumberFormat="1" applyFont="1" applyFill="1" applyAlignment="1">
      <alignment horizontal="left" vertical="center" wrapText="1"/>
    </xf>
    <xf numFmtId="10" fontId="28" fillId="2" borderId="0" xfId="0" applyNumberFormat="1" applyFont="1" applyFill="1" applyAlignment="1">
      <alignment horizontal="left" wrapText="1"/>
    </xf>
    <xf numFmtId="0" fontId="28" fillId="2" borderId="0" xfId="0" applyFont="1" applyFill="1" applyAlignment="1">
      <alignment horizontal="left" wrapText="1"/>
    </xf>
    <xf numFmtId="0" fontId="36" fillId="6" borderId="0" xfId="0" applyFont="1" applyFill="1" applyAlignment="1">
      <alignment horizontal="left" vertical="center" wrapText="1"/>
    </xf>
    <xf numFmtId="9" fontId="30" fillId="2" borderId="8" xfId="0" applyNumberFormat="1" applyFont="1" applyFill="1" applyBorder="1" applyAlignment="1" applyProtection="1">
      <alignment vertical="center" wrapText="1"/>
      <protection locked="0"/>
    </xf>
    <xf numFmtId="9" fontId="30" fillId="2" borderId="47" xfId="0" applyNumberFormat="1" applyFont="1" applyFill="1" applyBorder="1" applyAlignment="1" applyProtection="1">
      <alignment vertical="center" wrapText="1"/>
      <protection locked="0"/>
    </xf>
    <xf numFmtId="9" fontId="30" fillId="2" borderId="2" xfId="0" applyNumberFormat="1" applyFont="1" applyFill="1" applyBorder="1" applyAlignment="1" applyProtection="1">
      <alignment vertical="center" wrapText="1"/>
      <protection locked="0"/>
    </xf>
    <xf numFmtId="0" fontId="6" fillId="2" borderId="7" xfId="0" applyFont="1" applyFill="1" applyBorder="1" applyAlignment="1">
      <alignment vertical="center" wrapText="1"/>
    </xf>
    <xf numFmtId="9" fontId="6" fillId="2" borderId="2" xfId="0" applyNumberFormat="1" applyFont="1" applyFill="1" applyBorder="1" applyAlignment="1">
      <alignment vertical="center" wrapText="1"/>
    </xf>
    <xf numFmtId="0" fontId="6" fillId="2" borderId="10" xfId="0" applyFont="1" applyFill="1" applyBorder="1" applyAlignment="1">
      <alignment vertical="center" wrapText="1"/>
    </xf>
    <xf numFmtId="0" fontId="6" fillId="2" borderId="9" xfId="0" applyFont="1" applyFill="1" applyBorder="1" applyAlignment="1">
      <alignment vertical="center" wrapText="1"/>
    </xf>
    <xf numFmtId="0" fontId="6" fillId="2" borderId="2" xfId="0" applyFont="1" applyFill="1" applyBorder="1" applyAlignment="1">
      <alignment vertical="center" wrapText="1"/>
    </xf>
    <xf numFmtId="0" fontId="22" fillId="11" borderId="2" xfId="0" applyFont="1" applyFill="1" applyBorder="1" applyAlignment="1">
      <alignment horizontal="center" vertical="center"/>
    </xf>
    <xf numFmtId="0" fontId="21" fillId="5" borderId="0" xfId="0" applyFont="1" applyFill="1"/>
    <xf numFmtId="0" fontId="0" fillId="5" borderId="0" xfId="0" applyFill="1"/>
    <xf numFmtId="0" fontId="24" fillId="2" borderId="0" xfId="0" applyFont="1" applyFill="1"/>
    <xf numFmtId="0" fontId="27" fillId="2" borderId="0" xfId="0" applyFont="1" applyFill="1"/>
    <xf numFmtId="0" fontId="25" fillId="2" borderId="0" xfId="2" applyFont="1" applyFill="1" applyBorder="1" applyAlignment="1" applyProtection="1">
      <alignment horizontal="left" vertical="center"/>
    </xf>
    <xf numFmtId="0" fontId="23" fillId="2" borderId="0" xfId="2" applyFont="1" applyFill="1" applyBorder="1" applyAlignment="1" applyProtection="1">
      <alignment vertical="center"/>
    </xf>
    <xf numFmtId="0" fontId="0" fillId="2" borderId="0" xfId="0" applyFill="1" applyAlignment="1">
      <alignment horizontal="left"/>
    </xf>
    <xf numFmtId="0" fontId="0" fillId="2" borderId="0" xfId="0" applyFill="1" applyAlignment="1">
      <alignment horizontal="left" vertical="center"/>
    </xf>
    <xf numFmtId="0" fontId="22" fillId="14" borderId="4" xfId="0" applyFont="1" applyFill="1" applyBorder="1" applyAlignment="1">
      <alignment horizontal="center" vertical="center"/>
    </xf>
    <xf numFmtId="0" fontId="22" fillId="11" borderId="4" xfId="0" applyFont="1" applyFill="1" applyBorder="1" applyAlignment="1">
      <alignment horizontal="center" vertical="center"/>
    </xf>
    <xf numFmtId="0" fontId="22" fillId="7" borderId="4" xfId="0" applyFont="1" applyFill="1" applyBorder="1" applyAlignment="1">
      <alignment horizontal="center" vertical="center"/>
    </xf>
    <xf numFmtId="0" fontId="20" fillId="2" borderId="0" xfId="0" applyFont="1" applyFill="1"/>
    <xf numFmtId="0" fontId="0" fillId="5" borderId="0" xfId="0" applyFill="1" applyAlignment="1">
      <alignment vertical="center"/>
    </xf>
    <xf numFmtId="0" fontId="0" fillId="2" borderId="0" xfId="0" applyFill="1" applyAlignment="1">
      <alignment vertical="center"/>
    </xf>
    <xf numFmtId="0" fontId="39" fillId="7" borderId="66" xfId="0" applyFont="1" applyFill="1" applyBorder="1" applyAlignment="1">
      <alignment horizontal="center" vertical="center" wrapText="1"/>
    </xf>
    <xf numFmtId="0" fontId="26" fillId="5" borderId="0" xfId="0" applyFont="1" applyFill="1"/>
    <xf numFmtId="0" fontId="26" fillId="2" borderId="0" xfId="0" applyFont="1" applyFill="1"/>
    <xf numFmtId="0" fontId="26" fillId="2" borderId="0" xfId="0" applyFont="1" applyFill="1" applyAlignment="1">
      <alignment horizontal="center"/>
    </xf>
    <xf numFmtId="0" fontId="0" fillId="2" borderId="0" xfId="0" applyFill="1" applyAlignment="1">
      <alignment horizontal="center" vertical="center"/>
    </xf>
    <xf numFmtId="0" fontId="0" fillId="5" borderId="0" xfId="0" applyFill="1" applyAlignment="1">
      <alignment horizontal="center" vertical="center"/>
    </xf>
    <xf numFmtId="0" fontId="6" fillId="2" borderId="39" xfId="0" applyFont="1" applyFill="1" applyBorder="1" applyAlignment="1">
      <alignment vertical="center" wrapText="1"/>
    </xf>
    <xf numFmtId="9" fontId="6" fillId="2" borderId="39" xfId="0" applyNumberFormat="1" applyFont="1" applyFill="1" applyBorder="1" applyAlignment="1">
      <alignment vertical="center" wrapText="1"/>
    </xf>
    <xf numFmtId="0" fontId="6" fillId="2" borderId="29" xfId="0" applyFont="1" applyFill="1" applyBorder="1" applyAlignment="1">
      <alignment vertical="center" wrapText="1"/>
    </xf>
    <xf numFmtId="0" fontId="20" fillId="5" borderId="0" xfId="0" applyFont="1" applyFill="1"/>
    <xf numFmtId="0" fontId="6" fillId="2" borderId="6" xfId="0" applyFont="1" applyFill="1" applyBorder="1" applyAlignment="1">
      <alignment vertical="center" wrapText="1"/>
    </xf>
    <xf numFmtId="0" fontId="0" fillId="2" borderId="2" xfId="0" applyFill="1" applyBorder="1" applyAlignment="1">
      <alignment vertical="center" wrapText="1"/>
    </xf>
    <xf numFmtId="9" fontId="0" fillId="2" borderId="2" xfId="0" applyNumberFormat="1" applyFill="1" applyBorder="1" applyAlignment="1">
      <alignment horizontal="center" vertical="center" wrapText="1"/>
    </xf>
    <xf numFmtId="9" fontId="0" fillId="2" borderId="2" xfId="0" applyNumberFormat="1" applyFill="1" applyBorder="1" applyAlignment="1">
      <alignment vertical="center" wrapText="1"/>
    </xf>
    <xf numFmtId="0" fontId="53" fillId="2" borderId="0" xfId="2" applyFont="1" applyFill="1" applyBorder="1" applyAlignment="1" applyProtection="1">
      <alignment horizontal="left" vertical="center"/>
    </xf>
    <xf numFmtId="0" fontId="0" fillId="2" borderId="2" xfId="0" applyFill="1" applyBorder="1" applyAlignment="1">
      <alignment horizontal="center" vertical="center" wrapText="1"/>
    </xf>
    <xf numFmtId="0" fontId="35" fillId="2" borderId="47" xfId="0" applyFont="1" applyFill="1" applyBorder="1" applyAlignment="1" applyProtection="1">
      <alignment horizontal="left" vertical="center" wrapText="1" readingOrder="1"/>
      <protection locked="0"/>
    </xf>
    <xf numFmtId="9" fontId="31" fillId="2" borderId="50" xfId="12" applyFont="1" applyFill="1" applyBorder="1" applyAlignment="1" applyProtection="1">
      <alignment horizontal="center" vertical="center"/>
      <protection locked="0"/>
    </xf>
    <xf numFmtId="0" fontId="55" fillId="0" borderId="0" xfId="0" applyFont="1" applyAlignment="1">
      <alignment wrapText="1"/>
    </xf>
    <xf numFmtId="0" fontId="21" fillId="5" borderId="0" xfId="0" applyFont="1" applyFill="1" applyAlignment="1">
      <alignment vertical="center" wrapText="1"/>
    </xf>
    <xf numFmtId="0" fontId="35" fillId="2" borderId="61" xfId="0" applyFont="1" applyFill="1" applyBorder="1" applyAlignment="1" applyProtection="1">
      <alignment horizontal="center" vertical="center" wrapText="1" readingOrder="1"/>
      <protection locked="0"/>
    </xf>
    <xf numFmtId="0" fontId="38" fillId="7" borderId="69" xfId="0" applyFont="1" applyFill="1" applyBorder="1" applyAlignment="1">
      <alignment horizontal="center" vertical="center" wrapText="1"/>
    </xf>
    <xf numFmtId="0" fontId="54" fillId="2" borderId="0" xfId="0" applyFont="1" applyFill="1" applyAlignment="1">
      <alignment vertical="center" wrapText="1"/>
    </xf>
    <xf numFmtId="0" fontId="56" fillId="2" borderId="0" xfId="0" applyFont="1" applyFill="1"/>
    <xf numFmtId="0" fontId="56" fillId="2" borderId="0" xfId="0" applyFont="1" applyFill="1" applyAlignment="1">
      <alignment horizontal="center" vertical="center"/>
    </xf>
    <xf numFmtId="0" fontId="56" fillId="2" borderId="0" xfId="0" applyFont="1" applyFill="1" applyAlignment="1">
      <alignment vertical="center" wrapText="1"/>
    </xf>
    <xf numFmtId="9" fontId="33" fillId="12" borderId="58" xfId="0" applyNumberFormat="1" applyFont="1" applyFill="1" applyBorder="1" applyAlignment="1">
      <alignment horizontal="center" vertical="center" wrapText="1" readingOrder="1"/>
    </xf>
    <xf numFmtId="9" fontId="35" fillId="2" borderId="47" xfId="0" applyNumberFormat="1" applyFont="1" applyFill="1" applyBorder="1" applyAlignment="1" applyProtection="1">
      <alignment horizontal="center" vertical="center" wrapText="1" readingOrder="1"/>
      <protection locked="0"/>
    </xf>
    <xf numFmtId="0" fontId="35" fillId="2" borderId="63" xfId="0" applyFont="1" applyFill="1" applyBorder="1" applyAlignment="1" applyProtection="1">
      <alignment horizontal="center" vertical="center" wrapText="1" readingOrder="1"/>
      <protection locked="0"/>
    </xf>
    <xf numFmtId="0" fontId="35" fillId="2" borderId="31" xfId="0" applyFont="1" applyFill="1" applyBorder="1" applyAlignment="1" applyProtection="1">
      <alignment horizontal="center" vertical="center" wrapText="1" readingOrder="1"/>
      <protection locked="0"/>
    </xf>
    <xf numFmtId="0" fontId="31" fillId="2" borderId="47"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protection locked="0"/>
    </xf>
    <xf numFmtId="0" fontId="58" fillId="2" borderId="47" xfId="0" applyFont="1" applyFill="1" applyBorder="1" applyAlignment="1" applyProtection="1">
      <alignment horizontal="center" vertical="center" wrapText="1" readingOrder="1"/>
      <protection locked="0"/>
    </xf>
    <xf numFmtId="0" fontId="59" fillId="2" borderId="47" xfId="0" applyFont="1" applyFill="1" applyBorder="1" applyAlignment="1" applyProtection="1">
      <alignment horizontal="center" vertical="center" wrapText="1"/>
      <protection locked="0"/>
    </xf>
    <xf numFmtId="14" fontId="31" fillId="2" borderId="47" xfId="0" applyNumberFormat="1" applyFont="1" applyFill="1" applyBorder="1" applyAlignment="1" applyProtection="1">
      <alignment horizontal="center" vertical="center" wrapText="1"/>
      <protection locked="0"/>
    </xf>
    <xf numFmtId="0" fontId="1" fillId="2" borderId="0" xfId="0" applyFont="1" applyFill="1"/>
    <xf numFmtId="0" fontId="44" fillId="2" borderId="0" xfId="2"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14" xfId="0" applyFont="1" applyFill="1" applyBorder="1" applyAlignment="1" applyProtection="1">
      <alignment horizontal="left" vertical="center" wrapText="1"/>
      <protection locked="0"/>
    </xf>
    <xf numFmtId="0" fontId="34" fillId="2" borderId="13" xfId="0" applyFont="1" applyFill="1" applyBorder="1" applyAlignment="1" applyProtection="1">
      <alignment horizontal="left" vertical="center" wrapText="1"/>
      <protection locked="0"/>
    </xf>
    <xf numFmtId="0" fontId="34" fillId="2" borderId="4" xfId="0" applyFont="1" applyFill="1" applyBorder="1" applyAlignment="1" applyProtection="1">
      <alignment horizontal="left" vertical="center" wrapText="1"/>
      <protection locked="0"/>
    </xf>
    <xf numFmtId="0" fontId="34" fillId="2" borderId="5" xfId="0" applyFont="1" applyFill="1" applyBorder="1" applyAlignment="1" applyProtection="1">
      <alignment horizontal="left" vertical="center" wrapText="1"/>
      <protection locked="0"/>
    </xf>
    <xf numFmtId="0" fontId="34" fillId="2" borderId="40" xfId="0" applyFont="1" applyFill="1" applyBorder="1" applyAlignment="1" applyProtection="1">
      <alignment horizontal="left" vertical="center" wrapText="1"/>
      <protection locked="0"/>
    </xf>
    <xf numFmtId="14" fontId="34" fillId="2" borderId="26" xfId="0" applyNumberFormat="1" applyFont="1" applyFill="1" applyBorder="1" applyAlignment="1" applyProtection="1">
      <alignment horizontal="left" vertical="center" wrapText="1"/>
      <protection locked="0"/>
    </xf>
    <xf numFmtId="14" fontId="34" fillId="2" borderId="17" xfId="0" applyNumberFormat="1" applyFont="1" applyFill="1" applyBorder="1" applyAlignment="1" applyProtection="1">
      <alignment horizontal="left" vertical="center" wrapText="1"/>
      <protection locked="0"/>
    </xf>
    <xf numFmtId="14" fontId="34" fillId="2" borderId="16" xfId="0" applyNumberFormat="1" applyFont="1" applyFill="1" applyBorder="1" applyAlignment="1" applyProtection="1">
      <alignment horizontal="left" vertical="center" wrapText="1"/>
      <protection locked="0"/>
    </xf>
    <xf numFmtId="14" fontId="31" fillId="2" borderId="24" xfId="0" applyNumberFormat="1" applyFont="1" applyFill="1" applyBorder="1" applyAlignment="1" applyProtection="1">
      <alignment horizontal="left" vertical="center" wrapText="1"/>
      <protection locked="0"/>
    </xf>
    <xf numFmtId="14" fontId="31" fillId="2" borderId="14" xfId="0" applyNumberFormat="1" applyFont="1" applyFill="1" applyBorder="1" applyAlignment="1" applyProtection="1">
      <alignment horizontal="left" vertical="center" wrapText="1"/>
      <protection locked="0"/>
    </xf>
    <xf numFmtId="14" fontId="31" fillId="2" borderId="13" xfId="0" applyNumberFormat="1" applyFont="1" applyFill="1" applyBorder="1" applyAlignment="1" applyProtection="1">
      <alignment horizontal="left" vertical="center" wrapText="1"/>
      <protection locked="0"/>
    </xf>
    <xf numFmtId="14" fontId="31" fillId="2" borderId="26" xfId="0" applyNumberFormat="1" applyFont="1" applyFill="1" applyBorder="1" applyAlignment="1" applyProtection="1">
      <alignment horizontal="left" vertical="center" wrapText="1"/>
      <protection locked="0"/>
    </xf>
    <xf numFmtId="14" fontId="31" fillId="2" borderId="17" xfId="0" applyNumberFormat="1" applyFont="1" applyFill="1" applyBorder="1" applyAlignment="1" applyProtection="1">
      <alignment horizontal="left" vertical="center" wrapText="1"/>
      <protection locked="0"/>
    </xf>
    <xf numFmtId="14" fontId="31" fillId="2" borderId="16" xfId="0" applyNumberFormat="1" applyFont="1" applyFill="1" applyBorder="1" applyAlignment="1" applyProtection="1">
      <alignment horizontal="left" vertical="center" wrapText="1"/>
      <protection locked="0"/>
    </xf>
    <xf numFmtId="9" fontId="33" fillId="8" borderId="57" xfId="0" applyNumberFormat="1" applyFont="1" applyFill="1" applyBorder="1" applyAlignment="1">
      <alignment horizontal="center" vertical="center" wrapText="1" readingOrder="1"/>
    </xf>
    <xf numFmtId="9" fontId="33" fillId="8" borderId="60" xfId="0" applyNumberFormat="1" applyFont="1" applyFill="1" applyBorder="1" applyAlignment="1">
      <alignment horizontal="center" vertical="center" wrapText="1" readingOrder="1"/>
    </xf>
    <xf numFmtId="9" fontId="33" fillId="8" borderId="62" xfId="0" applyNumberFormat="1" applyFont="1" applyFill="1" applyBorder="1" applyAlignment="1">
      <alignment horizontal="center" vertical="center" wrapText="1" readingOrder="1"/>
    </xf>
    <xf numFmtId="0" fontId="30" fillId="2" borderId="58" xfId="0" applyFont="1" applyFill="1" applyBorder="1" applyAlignment="1" applyProtection="1">
      <alignment horizontal="center" vertical="center" wrapText="1"/>
      <protection locked="0"/>
    </xf>
    <xf numFmtId="0" fontId="30" fillId="2" borderId="59"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protection locked="0"/>
    </xf>
    <xf numFmtId="0" fontId="31" fillId="3" borderId="79" xfId="0" applyFont="1" applyFill="1" applyBorder="1" applyAlignment="1">
      <alignment horizontal="center" vertical="center" wrapText="1"/>
    </xf>
    <xf numFmtId="0" fontId="31" fillId="3" borderId="8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1" fillId="2" borderId="0" xfId="0" applyFont="1" applyFill="1" applyAlignment="1">
      <alignment horizontal="left" vertical="center" wrapText="1"/>
    </xf>
    <xf numFmtId="0" fontId="33" fillId="11" borderId="92" xfId="0" applyFont="1" applyFill="1" applyBorder="1" applyAlignment="1">
      <alignment horizontal="center" vertical="center" wrapText="1" readingOrder="1"/>
    </xf>
    <xf numFmtId="0" fontId="33" fillId="11" borderId="93" xfId="0" applyFont="1" applyFill="1" applyBorder="1" applyAlignment="1">
      <alignment horizontal="center" vertical="center" wrapText="1" readingOrder="1"/>
    </xf>
    <xf numFmtId="0" fontId="33" fillId="11" borderId="94" xfId="0" applyFont="1" applyFill="1" applyBorder="1" applyAlignment="1">
      <alignment horizontal="center" vertical="center" wrapText="1" readingOrder="1"/>
    </xf>
    <xf numFmtId="9" fontId="33" fillId="8" borderId="80" xfId="0" applyNumberFormat="1" applyFont="1" applyFill="1" applyBorder="1" applyAlignment="1">
      <alignment horizontal="center" vertical="center" wrapText="1" readingOrder="1"/>
    </xf>
    <xf numFmtId="9" fontId="33" fillId="8" borderId="96" xfId="0" applyNumberFormat="1" applyFont="1" applyFill="1" applyBorder="1" applyAlignment="1">
      <alignment horizontal="center" vertical="center" wrapText="1" readingOrder="1"/>
    </xf>
    <xf numFmtId="9" fontId="33" fillId="8" borderId="81" xfId="0" applyNumberFormat="1" applyFont="1" applyFill="1" applyBorder="1" applyAlignment="1">
      <alignment horizontal="center" vertical="center" wrapText="1" readingOrder="1"/>
    </xf>
    <xf numFmtId="9" fontId="33" fillId="8" borderId="97" xfId="0" applyNumberFormat="1" applyFont="1" applyFill="1" applyBorder="1" applyAlignment="1">
      <alignment horizontal="center" vertical="center" wrapText="1" readingOrder="1"/>
    </xf>
    <xf numFmtId="0" fontId="30" fillId="2" borderId="57" xfId="0" applyFont="1" applyFill="1" applyBorder="1" applyAlignment="1" applyProtection="1">
      <alignment horizontal="center" vertical="center" wrapText="1"/>
      <protection locked="0"/>
    </xf>
    <xf numFmtId="0" fontId="30" fillId="2" borderId="60" xfId="0" applyFont="1" applyFill="1" applyBorder="1" applyAlignment="1" applyProtection="1">
      <alignment horizontal="center" vertical="center" wrapText="1"/>
      <protection locked="0"/>
    </xf>
    <xf numFmtId="9" fontId="33" fillId="8" borderId="78" xfId="0" applyNumberFormat="1" applyFont="1" applyFill="1" applyBorder="1" applyAlignment="1">
      <alignment horizontal="center" vertical="center" wrapText="1" readingOrder="1"/>
    </xf>
    <xf numFmtId="9" fontId="33" fillId="8" borderId="54" xfId="0" applyNumberFormat="1" applyFont="1" applyFill="1" applyBorder="1" applyAlignment="1">
      <alignment horizontal="center" vertical="center" wrapText="1" readingOrder="1"/>
    </xf>
    <xf numFmtId="9" fontId="33" fillId="12" borderId="33" xfId="0" applyNumberFormat="1" applyFont="1" applyFill="1" applyBorder="1" applyAlignment="1">
      <alignment horizontal="center" vertical="center" wrapText="1" readingOrder="1"/>
    </xf>
    <xf numFmtId="9" fontId="33" fillId="12" borderId="5" xfId="0" applyNumberFormat="1" applyFont="1" applyFill="1" applyBorder="1" applyAlignment="1">
      <alignment horizontal="center" vertical="center" wrapText="1" readingOrder="1"/>
    </xf>
    <xf numFmtId="9" fontId="33" fillId="12" borderId="3" xfId="0" applyNumberFormat="1" applyFont="1" applyFill="1" applyBorder="1" applyAlignment="1">
      <alignment horizontal="center" vertical="center" wrapText="1" readingOrder="1"/>
    </xf>
    <xf numFmtId="9" fontId="33" fillId="12" borderId="4" xfId="0" applyNumberFormat="1" applyFont="1" applyFill="1" applyBorder="1" applyAlignment="1">
      <alignment horizontal="center" vertical="center" wrapText="1" readingOrder="1"/>
    </xf>
    <xf numFmtId="9" fontId="33" fillId="12" borderId="98" xfId="0" applyNumberFormat="1" applyFont="1" applyFill="1" applyBorder="1" applyAlignment="1">
      <alignment horizontal="center" vertical="center" wrapText="1" readingOrder="1"/>
    </xf>
    <xf numFmtId="0" fontId="30" fillId="0" borderId="100" xfId="0" applyFont="1" applyBorder="1" applyAlignment="1" applyProtection="1">
      <alignment horizontal="center" vertical="center" wrapText="1" readingOrder="1"/>
      <protection locked="0"/>
    </xf>
    <xf numFmtId="0" fontId="30" fillId="0" borderId="101" xfId="0" applyFont="1" applyBorder="1" applyAlignment="1" applyProtection="1">
      <alignment horizontal="center" vertical="center" wrapText="1" readingOrder="1"/>
      <protection locked="0"/>
    </xf>
    <xf numFmtId="0" fontId="30" fillId="0" borderId="102" xfId="0" applyFont="1" applyBorder="1" applyAlignment="1" applyProtection="1">
      <alignment horizontal="center" vertical="center" wrapText="1" readingOrder="1"/>
      <protection locked="0"/>
    </xf>
    <xf numFmtId="0" fontId="30" fillId="0" borderId="103" xfId="0" applyFont="1" applyBorder="1" applyAlignment="1" applyProtection="1">
      <alignment horizontal="center" vertical="center" wrapText="1" readingOrder="1"/>
      <protection locked="0"/>
    </xf>
    <xf numFmtId="0" fontId="30" fillId="0" borderId="104" xfId="0" applyFont="1" applyBorder="1" applyAlignment="1" applyProtection="1">
      <alignment horizontal="center" vertical="center" wrapText="1" readingOrder="1"/>
      <protection locked="0"/>
    </xf>
    <xf numFmtId="0" fontId="25" fillId="10" borderId="105" xfId="0" applyFont="1" applyFill="1" applyBorder="1" applyAlignment="1" applyProtection="1">
      <alignment horizontal="center" vertical="center" wrapText="1" readingOrder="1"/>
      <protection locked="0"/>
    </xf>
    <xf numFmtId="0" fontId="25" fillId="10" borderId="106" xfId="0" applyFont="1" applyFill="1" applyBorder="1" applyAlignment="1" applyProtection="1">
      <alignment horizontal="center" vertical="center" wrapText="1" readingOrder="1"/>
      <protection locked="0"/>
    </xf>
    <xf numFmtId="0" fontId="25" fillId="10" borderId="107" xfId="0" applyFont="1" applyFill="1" applyBorder="1" applyAlignment="1" applyProtection="1">
      <alignment horizontal="center" vertical="center" wrapText="1" readingOrder="1"/>
      <protection locked="0"/>
    </xf>
    <xf numFmtId="0" fontId="42" fillId="2" borderId="0" xfId="11" applyFont="1" applyFill="1" applyAlignment="1">
      <alignment horizontal="left" vertical="center" wrapText="1"/>
    </xf>
    <xf numFmtId="0" fontId="25" fillId="10" borderId="52" xfId="0" applyFont="1" applyFill="1" applyBorder="1" applyAlignment="1" applyProtection="1">
      <alignment horizontal="center" vertical="center" wrapText="1" readingOrder="1"/>
      <protection locked="0"/>
    </xf>
    <xf numFmtId="0" fontId="25" fillId="10" borderId="53" xfId="0" applyFont="1" applyFill="1" applyBorder="1" applyAlignment="1" applyProtection="1">
      <alignment horizontal="center" vertical="center" wrapText="1" readingOrder="1"/>
      <protection locked="0"/>
    </xf>
    <xf numFmtId="9" fontId="30" fillId="2" borderId="33" xfId="0" applyNumberFormat="1" applyFont="1" applyFill="1" applyBorder="1" applyAlignment="1" applyProtection="1">
      <alignment horizontal="center" vertical="center" wrapText="1"/>
      <protection locked="0"/>
    </xf>
    <xf numFmtId="9" fontId="30" fillId="2" borderId="5" xfId="0" applyNumberFormat="1" applyFont="1" applyFill="1" applyBorder="1" applyAlignment="1" applyProtection="1">
      <alignment horizontal="center" vertical="center" wrapText="1"/>
      <protection locked="0"/>
    </xf>
    <xf numFmtId="9" fontId="30" fillId="2" borderId="3" xfId="0" applyNumberFormat="1"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readingOrder="1"/>
      <protection locked="0"/>
    </xf>
    <xf numFmtId="0" fontId="30" fillId="2" borderId="5" xfId="0" applyFont="1" applyFill="1" applyBorder="1" applyAlignment="1" applyProtection="1">
      <alignment horizontal="center" vertical="center" wrapText="1" readingOrder="1"/>
      <protection locked="0"/>
    </xf>
    <xf numFmtId="0" fontId="30" fillId="2" borderId="98" xfId="0" applyFont="1" applyFill="1" applyBorder="1" applyAlignment="1" applyProtection="1">
      <alignment horizontal="center" vertical="center" wrapText="1" readingOrder="1"/>
      <protection locked="0"/>
    </xf>
    <xf numFmtId="0" fontId="30" fillId="2" borderId="100" xfId="0" applyFont="1" applyFill="1" applyBorder="1" applyAlignment="1" applyProtection="1">
      <alignment horizontal="center" vertical="center" wrapText="1" readingOrder="1"/>
      <protection locked="0"/>
    </xf>
    <xf numFmtId="0" fontId="30" fillId="2" borderId="101" xfId="0" applyFont="1" applyFill="1" applyBorder="1" applyAlignment="1" applyProtection="1">
      <alignment horizontal="center" vertical="center" wrapText="1" readingOrder="1"/>
      <protection locked="0"/>
    </xf>
    <xf numFmtId="0" fontId="30" fillId="2" borderId="102" xfId="0" applyFont="1" applyFill="1" applyBorder="1" applyAlignment="1" applyProtection="1">
      <alignment horizontal="center" vertical="center" wrapText="1" readingOrder="1"/>
      <protection locked="0"/>
    </xf>
    <xf numFmtId="9" fontId="30" fillId="2" borderId="100" xfId="0" applyNumberFormat="1" applyFont="1" applyFill="1" applyBorder="1" applyAlignment="1" applyProtection="1">
      <alignment horizontal="center" vertical="center" wrapText="1"/>
      <protection locked="0"/>
    </xf>
    <xf numFmtId="9" fontId="30" fillId="2" borderId="101" xfId="0" applyNumberFormat="1" applyFont="1" applyFill="1" applyBorder="1" applyAlignment="1" applyProtection="1">
      <alignment horizontal="center" vertical="center" wrapText="1"/>
      <protection locked="0"/>
    </xf>
    <xf numFmtId="9" fontId="30" fillId="2" borderId="102" xfId="0" applyNumberFormat="1" applyFont="1" applyFill="1" applyBorder="1" applyAlignment="1" applyProtection="1">
      <alignment horizontal="center" vertical="center" wrapText="1"/>
      <protection locked="0"/>
    </xf>
    <xf numFmtId="0" fontId="30" fillId="2" borderId="103" xfId="0" applyFont="1" applyFill="1" applyBorder="1" applyAlignment="1" applyProtection="1">
      <alignment horizontal="center" vertical="center" wrapText="1" readingOrder="1"/>
      <protection locked="0"/>
    </xf>
    <xf numFmtId="0" fontId="30" fillId="2" borderId="104" xfId="0" applyFont="1" applyFill="1" applyBorder="1" applyAlignment="1" applyProtection="1">
      <alignment horizontal="center" vertical="center" wrapText="1" readingOrder="1"/>
      <protection locked="0"/>
    </xf>
    <xf numFmtId="0" fontId="15" fillId="0" borderId="60" xfId="0" applyFont="1" applyBorder="1" applyAlignment="1" applyProtection="1">
      <alignment horizontal="center" vertical="center" wrapText="1" readingOrder="1"/>
      <protection locked="0"/>
    </xf>
    <xf numFmtId="0" fontId="15" fillId="0" borderId="61" xfId="0" applyFont="1" applyBorder="1" applyAlignment="1" applyProtection="1">
      <alignment horizontal="center" vertical="center" wrapText="1" readingOrder="1"/>
      <protection locked="0"/>
    </xf>
    <xf numFmtId="0" fontId="15" fillId="0" borderId="62" xfId="0" applyFont="1" applyBorder="1" applyAlignment="1" applyProtection="1">
      <alignment horizontal="center" vertical="center" wrapText="1" readingOrder="1"/>
      <protection locked="0"/>
    </xf>
    <xf numFmtId="0" fontId="15" fillId="0" borderId="31" xfId="0" applyFont="1" applyBorder="1" applyAlignment="1" applyProtection="1">
      <alignment horizontal="center" vertical="center" wrapText="1" readingOrder="1"/>
      <protection locked="0"/>
    </xf>
    <xf numFmtId="0" fontId="51" fillId="7" borderId="72" xfId="0" applyFont="1" applyFill="1" applyBorder="1" applyAlignment="1">
      <alignment horizontal="center" vertical="center" wrapText="1"/>
    </xf>
    <xf numFmtId="0" fontId="51" fillId="7" borderId="34" xfId="0" applyFont="1" applyFill="1" applyBorder="1" applyAlignment="1">
      <alignment horizontal="center" vertical="center" wrapText="1"/>
    </xf>
    <xf numFmtId="0" fontId="33" fillId="8" borderId="92" xfId="0"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15" fillId="0" borderId="57" xfId="0" applyFont="1" applyBorder="1" applyAlignment="1" applyProtection="1">
      <alignment horizontal="center" vertical="center" wrapText="1" readingOrder="1"/>
      <protection locked="0"/>
    </xf>
    <xf numFmtId="0" fontId="15" fillId="0" borderId="59" xfId="0" applyFont="1" applyBorder="1" applyAlignment="1" applyProtection="1">
      <alignment horizontal="center" vertical="center" wrapText="1" readingOrder="1"/>
      <protection locked="0"/>
    </xf>
    <xf numFmtId="0" fontId="31" fillId="2" borderId="77" xfId="0" applyFont="1" applyFill="1" applyBorder="1" applyAlignment="1" applyProtection="1">
      <alignment horizontal="center" vertical="center" wrapText="1"/>
      <protection locked="0"/>
    </xf>
    <xf numFmtId="0" fontId="48" fillId="2" borderId="73" xfId="0" applyFont="1" applyFill="1" applyBorder="1" applyAlignment="1" applyProtection="1">
      <alignment horizontal="center" vertical="center" wrapText="1"/>
      <protection locked="0"/>
    </xf>
    <xf numFmtId="0" fontId="48" fillId="2" borderId="74" xfId="0" applyFont="1" applyFill="1" applyBorder="1" applyAlignment="1" applyProtection="1">
      <alignment horizontal="center" vertical="center" wrapText="1"/>
      <protection locked="0"/>
    </xf>
    <xf numFmtId="9" fontId="47" fillId="8" borderId="68" xfId="0" applyNumberFormat="1" applyFont="1" applyFill="1" applyBorder="1" applyAlignment="1">
      <alignment horizontal="center" vertical="center" wrapText="1" readingOrder="1"/>
    </xf>
    <xf numFmtId="0" fontId="49" fillId="10" borderId="64" xfId="0" applyFont="1" applyFill="1" applyBorder="1" applyAlignment="1">
      <alignment horizontal="center" vertical="center" wrapText="1" readingOrder="1"/>
    </xf>
    <xf numFmtId="0" fontId="49" fillId="10" borderId="65" xfId="0" applyFont="1" applyFill="1" applyBorder="1" applyAlignment="1">
      <alignment horizontal="center" vertical="center" wrapText="1" readingOrder="1"/>
    </xf>
    <xf numFmtId="0" fontId="49" fillId="10" borderId="75" xfId="0" applyFont="1" applyFill="1" applyBorder="1" applyAlignment="1">
      <alignment horizontal="center" vertical="center" wrapText="1" readingOrder="1"/>
    </xf>
    <xf numFmtId="0" fontId="31" fillId="2" borderId="64" xfId="0" applyFont="1" applyFill="1" applyBorder="1" applyAlignment="1" applyProtection="1">
      <alignment horizontal="center" vertical="center" wrapText="1"/>
      <protection locked="0"/>
    </xf>
    <xf numFmtId="0" fontId="31" fillId="2" borderId="65" xfId="0" applyFont="1" applyFill="1" applyBorder="1" applyAlignment="1" applyProtection="1">
      <alignment horizontal="center" vertical="center" wrapText="1"/>
      <protection locked="0"/>
    </xf>
    <xf numFmtId="0" fontId="31" fillId="2" borderId="75" xfId="0" applyFont="1" applyFill="1" applyBorder="1" applyAlignment="1" applyProtection="1">
      <alignment horizontal="center" vertical="center" wrapText="1"/>
      <protection locked="0"/>
    </xf>
    <xf numFmtId="0" fontId="32" fillId="6" borderId="0" xfId="0" applyFont="1" applyFill="1" applyAlignment="1">
      <alignment horizontal="center" vertical="center" wrapText="1"/>
    </xf>
    <xf numFmtId="0" fontId="47" fillId="11" borderId="64" xfId="0" applyFont="1" applyFill="1" applyBorder="1" applyAlignment="1">
      <alignment horizontal="center" vertical="center" wrapText="1" readingOrder="1"/>
    </xf>
    <xf numFmtId="0" fontId="47" fillId="11" borderId="65" xfId="0" applyFont="1" applyFill="1" applyBorder="1" applyAlignment="1">
      <alignment horizontal="center" vertical="center" wrapText="1" readingOrder="1"/>
    </xf>
    <xf numFmtId="0" fontId="47" fillId="11" borderId="76" xfId="0" applyFont="1" applyFill="1" applyBorder="1" applyAlignment="1">
      <alignment horizontal="center" vertical="center" wrapText="1" readingOrder="1"/>
    </xf>
    <xf numFmtId="0" fontId="50" fillId="5" borderId="64" xfId="0" applyFont="1" applyFill="1" applyBorder="1" applyAlignment="1">
      <alignment horizontal="center" vertical="center" wrapText="1" readingOrder="1"/>
    </xf>
    <xf numFmtId="0" fontId="50" fillId="5" borderId="75" xfId="0" applyFont="1" applyFill="1" applyBorder="1" applyAlignment="1">
      <alignment horizontal="center" vertical="center" wrapText="1" readingOrder="1"/>
    </xf>
    <xf numFmtId="0" fontId="50" fillId="5" borderId="65" xfId="0" applyFont="1" applyFill="1" applyBorder="1" applyAlignment="1">
      <alignment horizontal="center" vertical="center" wrapText="1" readingOrder="1"/>
    </xf>
    <xf numFmtId="0" fontId="50" fillId="5" borderId="76" xfId="0" applyFont="1" applyFill="1" applyBorder="1" applyAlignment="1">
      <alignment horizontal="center" vertical="center" wrapText="1" readingOrder="1"/>
    </xf>
    <xf numFmtId="9" fontId="48" fillId="2" borderId="64" xfId="0" applyNumberFormat="1" applyFont="1" applyFill="1" applyBorder="1" applyAlignment="1" applyProtection="1">
      <alignment horizontal="center" vertical="center" wrapText="1"/>
      <protection locked="0"/>
    </xf>
    <xf numFmtId="9" fontId="48" fillId="2" borderId="75" xfId="0" applyNumberFormat="1" applyFont="1" applyFill="1" applyBorder="1" applyAlignment="1" applyProtection="1">
      <alignment horizontal="center" vertical="center" wrapText="1"/>
      <protection locked="0"/>
    </xf>
    <xf numFmtId="9" fontId="48" fillId="2" borderId="65" xfId="0" applyNumberFormat="1" applyFont="1" applyFill="1" applyBorder="1" applyAlignment="1" applyProtection="1">
      <alignment horizontal="center" vertical="center" wrapText="1"/>
      <protection locked="0"/>
    </xf>
    <xf numFmtId="9" fontId="48" fillId="2" borderId="76" xfId="0" applyNumberFormat="1" applyFont="1" applyFill="1" applyBorder="1" applyAlignment="1" applyProtection="1">
      <alignment horizontal="center" vertical="center" wrapText="1"/>
      <protection locked="0"/>
    </xf>
    <xf numFmtId="0" fontId="42" fillId="2" borderId="64" xfId="0" applyFont="1" applyFill="1" applyBorder="1" applyAlignment="1" applyProtection="1">
      <alignment horizontal="center" vertical="center" wrapText="1" readingOrder="1"/>
      <protection locked="0"/>
    </xf>
    <xf numFmtId="0" fontId="42" fillId="2" borderId="65" xfId="0" applyFont="1" applyFill="1" applyBorder="1" applyAlignment="1" applyProtection="1">
      <alignment horizontal="center" vertical="center" wrapText="1" readingOrder="1"/>
      <protection locked="0"/>
    </xf>
    <xf numFmtId="0" fontId="42" fillId="2" borderId="76" xfId="0" applyFont="1" applyFill="1" applyBorder="1" applyAlignment="1" applyProtection="1">
      <alignment horizontal="center" vertical="center" wrapText="1" readingOrder="1"/>
      <protection locked="0"/>
    </xf>
    <xf numFmtId="0" fontId="31" fillId="2" borderId="50" xfId="0" applyFont="1" applyFill="1" applyBorder="1" applyAlignment="1" applyProtection="1">
      <alignment horizontal="center" vertical="center" wrapText="1"/>
      <protection locked="0"/>
    </xf>
    <xf numFmtId="0" fontId="48" fillId="2" borderId="50" xfId="0" applyFont="1" applyFill="1" applyBorder="1" applyAlignment="1" applyProtection="1">
      <alignment horizontal="center" vertical="center" wrapText="1"/>
      <protection locked="0"/>
    </xf>
    <xf numFmtId="0" fontId="48" fillId="2" borderId="30" xfId="0" applyFont="1" applyFill="1" applyBorder="1" applyAlignment="1" applyProtection="1">
      <alignment horizontal="center" vertical="center" wrapText="1"/>
      <protection locked="0"/>
    </xf>
    <xf numFmtId="0" fontId="49" fillId="10" borderId="47" xfId="0" applyFont="1" applyFill="1" applyBorder="1" applyAlignment="1">
      <alignment horizontal="center" vertical="center" wrapText="1" readingOrder="1"/>
    </xf>
    <xf numFmtId="0" fontId="48" fillId="2" borderId="47" xfId="0" applyFont="1" applyFill="1" applyBorder="1" applyAlignment="1" applyProtection="1">
      <alignment horizontal="center" vertical="center" wrapText="1"/>
      <protection locked="0"/>
    </xf>
    <xf numFmtId="0" fontId="47" fillId="11" borderId="47" xfId="0" applyFont="1" applyFill="1" applyBorder="1" applyAlignment="1">
      <alignment horizontal="center" vertical="center" wrapText="1" readingOrder="1"/>
    </xf>
    <xf numFmtId="0" fontId="47" fillId="11" borderId="61" xfId="0" applyFont="1" applyFill="1" applyBorder="1" applyAlignment="1">
      <alignment horizontal="center" vertical="center" wrapText="1" readingOrder="1"/>
    </xf>
    <xf numFmtId="0" fontId="48" fillId="2" borderId="64" xfId="0" applyFont="1" applyFill="1" applyBorder="1" applyAlignment="1" applyProtection="1">
      <alignment horizontal="center" vertical="center" wrapText="1"/>
      <protection locked="0"/>
    </xf>
    <xf numFmtId="0" fontId="48" fillId="2" borderId="65" xfId="0" applyFont="1" applyFill="1" applyBorder="1" applyAlignment="1" applyProtection="1">
      <alignment horizontal="center" vertical="center" wrapText="1"/>
      <protection locked="0"/>
    </xf>
    <xf numFmtId="0" fontId="48" fillId="2" borderId="75" xfId="0" applyFont="1" applyFill="1" applyBorder="1" applyAlignment="1" applyProtection="1">
      <alignment horizontal="center" vertical="center" wrapText="1"/>
      <protection locked="0"/>
    </xf>
    <xf numFmtId="9" fontId="31" fillId="2" borderId="77" xfId="0" applyNumberFormat="1" applyFont="1" applyFill="1" applyBorder="1" applyAlignment="1" applyProtection="1">
      <alignment horizontal="center" vertical="center" wrapText="1"/>
      <protection locked="0"/>
    </xf>
    <xf numFmtId="9" fontId="48" fillId="2" borderId="73" xfId="0" applyNumberFormat="1" applyFont="1" applyFill="1" applyBorder="1" applyAlignment="1" applyProtection="1">
      <alignment horizontal="center" vertical="center" wrapText="1"/>
      <protection locked="0"/>
    </xf>
    <xf numFmtId="9" fontId="48" fillId="2" borderId="74" xfId="0" applyNumberFormat="1" applyFont="1" applyFill="1" applyBorder="1" applyAlignment="1" applyProtection="1">
      <alignment horizontal="center" vertical="center" wrapText="1"/>
      <protection locked="0"/>
    </xf>
    <xf numFmtId="0" fontId="43" fillId="7" borderId="72" xfId="0" applyFont="1" applyFill="1" applyBorder="1" applyAlignment="1">
      <alignment horizontal="center" vertical="center" wrapText="1"/>
    </xf>
    <xf numFmtId="0" fontId="43" fillId="7" borderId="34" xfId="0" applyFont="1" applyFill="1" applyBorder="1" applyAlignment="1">
      <alignment horizontal="center" vertical="center" wrapText="1"/>
    </xf>
    <xf numFmtId="9" fontId="33" fillId="8" borderId="68" xfId="0" applyNumberFormat="1" applyFont="1" applyFill="1" applyBorder="1" applyAlignment="1">
      <alignment horizontal="center" vertical="center" wrapText="1" readingOrder="1"/>
    </xf>
    <xf numFmtId="164" fontId="48" fillId="2" borderId="64" xfId="0" applyNumberFormat="1" applyFont="1" applyFill="1" applyBorder="1" applyAlignment="1" applyProtection="1">
      <alignment horizontal="center" vertical="center" wrapText="1"/>
      <protection locked="0"/>
    </xf>
    <xf numFmtId="164" fontId="48" fillId="2" borderId="65" xfId="0" applyNumberFormat="1" applyFont="1" applyFill="1" applyBorder="1" applyAlignment="1" applyProtection="1">
      <alignment horizontal="center" vertical="center" wrapText="1"/>
      <protection locked="0"/>
    </xf>
    <xf numFmtId="164" fontId="48" fillId="2" borderId="76" xfId="0" applyNumberFormat="1" applyFont="1" applyFill="1" applyBorder="1" applyAlignment="1" applyProtection="1">
      <alignment horizontal="center" vertical="center" wrapText="1"/>
      <protection locked="0"/>
    </xf>
    <xf numFmtId="0" fontId="33" fillId="8" borderId="41" xfId="0" applyFont="1" applyFill="1" applyBorder="1" applyAlignment="1">
      <alignment horizontal="center" vertical="center" wrapText="1" readingOrder="1"/>
    </xf>
    <xf numFmtId="0" fontId="33" fillId="8" borderId="18"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0" fontId="47" fillId="11" borderId="48" xfId="0" applyFont="1" applyFill="1" applyBorder="1" applyAlignment="1">
      <alignment horizontal="center" vertical="center" wrapText="1" readingOrder="1"/>
    </xf>
    <xf numFmtId="0" fontId="47" fillId="11" borderId="70" xfId="0" applyFont="1" applyFill="1" applyBorder="1" applyAlignment="1">
      <alignment horizontal="center" vertical="center" wrapText="1" readingOrder="1"/>
    </xf>
    <xf numFmtId="9" fontId="33" fillId="12" borderId="47" xfId="0" applyNumberFormat="1" applyFont="1" applyFill="1" applyBorder="1" applyAlignment="1">
      <alignment horizontal="center" vertical="center" wrapText="1" readingOrder="1"/>
    </xf>
    <xf numFmtId="9" fontId="33" fillId="12" borderId="61" xfId="0" applyNumberFormat="1" applyFont="1" applyFill="1" applyBorder="1" applyAlignment="1">
      <alignment horizontal="center" vertical="center" wrapText="1" readingOrder="1"/>
    </xf>
    <xf numFmtId="0" fontId="30" fillId="0" borderId="63" xfId="0" applyFont="1" applyBorder="1" applyAlignment="1" applyProtection="1">
      <alignment horizontal="center" vertical="center" wrapText="1" readingOrder="1"/>
      <protection locked="0"/>
    </xf>
    <xf numFmtId="0" fontId="30" fillId="0" borderId="31" xfId="0" applyFont="1" applyBorder="1" applyAlignment="1" applyProtection="1">
      <alignment horizontal="center" vertical="center" wrapText="1" readingOrder="1"/>
      <protection locked="0"/>
    </xf>
    <xf numFmtId="0" fontId="30" fillId="10" borderId="28" xfId="0" applyFont="1" applyFill="1" applyBorder="1" applyAlignment="1">
      <alignment horizontal="left" vertical="center" wrapText="1" indent="2" readingOrder="1"/>
    </xf>
    <xf numFmtId="0" fontId="30" fillId="10" borderId="0" xfId="0" applyFont="1" applyFill="1" applyAlignment="1">
      <alignment horizontal="left" vertical="center" wrapText="1" indent="2" readingOrder="1"/>
    </xf>
    <xf numFmtId="0" fontId="30" fillId="10" borderId="46" xfId="0" applyFont="1" applyFill="1" applyBorder="1" applyAlignment="1">
      <alignment horizontal="left" vertical="center" wrapText="1" indent="2" readingOrder="1"/>
    </xf>
    <xf numFmtId="9" fontId="33" fillId="12" borderId="58" xfId="0" applyNumberFormat="1" applyFont="1" applyFill="1" applyBorder="1" applyAlignment="1">
      <alignment horizontal="center" vertical="center" wrapText="1" readingOrder="1"/>
    </xf>
    <xf numFmtId="9" fontId="33" fillId="12" borderId="59" xfId="0" applyNumberFormat="1" applyFont="1" applyFill="1" applyBorder="1" applyAlignment="1">
      <alignment horizontal="center" vertical="center" wrapText="1" readingOrder="1"/>
    </xf>
    <xf numFmtId="9" fontId="30" fillId="2" borderId="64" xfId="0" applyNumberFormat="1" applyFont="1" applyFill="1" applyBorder="1" applyAlignment="1" applyProtection="1">
      <alignment horizontal="center" vertical="center" wrapText="1"/>
      <protection locked="0"/>
    </xf>
    <xf numFmtId="9" fontId="30" fillId="2" borderId="65" xfId="0" applyNumberFormat="1" applyFont="1" applyFill="1" applyBorder="1" applyAlignment="1" applyProtection="1">
      <alignment horizontal="center" vertical="center" wrapText="1"/>
      <protection locked="0"/>
    </xf>
    <xf numFmtId="9" fontId="30" fillId="2" borderId="75" xfId="0" applyNumberFormat="1" applyFont="1" applyFill="1" applyBorder="1" applyAlignment="1" applyProtection="1">
      <alignment horizontal="center" vertical="center" wrapText="1"/>
      <protection locked="0"/>
    </xf>
    <xf numFmtId="9" fontId="30" fillId="2" borderId="47" xfId="0" applyNumberFormat="1" applyFont="1" applyFill="1" applyBorder="1" applyAlignment="1" applyProtection="1">
      <alignment horizontal="center" vertical="center" wrapText="1"/>
      <protection locked="0"/>
    </xf>
    <xf numFmtId="9" fontId="30" fillId="2" borderId="61" xfId="0" applyNumberFormat="1" applyFont="1" applyFill="1" applyBorder="1" applyAlignment="1" applyProtection="1">
      <alignment horizontal="center" vertical="center" wrapText="1"/>
      <protection locked="0"/>
    </xf>
    <xf numFmtId="9" fontId="33" fillId="8" borderId="12" xfId="0" applyNumberFormat="1" applyFont="1" applyFill="1" applyBorder="1" applyAlignment="1">
      <alignment horizontal="center" vertical="center" wrapText="1" readingOrder="1"/>
    </xf>
    <xf numFmtId="9" fontId="33" fillId="8" borderId="86" xfId="0" applyNumberFormat="1" applyFont="1" applyFill="1" applyBorder="1" applyAlignment="1">
      <alignment horizontal="center" vertical="center" wrapText="1" readingOrder="1"/>
    </xf>
    <xf numFmtId="9" fontId="33" fillId="12" borderId="24" xfId="0" applyNumberFormat="1" applyFont="1" applyFill="1" applyBorder="1" applyAlignment="1">
      <alignment horizontal="center" vertical="center" wrapText="1" readingOrder="1"/>
    </xf>
    <xf numFmtId="9" fontId="33" fillId="12" borderId="14" xfId="0" applyNumberFormat="1" applyFont="1" applyFill="1" applyBorder="1" applyAlignment="1">
      <alignment horizontal="center" vertical="center" wrapText="1" readingOrder="1"/>
    </xf>
    <xf numFmtId="9" fontId="33" fillId="12" borderId="20" xfId="0" applyNumberFormat="1" applyFont="1" applyFill="1" applyBorder="1" applyAlignment="1">
      <alignment horizontal="center" vertical="center" wrapText="1" readingOrder="1"/>
    </xf>
    <xf numFmtId="9" fontId="33" fillId="12" borderId="27" xfId="0" applyNumberFormat="1" applyFont="1" applyFill="1" applyBorder="1" applyAlignment="1">
      <alignment horizontal="center" vertical="center" wrapText="1" readingOrder="1"/>
    </xf>
    <xf numFmtId="9" fontId="33" fillId="12" borderId="18" xfId="0" applyNumberFormat="1" applyFont="1" applyFill="1" applyBorder="1" applyAlignment="1">
      <alignment horizontal="center" vertical="center" wrapText="1" readingOrder="1"/>
    </xf>
    <xf numFmtId="9" fontId="33" fillId="12" borderId="19" xfId="0" applyNumberFormat="1" applyFont="1" applyFill="1" applyBorder="1" applyAlignment="1">
      <alignment horizontal="center" vertical="center" wrapText="1" readingOrder="1"/>
    </xf>
    <xf numFmtId="9" fontId="30" fillId="2" borderId="38" xfId="0" applyNumberFormat="1" applyFont="1" applyFill="1" applyBorder="1" applyAlignment="1" applyProtection="1">
      <alignment horizontal="center" vertical="center" wrapText="1"/>
      <protection locked="0"/>
    </xf>
    <xf numFmtId="9" fontId="30" fillId="2" borderId="43" xfId="0" applyNumberFormat="1" applyFont="1" applyFill="1" applyBorder="1" applyAlignment="1" applyProtection="1">
      <alignment horizontal="center" vertical="center" wrapText="1"/>
      <protection locked="0"/>
    </xf>
    <xf numFmtId="9" fontId="30" fillId="2" borderId="37" xfId="0" applyNumberFormat="1" applyFont="1" applyFill="1" applyBorder="1" applyAlignment="1" applyProtection="1">
      <alignment horizontal="center" vertical="center" wrapText="1"/>
      <protection locked="0"/>
    </xf>
    <xf numFmtId="0" fontId="30" fillId="2" borderId="28" xfId="0" applyFont="1" applyFill="1" applyBorder="1" applyAlignment="1" applyProtection="1">
      <alignment horizontal="center" vertical="center" wrapText="1" readingOrder="1"/>
      <protection locked="0"/>
    </xf>
    <xf numFmtId="0" fontId="30" fillId="2" borderId="0" xfId="0" applyFont="1" applyFill="1" applyAlignment="1" applyProtection="1">
      <alignment horizontal="center" vertical="center" wrapText="1" readingOrder="1"/>
      <protection locked="0"/>
    </xf>
    <xf numFmtId="0" fontId="30" fillId="2" borderId="46" xfId="0" applyFont="1" applyFill="1" applyBorder="1" applyAlignment="1" applyProtection="1">
      <alignment horizontal="center" vertical="center" wrapText="1" readingOrder="1"/>
      <protection locked="0"/>
    </xf>
    <xf numFmtId="9" fontId="33" fillId="8" borderId="29" xfId="0" applyNumberFormat="1" applyFont="1" applyFill="1" applyBorder="1" applyAlignment="1">
      <alignment horizontal="center" vertical="center" wrapText="1" readingOrder="1"/>
    </xf>
    <xf numFmtId="9" fontId="33" fillId="8" borderId="67" xfId="0" applyNumberFormat="1" applyFont="1" applyFill="1" applyBorder="1" applyAlignment="1">
      <alignment horizontal="center" vertical="center" wrapText="1" readingOrder="1"/>
    </xf>
    <xf numFmtId="9" fontId="33" fillId="12" borderId="25" xfId="0" applyNumberFormat="1" applyFont="1" applyFill="1" applyBorder="1" applyAlignment="1">
      <alignment horizontal="center" vertical="center" wrapText="1" readingOrder="1"/>
    </xf>
    <xf numFmtId="9" fontId="33" fillId="12" borderId="22" xfId="0" applyNumberFormat="1" applyFont="1" applyFill="1" applyBorder="1" applyAlignment="1">
      <alignment horizontal="center" vertical="center" wrapText="1" readingOrder="1"/>
    </xf>
    <xf numFmtId="9" fontId="33" fillId="12" borderId="11" xfId="0" applyNumberFormat="1" applyFont="1" applyFill="1" applyBorder="1" applyAlignment="1">
      <alignment horizontal="center" vertical="center" wrapText="1" readingOrder="1"/>
    </xf>
    <xf numFmtId="9" fontId="33" fillId="12" borderId="28" xfId="0" applyNumberFormat="1" applyFont="1" applyFill="1" applyBorder="1" applyAlignment="1">
      <alignment horizontal="center" vertical="center" wrapText="1" readingOrder="1"/>
    </xf>
    <xf numFmtId="9" fontId="33" fillId="12" borderId="0" xfId="0" applyNumberFormat="1" applyFont="1" applyFill="1" applyAlignment="1">
      <alignment horizontal="center" vertical="center" wrapText="1" readingOrder="1"/>
    </xf>
    <xf numFmtId="9" fontId="33" fillId="12" borderId="46" xfId="0" applyNumberFormat="1" applyFont="1" applyFill="1" applyBorder="1" applyAlignment="1">
      <alignment horizontal="center" vertical="center" wrapText="1" readingOrder="1"/>
    </xf>
    <xf numFmtId="0" fontId="30" fillId="0" borderId="26" xfId="0" applyFont="1" applyBorder="1" applyAlignment="1" applyProtection="1">
      <alignment horizontal="center" vertical="center" wrapText="1" readingOrder="1"/>
      <protection locked="0"/>
    </xf>
    <xf numFmtId="0" fontId="30" fillId="0" borderId="17" xfId="0" applyFont="1" applyBorder="1" applyAlignment="1" applyProtection="1">
      <alignment horizontal="center" vertical="center" wrapText="1" readingOrder="1"/>
      <protection locked="0"/>
    </xf>
    <xf numFmtId="0" fontId="30" fillId="0" borderId="21" xfId="0" applyFont="1" applyBorder="1" applyAlignment="1" applyProtection="1">
      <alignment horizontal="center" vertical="center" wrapText="1" readingOrder="1"/>
      <protection locked="0"/>
    </xf>
    <xf numFmtId="0" fontId="30" fillId="0" borderId="87" xfId="0" applyFont="1" applyBorder="1" applyAlignment="1" applyProtection="1">
      <alignment horizontal="center" vertical="center" wrapText="1" readingOrder="1"/>
      <protection locked="0"/>
    </xf>
    <xf numFmtId="0" fontId="30" fillId="0" borderId="44" xfId="0" applyFont="1" applyBorder="1" applyAlignment="1" applyProtection="1">
      <alignment horizontal="center" vertical="center" wrapText="1" readingOrder="1"/>
      <protection locked="0"/>
    </xf>
    <xf numFmtId="0" fontId="30" fillId="0" borderId="88" xfId="0" applyFont="1" applyBorder="1" applyAlignment="1" applyProtection="1">
      <alignment horizontal="center" vertical="center" wrapText="1" readingOrder="1"/>
      <protection locked="0"/>
    </xf>
    <xf numFmtId="9" fontId="33" fillId="8" borderId="7" xfId="0" applyNumberFormat="1" applyFont="1" applyFill="1" applyBorder="1" applyAlignment="1">
      <alignment horizontal="center" vertical="center" wrapText="1" readingOrder="1"/>
    </xf>
    <xf numFmtId="9" fontId="33" fillId="8" borderId="9" xfId="0" applyNumberFormat="1" applyFont="1" applyFill="1" applyBorder="1" applyAlignment="1">
      <alignment horizontal="center" vertical="center" wrapText="1" readingOrder="1"/>
    </xf>
    <xf numFmtId="9" fontId="33" fillId="12" borderId="56" xfId="0" applyNumberFormat="1" applyFont="1" applyFill="1" applyBorder="1" applyAlignment="1">
      <alignment horizontal="center" vertical="center" wrapText="1" readingOrder="1"/>
    </xf>
    <xf numFmtId="0" fontId="30" fillId="0" borderId="16" xfId="0" applyFont="1" applyBorder="1" applyAlignment="1" applyProtection="1">
      <alignment horizontal="center" vertical="center" wrapText="1" readingOrder="1"/>
      <protection locked="0"/>
    </xf>
    <xf numFmtId="0" fontId="30" fillId="10" borderId="27" xfId="0" applyFont="1" applyFill="1" applyBorder="1" applyAlignment="1">
      <alignment horizontal="left" vertical="center" wrapText="1" indent="2" readingOrder="1"/>
    </xf>
    <xf numFmtId="0" fontId="30" fillId="10" borderId="18" xfId="0" applyFont="1" applyFill="1" applyBorder="1" applyAlignment="1">
      <alignment horizontal="left" vertical="center" wrapText="1" indent="2" readingOrder="1"/>
    </xf>
    <xf numFmtId="0" fontId="30" fillId="10" borderId="19" xfId="0" applyFont="1" applyFill="1" applyBorder="1" applyAlignment="1">
      <alignment horizontal="left" vertical="center" wrapText="1" indent="2" readingOrder="1"/>
    </xf>
    <xf numFmtId="9" fontId="33" fillId="8" borderId="10" xfId="0" applyNumberFormat="1" applyFont="1" applyFill="1" applyBorder="1" applyAlignment="1">
      <alignment horizontal="center" vertical="center" wrapText="1" readingOrder="1"/>
    </xf>
    <xf numFmtId="9" fontId="33" fillId="12" borderId="13" xfId="0" applyNumberFormat="1" applyFont="1" applyFill="1" applyBorder="1" applyAlignment="1">
      <alignment horizontal="center" vertical="center" wrapText="1" readingOrder="1"/>
    </xf>
    <xf numFmtId="9" fontId="30" fillId="2" borderId="4" xfId="0" applyNumberFormat="1" applyFont="1" applyFill="1" applyBorder="1" applyAlignment="1" applyProtection="1">
      <alignment horizontal="center" vertical="center" wrapText="1"/>
      <protection locked="0"/>
    </xf>
    <xf numFmtId="0" fontId="30" fillId="2" borderId="40" xfId="0" applyFont="1" applyFill="1" applyBorder="1" applyAlignment="1" applyProtection="1">
      <alignment horizontal="center" vertical="center" wrapText="1" readingOrder="1"/>
      <protection locked="0"/>
    </xf>
    <xf numFmtId="0" fontId="31" fillId="2" borderId="0" xfId="11" applyFont="1" applyFill="1" applyAlignment="1">
      <alignment horizontal="left" vertical="center" wrapText="1"/>
    </xf>
    <xf numFmtId="9" fontId="33" fillId="8" borderId="43" xfId="0" applyNumberFormat="1" applyFont="1" applyFill="1" applyBorder="1" applyAlignment="1">
      <alignment horizontal="center" vertical="center" wrapText="1" readingOrder="1"/>
    </xf>
    <xf numFmtId="9" fontId="33" fillId="8" borderId="37" xfId="0" applyNumberFormat="1"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0" fontId="30" fillId="2" borderId="47" xfId="0" applyFont="1" applyFill="1" applyBorder="1" applyAlignment="1" applyProtection="1">
      <alignment horizontal="center" vertical="center" wrapText="1" readingOrder="1"/>
      <protection locked="0"/>
    </xf>
    <xf numFmtId="0" fontId="35" fillId="2" borderId="47" xfId="0" applyFont="1" applyFill="1" applyBorder="1" applyAlignment="1" applyProtection="1">
      <alignment horizontal="center" vertical="center" wrapText="1" readingOrder="1"/>
      <protection locked="0"/>
    </xf>
    <xf numFmtId="0" fontId="30" fillId="2" borderId="61" xfId="0" applyFont="1" applyFill="1" applyBorder="1" applyAlignment="1" applyProtection="1">
      <alignment horizontal="center" vertical="center" wrapText="1" readingOrder="1"/>
      <protection locked="0"/>
    </xf>
    <xf numFmtId="0" fontId="48" fillId="2" borderId="6" xfId="0" applyFont="1" applyFill="1" applyBorder="1" applyAlignment="1" applyProtection="1">
      <alignment horizontal="center" wrapText="1"/>
      <protection locked="0"/>
    </xf>
    <xf numFmtId="0" fontId="31" fillId="2" borderId="6" xfId="0" applyFont="1" applyFill="1" applyBorder="1" applyAlignment="1" applyProtection="1">
      <alignment horizontal="center" wrapText="1"/>
      <protection locked="0"/>
    </xf>
    <xf numFmtId="0" fontId="31" fillId="2" borderId="2" xfId="0" applyFont="1" applyFill="1" applyBorder="1" applyAlignment="1" applyProtection="1">
      <alignment horizontal="center" vertical="center" wrapText="1"/>
      <protection locked="0"/>
    </xf>
    <xf numFmtId="0" fontId="35" fillId="0" borderId="47" xfId="0" applyFont="1" applyBorder="1" applyAlignment="1" applyProtection="1">
      <alignment horizontal="center" vertical="center" wrapText="1" readingOrder="1"/>
      <protection locked="0"/>
    </xf>
    <xf numFmtId="0" fontId="33" fillId="8" borderId="4" xfId="0" applyFont="1" applyFill="1" applyBorder="1" applyAlignment="1">
      <alignment horizontal="center" vertical="center" wrapText="1" readingOrder="1"/>
    </xf>
    <xf numFmtId="0" fontId="33" fillId="8" borderId="5" xfId="0" applyFont="1" applyFill="1" applyBorder="1" applyAlignment="1">
      <alignment horizontal="center" vertical="center" wrapText="1" readingOrder="1"/>
    </xf>
    <xf numFmtId="0" fontId="33" fillId="8" borderId="3" xfId="0" applyFont="1" applyFill="1" applyBorder="1" applyAlignment="1">
      <alignment horizontal="center" vertical="center" wrapText="1" readingOrder="1"/>
    </xf>
    <xf numFmtId="0" fontId="33" fillId="8" borderId="2" xfId="0" applyFont="1" applyFill="1" applyBorder="1" applyAlignment="1">
      <alignment horizontal="center" vertical="center" wrapText="1" readingOrder="1"/>
    </xf>
    <xf numFmtId="0" fontId="31" fillId="2" borderId="64" xfId="0" applyFont="1" applyFill="1" applyBorder="1" applyAlignment="1" applyProtection="1">
      <alignment horizontal="center"/>
      <protection locked="0"/>
    </xf>
    <xf numFmtId="0" fontId="31" fillId="2" borderId="65" xfId="0" applyFont="1" applyFill="1" applyBorder="1" applyAlignment="1" applyProtection="1">
      <alignment horizontal="center"/>
      <protection locked="0"/>
    </xf>
    <xf numFmtId="0" fontId="31" fillId="2" borderId="75" xfId="0" applyFont="1" applyFill="1" applyBorder="1" applyAlignment="1" applyProtection="1">
      <alignment horizontal="center"/>
      <protection locked="0"/>
    </xf>
    <xf numFmtId="0" fontId="31" fillId="2" borderId="64" xfId="0" applyFont="1" applyFill="1" applyBorder="1" applyAlignment="1" applyProtection="1">
      <alignment horizontal="center" vertical="center"/>
      <protection locked="0"/>
    </xf>
    <xf numFmtId="0" fontId="31" fillId="2" borderId="65" xfId="0" applyFont="1" applyFill="1" applyBorder="1" applyAlignment="1" applyProtection="1">
      <alignment horizontal="center" vertical="center"/>
      <protection locked="0"/>
    </xf>
    <xf numFmtId="0" fontId="31" fillId="2" borderId="75" xfId="0" applyFont="1" applyFill="1" applyBorder="1" applyAlignment="1" applyProtection="1">
      <alignment horizontal="center" vertical="center"/>
      <protection locked="0"/>
    </xf>
    <xf numFmtId="0" fontId="31" fillId="2" borderId="47" xfId="0" applyFont="1" applyFill="1" applyBorder="1" applyAlignment="1" applyProtection="1">
      <alignment horizontal="center" vertical="center" wrapText="1"/>
      <protection locked="0"/>
    </xf>
    <xf numFmtId="0" fontId="34" fillId="10" borderId="47" xfId="0" applyFont="1" applyFill="1" applyBorder="1" applyAlignment="1">
      <alignment horizontal="center" vertical="center" wrapText="1" readingOrder="1"/>
    </xf>
    <xf numFmtId="0" fontId="34" fillId="2" borderId="47" xfId="0" applyFont="1" applyFill="1" applyBorder="1" applyAlignment="1" applyProtection="1">
      <alignment horizontal="center" vertical="center"/>
      <protection locked="0"/>
    </xf>
    <xf numFmtId="0" fontId="43" fillId="7" borderId="73" xfId="0" applyFont="1" applyFill="1" applyBorder="1" applyAlignment="1">
      <alignment horizontal="center" vertical="center" wrapText="1"/>
    </xf>
    <xf numFmtId="0" fontId="43" fillId="7" borderId="74" xfId="0" applyFont="1" applyFill="1" applyBorder="1" applyAlignment="1">
      <alignment horizontal="center" vertical="center" wrapText="1"/>
    </xf>
    <xf numFmtId="0" fontId="31" fillId="2" borderId="47" xfId="0" applyFont="1" applyFill="1" applyBorder="1" applyAlignment="1" applyProtection="1">
      <alignment horizontal="center" vertical="center"/>
      <protection locked="0"/>
    </xf>
    <xf numFmtId="0" fontId="31" fillId="2" borderId="47" xfId="0" applyFont="1" applyFill="1" applyBorder="1" applyAlignment="1" applyProtection="1">
      <alignment horizontal="center"/>
      <protection locked="0"/>
    </xf>
    <xf numFmtId="0" fontId="33" fillId="11" borderId="50" xfId="0" applyFont="1" applyFill="1" applyBorder="1" applyAlignment="1">
      <alignment horizontal="center" vertical="center" wrapText="1" readingOrder="1"/>
    </xf>
    <xf numFmtId="0" fontId="25" fillId="5" borderId="47" xfId="0" applyFont="1" applyFill="1" applyBorder="1" applyAlignment="1">
      <alignment horizontal="center" vertical="center" wrapText="1" readingOrder="1"/>
    </xf>
    <xf numFmtId="9" fontId="9" fillId="8" borderId="2" xfId="0" applyNumberFormat="1" applyFont="1" applyFill="1" applyBorder="1" applyAlignment="1">
      <alignment horizontal="center" vertical="center" wrapText="1" readingOrder="1"/>
    </xf>
    <xf numFmtId="0" fontId="11" fillId="10" borderId="2" xfId="0" applyFont="1" applyFill="1" applyBorder="1" applyAlignment="1">
      <alignment horizontal="left" vertical="center" wrapText="1" indent="2" readingOrder="1"/>
    </xf>
    <xf numFmtId="9" fontId="9" fillId="12" borderId="38" xfId="0" applyNumberFormat="1" applyFont="1" applyFill="1" applyBorder="1" applyAlignment="1">
      <alignment horizontal="center" vertical="center" wrapText="1" readingOrder="1"/>
    </xf>
    <xf numFmtId="9" fontId="9" fillId="12" borderId="43" xfId="0" applyNumberFormat="1" applyFont="1" applyFill="1" applyBorder="1" applyAlignment="1">
      <alignment horizontal="center" vertical="center" wrapText="1" readingOrder="1"/>
    </xf>
    <xf numFmtId="9" fontId="9" fillId="12" borderId="37" xfId="0" applyNumberFormat="1" applyFont="1" applyFill="1" applyBorder="1" applyAlignment="1">
      <alignment horizontal="center" vertical="center" wrapText="1" readingOrder="1"/>
    </xf>
    <xf numFmtId="9" fontId="11" fillId="4" borderId="28" xfId="0" applyNumberFormat="1" applyFont="1" applyFill="1" applyBorder="1" applyAlignment="1" applyProtection="1">
      <alignment horizontal="center" vertical="center" wrapText="1" readingOrder="1"/>
      <protection locked="0"/>
    </xf>
    <xf numFmtId="9" fontId="11" fillId="4" borderId="0" xfId="0" applyNumberFormat="1" applyFont="1" applyFill="1" applyAlignment="1" applyProtection="1">
      <alignment horizontal="center" vertical="center" wrapText="1" readingOrder="1"/>
      <protection locked="0"/>
    </xf>
    <xf numFmtId="9" fontId="11" fillId="4" borderId="36" xfId="0" applyNumberFormat="1" applyFont="1" applyFill="1" applyBorder="1" applyAlignment="1" applyProtection="1">
      <alignment horizontal="center" vertical="center" wrapText="1" readingOrder="1"/>
      <protection locked="0"/>
    </xf>
    <xf numFmtId="9" fontId="11" fillId="4" borderId="25" xfId="0" applyNumberFormat="1" applyFont="1" applyFill="1" applyBorder="1" applyAlignment="1" applyProtection="1">
      <alignment horizontal="center" vertical="center" wrapText="1" readingOrder="1"/>
      <protection locked="0"/>
    </xf>
    <xf numFmtId="9" fontId="11" fillId="4" borderId="22" xfId="0" applyNumberFormat="1" applyFont="1" applyFill="1" applyBorder="1" applyAlignment="1" applyProtection="1">
      <alignment horizontal="center" vertical="center" wrapText="1" readingOrder="1"/>
      <protection locked="0"/>
    </xf>
    <xf numFmtId="9" fontId="11" fillId="4" borderId="11" xfId="0" applyNumberFormat="1" applyFont="1" applyFill="1" applyBorder="1" applyAlignment="1" applyProtection="1">
      <alignment horizontal="center" vertical="center" wrapText="1" readingOrder="1"/>
      <protection locked="0"/>
    </xf>
    <xf numFmtId="9" fontId="9" fillId="8" borderId="39" xfId="0" applyNumberFormat="1" applyFont="1" applyFill="1" applyBorder="1" applyAlignment="1">
      <alignment horizontal="center" vertical="center" wrapText="1" readingOrder="1"/>
    </xf>
    <xf numFmtId="9" fontId="9" fillId="8" borderId="6" xfId="0" applyNumberFormat="1" applyFont="1" applyFill="1" applyBorder="1" applyAlignment="1">
      <alignment horizontal="center" vertical="center" wrapText="1" readingOrder="1"/>
    </xf>
    <xf numFmtId="0" fontId="16" fillId="2" borderId="0" xfId="11" applyFill="1" applyAlignment="1">
      <alignment horizontal="left" vertical="center" wrapText="1"/>
    </xf>
    <xf numFmtId="0" fontId="12" fillId="2" borderId="22" xfId="0" applyFont="1" applyFill="1" applyBorder="1" applyAlignment="1">
      <alignment horizontal="left" vertical="center" wrapText="1"/>
    </xf>
    <xf numFmtId="0" fontId="9" fillId="8" borderId="2" xfId="0" applyFont="1" applyFill="1" applyBorder="1" applyAlignment="1">
      <alignment horizontal="center" vertical="center" wrapText="1" readingOrder="1"/>
    </xf>
    <xf numFmtId="0" fontId="12" fillId="2" borderId="0" xfId="0" applyFont="1" applyFill="1" applyAlignment="1">
      <alignment horizontal="left" vertical="center" wrapText="1"/>
    </xf>
    <xf numFmtId="0" fontId="18" fillId="2" borderId="0" xfId="7" applyFont="1" applyFill="1" applyBorder="1" applyAlignment="1">
      <alignment horizontal="left" vertical="center" wrapText="1"/>
    </xf>
    <xf numFmtId="9" fontId="9" fillId="8" borderId="38" xfId="0" applyNumberFormat="1" applyFont="1" applyFill="1" applyBorder="1" applyAlignment="1">
      <alignment horizontal="center" vertical="center" wrapText="1" readingOrder="1"/>
    </xf>
    <xf numFmtId="9" fontId="9" fillId="8" borderId="37" xfId="0" applyNumberFormat="1" applyFont="1" applyFill="1" applyBorder="1" applyAlignment="1">
      <alignment horizontal="center" vertical="center" wrapText="1" readingOrder="1"/>
    </xf>
    <xf numFmtId="9" fontId="9" fillId="8" borderId="25" xfId="0" applyNumberFormat="1" applyFont="1" applyFill="1" applyBorder="1" applyAlignment="1">
      <alignment horizontal="center" vertical="center" wrapText="1" readingOrder="1"/>
    </xf>
    <xf numFmtId="9" fontId="9" fillId="8" borderId="11" xfId="0" applyNumberFormat="1" applyFont="1" applyFill="1" applyBorder="1" applyAlignment="1">
      <alignment horizontal="center" vertical="center" wrapText="1" readingOrder="1"/>
    </xf>
    <xf numFmtId="9" fontId="9" fillId="12" borderId="4" xfId="0" applyNumberFormat="1" applyFont="1" applyFill="1" applyBorder="1" applyAlignment="1">
      <alignment horizontal="center" vertical="center" wrapText="1" readingOrder="1"/>
    </xf>
    <xf numFmtId="9" fontId="9" fillId="12" borderId="3" xfId="0" applyNumberFormat="1" applyFont="1" applyFill="1" applyBorder="1" applyAlignment="1">
      <alignment horizontal="center" vertical="center" wrapText="1" readingOrder="1"/>
    </xf>
    <xf numFmtId="9" fontId="9" fillId="12" borderId="5" xfId="0" applyNumberFormat="1" applyFont="1" applyFill="1" applyBorder="1" applyAlignment="1">
      <alignment horizontal="center" vertical="center" wrapText="1" readingOrder="1"/>
    </xf>
    <xf numFmtId="0" fontId="8" fillId="0" borderId="2" xfId="0" applyFont="1" applyBorder="1" applyAlignment="1" applyProtection="1">
      <alignment horizontal="center" vertical="center" wrapText="1" readingOrder="1"/>
      <protection locked="0"/>
    </xf>
    <xf numFmtId="0" fontId="11" fillId="0" borderId="2" xfId="0" applyFont="1" applyBorder="1" applyAlignment="1" applyProtection="1">
      <alignment horizontal="center" vertical="center" wrapText="1" readingOrder="1"/>
      <protection locked="0"/>
    </xf>
    <xf numFmtId="0" fontId="8" fillId="0" borderId="4"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0" fontId="59" fillId="2" borderId="47" xfId="0" applyFont="1" applyFill="1" applyBorder="1" applyAlignment="1" applyProtection="1">
      <alignment horizontal="center" vertical="center" wrapText="1"/>
      <protection locked="0"/>
    </xf>
    <xf numFmtId="9" fontId="9" fillId="8" borderId="4" xfId="0" applyNumberFormat="1" applyFont="1" applyFill="1" applyBorder="1" applyAlignment="1">
      <alignment horizontal="center" vertical="center" wrapText="1" readingOrder="1"/>
    </xf>
    <xf numFmtId="9" fontId="9" fillId="8" borderId="3" xfId="0" applyNumberFormat="1" applyFont="1" applyFill="1" applyBorder="1" applyAlignment="1">
      <alignment horizontal="center" vertical="center" wrapText="1" readingOrder="1"/>
    </xf>
    <xf numFmtId="14" fontId="12" fillId="10" borderId="4" xfId="0" applyNumberFormat="1" applyFont="1" applyFill="1" applyBorder="1" applyAlignment="1" applyProtection="1">
      <alignment horizontal="center" vertical="center" wrapText="1"/>
      <protection locked="0"/>
    </xf>
    <xf numFmtId="14" fontId="12" fillId="10" borderId="5" xfId="0" applyNumberFormat="1" applyFont="1" applyFill="1" applyBorder="1" applyAlignment="1" applyProtection="1">
      <alignment horizontal="center" vertical="center" wrapText="1"/>
      <protection locked="0"/>
    </xf>
    <xf numFmtId="14" fontId="12" fillId="10" borderId="3" xfId="0" applyNumberFormat="1" applyFont="1" applyFill="1" applyBorder="1" applyAlignment="1" applyProtection="1">
      <alignment horizontal="center" vertical="center" wrapText="1"/>
      <protection locked="0"/>
    </xf>
    <xf numFmtId="9" fontId="9" fillId="12" borderId="2" xfId="0" applyNumberFormat="1" applyFont="1" applyFill="1" applyBorder="1" applyAlignment="1">
      <alignment horizontal="center" vertical="center" wrapText="1" readingOrder="1"/>
    </xf>
    <xf numFmtId="0" fontId="11" fillId="0" borderId="4" xfId="0" applyFont="1" applyBorder="1" applyAlignment="1" applyProtection="1">
      <alignment horizontal="center" vertical="center" wrapText="1" readingOrder="1"/>
      <protection locked="0"/>
    </xf>
    <xf numFmtId="0" fontId="11" fillId="0" borderId="3" xfId="0" applyFont="1" applyBorder="1" applyAlignment="1" applyProtection="1">
      <alignment horizontal="center" vertical="center" wrapText="1" readingOrder="1"/>
      <protection locked="0"/>
    </xf>
    <xf numFmtId="0" fontId="11" fillId="13" borderId="47" xfId="0" applyFont="1" applyFill="1" applyBorder="1" applyAlignment="1" applyProtection="1">
      <alignment horizontal="center" vertical="center" wrapText="1"/>
      <protection locked="0"/>
    </xf>
    <xf numFmtId="0" fontId="11" fillId="13" borderId="61" xfId="0" applyFont="1" applyFill="1" applyBorder="1" applyAlignment="1" applyProtection="1">
      <alignment horizontal="center" vertical="center" wrapText="1"/>
      <protection locked="0"/>
    </xf>
    <xf numFmtId="0" fontId="11" fillId="2" borderId="47"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9" borderId="61" xfId="0" applyFont="1" applyFill="1" applyBorder="1" applyAlignment="1" applyProtection="1">
      <alignment horizontal="center" vertical="center" wrapText="1"/>
      <protection locked="0"/>
    </xf>
    <xf numFmtId="1" fontId="15" fillId="10" borderId="63" xfId="0" applyNumberFormat="1" applyFont="1" applyFill="1" applyBorder="1" applyAlignment="1">
      <alignment horizontal="center" vertical="center" wrapText="1" readingOrder="1"/>
    </xf>
    <xf numFmtId="1" fontId="15" fillId="10" borderId="31" xfId="0" applyNumberFormat="1" applyFont="1" applyFill="1" applyBorder="1" applyAlignment="1">
      <alignment horizontal="center" vertical="center" wrapText="1" readingOrder="1"/>
    </xf>
    <xf numFmtId="9" fontId="9" fillId="8" borderId="51" xfId="0" applyNumberFormat="1" applyFont="1" applyFill="1" applyBorder="1" applyAlignment="1">
      <alignment horizontal="center" vertical="center" wrapText="1" readingOrder="1"/>
    </xf>
    <xf numFmtId="9" fontId="9" fillId="8" borderId="78" xfId="0" applyNumberFormat="1" applyFont="1" applyFill="1" applyBorder="1" applyAlignment="1">
      <alignment horizontal="center" vertical="center" wrapText="1" readingOrder="1"/>
    </xf>
    <xf numFmtId="9" fontId="9" fillId="8" borderId="54" xfId="0" applyNumberFormat="1" applyFont="1" applyFill="1" applyBorder="1" applyAlignment="1">
      <alignment horizontal="center" vertical="center" wrapText="1" readingOrder="1"/>
    </xf>
    <xf numFmtId="0" fontId="11" fillId="2" borderId="58" xfId="0" applyFont="1" applyFill="1" applyBorder="1" applyAlignment="1" applyProtection="1">
      <alignment horizontal="center" vertical="center" wrapText="1"/>
      <protection locked="0"/>
    </xf>
    <xf numFmtId="0" fontId="11" fillId="9" borderId="58" xfId="0" applyFont="1" applyFill="1" applyBorder="1" applyAlignment="1" applyProtection="1">
      <alignment horizontal="center" vertical="center" wrapText="1"/>
      <protection locked="0"/>
    </xf>
    <xf numFmtId="0" fontId="11" fillId="13" borderId="58" xfId="0" applyFont="1" applyFill="1" applyBorder="1" applyAlignment="1" applyProtection="1">
      <alignment horizontal="center" vertical="center" wrapText="1"/>
      <protection locked="0"/>
    </xf>
    <xf numFmtId="0" fontId="11" fillId="13" borderId="59" xfId="0" applyFont="1" applyFill="1" applyBorder="1" applyAlignment="1" applyProtection="1">
      <alignment horizontal="center" vertical="center" wrapText="1"/>
      <protection locked="0"/>
    </xf>
    <xf numFmtId="9" fontId="9" fillId="8" borderId="80" xfId="0" applyNumberFormat="1" applyFont="1" applyFill="1" applyBorder="1" applyAlignment="1">
      <alignment horizontal="center" vertical="center" wrapText="1" readingOrder="1"/>
    </xf>
    <xf numFmtId="9" fontId="9" fillId="8" borderId="81" xfId="0" applyNumberFormat="1" applyFont="1" applyFill="1" applyBorder="1" applyAlignment="1">
      <alignment horizontal="center" vertical="center" wrapText="1" readingOrder="1"/>
    </xf>
    <xf numFmtId="9" fontId="9" fillId="8" borderId="83" xfId="0" applyNumberFormat="1" applyFont="1" applyFill="1" applyBorder="1" applyAlignment="1">
      <alignment horizontal="center" vertical="center" wrapText="1" readingOrder="1"/>
    </xf>
    <xf numFmtId="1" fontId="15" fillId="10" borderId="48" xfId="0" applyNumberFormat="1" applyFont="1" applyFill="1" applyBorder="1" applyAlignment="1">
      <alignment horizontal="center" vertical="center" wrapText="1" readingOrder="1"/>
    </xf>
    <xf numFmtId="1" fontId="15" fillId="10" borderId="70" xfId="0" applyNumberFormat="1" applyFont="1" applyFill="1" applyBorder="1" applyAlignment="1">
      <alignment horizontal="center" vertical="center" wrapText="1" readingOrder="1"/>
    </xf>
    <xf numFmtId="0" fontId="12" fillId="2" borderId="47" xfId="0" applyFont="1" applyFill="1" applyBorder="1" applyAlignment="1">
      <alignment horizontal="center" vertical="center" wrapText="1"/>
    </xf>
    <xf numFmtId="0" fontId="9" fillId="7" borderId="2" xfId="0" applyFont="1" applyFill="1" applyBorder="1" applyAlignment="1">
      <alignment horizontal="center" vertical="center" wrapText="1"/>
    </xf>
    <xf numFmtId="14" fontId="12" fillId="2" borderId="4" xfId="0" applyNumberFormat="1" applyFont="1" applyFill="1" applyBorder="1" applyAlignment="1" applyProtection="1">
      <alignment horizontal="center" vertical="center" wrapText="1"/>
      <protection locked="0"/>
    </xf>
    <xf numFmtId="14" fontId="12" fillId="2" borderId="3" xfId="0" applyNumberFormat="1" applyFont="1" applyFill="1" applyBorder="1" applyAlignment="1" applyProtection="1">
      <alignment horizontal="center" vertical="center" wrapText="1"/>
      <protection locked="0"/>
    </xf>
    <xf numFmtId="0" fontId="9" fillId="11" borderId="48" xfId="0" applyFont="1" applyFill="1" applyBorder="1" applyAlignment="1">
      <alignment horizontal="center" vertical="center" wrapText="1" readingOrder="1"/>
    </xf>
    <xf numFmtId="9" fontId="9" fillId="8" borderId="55" xfId="0" applyNumberFormat="1" applyFont="1" applyFill="1" applyBorder="1" applyAlignment="1">
      <alignment horizontal="center" vertical="center" wrapText="1" readingOrder="1"/>
    </xf>
    <xf numFmtId="0" fontId="11" fillId="2" borderId="6" xfId="0" applyFont="1" applyFill="1" applyBorder="1" applyAlignment="1" applyProtection="1">
      <alignment horizontal="center" vertical="center" wrapText="1"/>
      <protection locked="0"/>
    </xf>
    <xf numFmtId="0" fontId="19" fillId="2" borderId="0" xfId="2" applyFont="1" applyFill="1" applyBorder="1" applyAlignment="1">
      <alignment horizontal="left" vertical="center" wrapText="1"/>
    </xf>
    <xf numFmtId="0" fontId="16" fillId="2" borderId="0" xfId="11" applyFill="1" applyAlignment="1">
      <alignment vertical="center" wrapText="1"/>
    </xf>
    <xf numFmtId="0" fontId="8" fillId="4" borderId="2" xfId="0" applyFont="1" applyFill="1" applyBorder="1" applyAlignment="1" applyProtection="1">
      <alignment horizontal="center" vertical="center" wrapText="1" readingOrder="1"/>
      <protection locked="0"/>
    </xf>
    <xf numFmtId="0" fontId="11" fillId="4" borderId="2" xfId="0" applyFont="1" applyFill="1" applyBorder="1" applyAlignment="1" applyProtection="1">
      <alignment horizontal="center" vertical="center" wrapText="1" readingOrder="1"/>
      <protection locked="0"/>
    </xf>
    <xf numFmtId="0" fontId="12" fillId="2" borderId="47" xfId="0" applyFont="1" applyFill="1" applyBorder="1" applyAlignment="1" applyProtection="1">
      <alignment horizontal="left" vertical="center" wrapText="1" indent="2"/>
      <protection locked="0"/>
    </xf>
    <xf numFmtId="0" fontId="9" fillId="11" borderId="47" xfId="0" applyFont="1" applyFill="1" applyBorder="1" applyAlignment="1">
      <alignment horizontal="center" vertical="center" wrapText="1" readingOrder="1"/>
    </xf>
    <xf numFmtId="9" fontId="14" fillId="2" borderId="48" xfId="0" applyNumberFormat="1" applyFont="1" applyFill="1" applyBorder="1" applyAlignment="1">
      <alignment horizontal="center" vertical="center" wrapText="1" readingOrder="1"/>
    </xf>
    <xf numFmtId="9" fontId="14" fillId="2" borderId="49" xfId="0" applyNumberFormat="1" applyFont="1" applyFill="1" applyBorder="1" applyAlignment="1">
      <alignment horizontal="center" vertical="center" wrapText="1" readingOrder="1"/>
    </xf>
    <xf numFmtId="9" fontId="14" fillId="2" borderId="50" xfId="0" applyNumberFormat="1" applyFont="1" applyFill="1" applyBorder="1" applyAlignment="1">
      <alignment horizontal="center" vertical="center" wrapText="1" readingOrder="1"/>
    </xf>
    <xf numFmtId="0" fontId="12" fillId="2" borderId="47" xfId="0" applyFont="1" applyFill="1" applyBorder="1" applyAlignment="1" applyProtection="1">
      <alignment horizontal="center" vertical="center" wrapText="1"/>
      <protection locked="0"/>
    </xf>
    <xf numFmtId="0" fontId="32" fillId="5" borderId="0" xfId="0" applyFont="1" applyFill="1" applyAlignment="1">
      <alignment horizontal="center" vertical="center"/>
    </xf>
    <xf numFmtId="0" fontId="9" fillId="8" borderId="47" xfId="0" applyFont="1" applyFill="1" applyBorder="1" applyAlignment="1">
      <alignment horizontal="center" vertical="center" wrapText="1" readingOrder="1"/>
    </xf>
    <xf numFmtId="0" fontId="57" fillId="2" borderId="47" xfId="0" applyFont="1" applyFill="1" applyBorder="1" applyAlignment="1" applyProtection="1">
      <alignment horizontal="center" vertical="center" wrapText="1"/>
      <protection locked="0"/>
    </xf>
    <xf numFmtId="0" fontId="57" fillId="2" borderId="47" xfId="0" applyFont="1" applyFill="1" applyBorder="1" applyAlignment="1" applyProtection="1">
      <alignment horizontal="center" vertical="center"/>
      <protection locked="0"/>
    </xf>
    <xf numFmtId="0" fontId="44" fillId="2" borderId="0" xfId="2" applyFont="1" applyFill="1" applyBorder="1" applyAlignment="1" applyProtection="1">
      <alignment horizontal="left" vertical="center" wrapText="1"/>
    </xf>
    <xf numFmtId="0" fontId="51" fillId="7" borderId="71" xfId="0" applyFont="1" applyFill="1" applyBorder="1" applyAlignment="1">
      <alignment horizontal="center" vertical="center" wrapText="1"/>
    </xf>
    <xf numFmtId="0" fontId="48" fillId="2" borderId="114" xfId="0" applyFont="1" applyFill="1" applyBorder="1" applyAlignment="1" applyProtection="1">
      <alignment horizontal="center" vertical="center" wrapText="1"/>
      <protection locked="0"/>
    </xf>
    <xf numFmtId="0" fontId="49" fillId="10" borderId="115" xfId="0" applyFont="1" applyFill="1" applyBorder="1" applyAlignment="1">
      <alignment horizontal="center" vertical="center" wrapText="1" readingOrder="1"/>
    </xf>
    <xf numFmtId="0" fontId="48" fillId="2" borderId="116" xfId="0" applyFont="1" applyFill="1" applyBorder="1" applyAlignment="1" applyProtection="1">
      <alignment horizontal="center" vertical="center" wrapText="1"/>
      <protection locked="0"/>
    </xf>
    <xf numFmtId="0" fontId="48" fillId="2" borderId="84" xfId="0" applyFont="1" applyFill="1" applyBorder="1" applyAlignment="1" applyProtection="1">
      <alignment horizontal="center" vertical="center" wrapText="1"/>
      <protection locked="0"/>
    </xf>
    <xf numFmtId="0" fontId="48" fillId="2" borderId="32" xfId="0" applyFont="1" applyFill="1" applyBorder="1" applyAlignment="1" applyProtection="1">
      <alignment horizontal="center" vertical="center" wrapText="1"/>
      <protection locked="0"/>
    </xf>
    <xf numFmtId="0" fontId="47" fillId="11" borderId="117" xfId="0" applyFont="1" applyFill="1" applyBorder="1" applyAlignment="1">
      <alignment horizontal="center" vertical="center" wrapText="1" readingOrder="1"/>
    </xf>
    <xf numFmtId="0" fontId="47" fillId="11" borderId="118" xfId="0" applyFont="1" applyFill="1" applyBorder="1" applyAlignment="1">
      <alignment horizontal="center" vertical="center" wrapText="1" readingOrder="1"/>
    </xf>
    <xf numFmtId="0" fontId="47" fillId="11" borderId="119" xfId="0" applyFont="1" applyFill="1" applyBorder="1" applyAlignment="1">
      <alignment horizontal="center" vertical="center" wrapText="1" readingOrder="1"/>
    </xf>
    <xf numFmtId="9" fontId="48" fillId="2" borderId="79" xfId="0" applyNumberFormat="1" applyFont="1" applyFill="1" applyBorder="1" applyAlignment="1" applyProtection="1">
      <alignment horizontal="center" vertical="center" wrapText="1"/>
      <protection locked="0"/>
    </xf>
    <xf numFmtId="9" fontId="48" fillId="2" borderId="32" xfId="0" applyNumberFormat="1" applyFont="1" applyFill="1" applyBorder="1" applyAlignment="1" applyProtection="1">
      <alignment horizontal="center" vertical="center" wrapText="1"/>
      <protection locked="0"/>
    </xf>
    <xf numFmtId="0" fontId="42" fillId="2" borderId="79" xfId="0" applyFont="1" applyFill="1" applyBorder="1" applyAlignment="1" applyProtection="1">
      <alignment horizontal="center" vertical="center" wrapText="1" readingOrder="1"/>
      <protection locked="0"/>
    </xf>
    <xf numFmtId="0" fontId="42" fillId="2" borderId="84" xfId="0" applyFont="1" applyFill="1" applyBorder="1" applyAlignment="1" applyProtection="1">
      <alignment horizontal="center" vertical="center" wrapText="1" readingOrder="1"/>
      <protection locked="0"/>
    </xf>
    <xf numFmtId="0" fontId="42" fillId="2" borderId="35" xfId="0" applyFont="1" applyFill="1" applyBorder="1" applyAlignment="1" applyProtection="1">
      <alignment horizontal="center" vertical="center" wrapText="1" readingOrder="1"/>
      <protection locked="0"/>
    </xf>
    <xf numFmtId="0" fontId="51" fillId="7" borderId="108" xfId="0" applyFont="1" applyFill="1" applyBorder="1" applyAlignment="1">
      <alignment horizontal="center" vertical="center" wrapText="1"/>
    </xf>
    <xf numFmtId="0" fontId="51" fillId="7" borderId="109" xfId="0" applyFont="1" applyFill="1" applyBorder="1" applyAlignment="1">
      <alignment horizontal="center" vertical="center" wrapText="1"/>
    </xf>
    <xf numFmtId="0" fontId="48" fillId="2" borderId="77" xfId="0" applyFont="1" applyFill="1" applyBorder="1" applyAlignment="1" applyProtection="1">
      <alignment horizontal="center" vertical="center" wrapText="1"/>
      <protection locked="0"/>
    </xf>
    <xf numFmtId="9" fontId="48" fillId="2" borderId="110" xfId="0" applyNumberFormat="1" applyFont="1" applyFill="1" applyBorder="1" applyAlignment="1" applyProtection="1">
      <alignment horizontal="center" vertical="center" wrapText="1"/>
      <protection locked="0"/>
    </xf>
    <xf numFmtId="9" fontId="48" fillId="2" borderId="111" xfId="0" applyNumberFormat="1" applyFont="1" applyFill="1" applyBorder="1" applyAlignment="1" applyProtection="1">
      <alignment horizontal="center" vertical="center" wrapText="1"/>
      <protection locked="0"/>
    </xf>
    <xf numFmtId="0" fontId="42" fillId="2" borderId="110" xfId="0" applyFont="1" applyFill="1" applyBorder="1" applyAlignment="1" applyProtection="1">
      <alignment horizontal="center" vertical="center" wrapText="1" readingOrder="1"/>
      <protection locked="0"/>
    </xf>
    <xf numFmtId="0" fontId="42" fillId="2" borderId="112" xfId="0" applyFont="1" applyFill="1" applyBorder="1" applyAlignment="1" applyProtection="1">
      <alignment horizontal="center" vertical="center" wrapText="1" readingOrder="1"/>
      <protection locked="0"/>
    </xf>
    <xf numFmtId="0" fontId="42" fillId="2" borderId="113" xfId="0" applyFont="1" applyFill="1" applyBorder="1" applyAlignment="1" applyProtection="1">
      <alignment horizontal="center" vertical="center" wrapText="1" readingOrder="1"/>
      <protection locked="0"/>
    </xf>
    <xf numFmtId="9" fontId="48" fillId="2" borderId="77" xfId="0" applyNumberFormat="1" applyFont="1" applyFill="1" applyBorder="1" applyAlignment="1" applyProtection="1">
      <alignment horizontal="center" vertical="center" wrapText="1"/>
      <protection locked="0"/>
    </xf>
    <xf numFmtId="0" fontId="26" fillId="2" borderId="0" xfId="0" applyFont="1" applyFill="1" applyAlignment="1">
      <alignment horizont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56" fillId="2" borderId="28" xfId="0" applyFont="1" applyFill="1" applyBorder="1" applyAlignment="1">
      <alignment horizontal="center" vertical="center" wrapText="1"/>
    </xf>
    <xf numFmtId="0" fontId="56" fillId="2" borderId="0" xfId="0" applyFont="1" applyFill="1" applyAlignment="1">
      <alignment horizontal="center" vertical="center" wrapText="1"/>
    </xf>
    <xf numFmtId="0" fontId="20" fillId="2" borderId="4"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20" fillId="2" borderId="3" xfId="0" applyFont="1" applyFill="1" applyBorder="1" applyAlignment="1" applyProtection="1">
      <alignment horizontal="center" vertical="center" wrapText="1"/>
      <protection locked="0"/>
    </xf>
  </cellXfs>
  <cellStyles count="13">
    <cellStyle name="Comma" xfId="5" builtinId="3"/>
    <cellStyle name="Comma 2" xfId="6" xr:uid="{1F1B8E04-BF2E-410F-94FF-A8D4BC163C13}"/>
    <cellStyle name="Comma 2 2" xfId="9" xr:uid="{2E74FA1B-71C5-4F66-AE15-067F5CADDE0D}"/>
    <cellStyle name="Comma 3" xfId="8" xr:uid="{D2FE7FFE-F7B9-4828-B02F-D8E582CB3E86}"/>
    <cellStyle name="Currency 2" xfId="10" xr:uid="{EF23449B-F6F1-48C6-8878-051376DFDEDC}"/>
    <cellStyle name="Date" xfId="4" xr:uid="{983A65CD-B9D2-451F-A6F6-A3A473A2A47B}"/>
    <cellStyle name="Heading 1" xfId="2" builtinId="16"/>
    <cellStyle name="Hyperlink" xfId="7" xr:uid="{00000000-000B-0000-0000-000008000000}"/>
    <cellStyle name="Normal" xfId="0" builtinId="0"/>
    <cellStyle name="Percent" xfId="12" builtinId="5"/>
    <cellStyle name="Title" xfId="1" builtinId="15"/>
    <cellStyle name="Title sub" xfId="11" xr:uid="{E86D44FF-A527-49F4-8970-6AB8E70D11B9}"/>
    <cellStyle name="zHiddenText" xfId="3" xr:uid="{B6CBCC6D-B0F7-4BA5-ADE3-CF681D838CB9}"/>
  </cellStyles>
  <dxfs count="3174">
    <dxf>
      <font>
        <color theme="0"/>
      </font>
      <fill>
        <patternFill>
          <bgColor theme="0"/>
        </patternFill>
      </fill>
    </dxf>
    <dxf>
      <font>
        <color theme="0"/>
      </font>
      <fill>
        <patternFill>
          <bgColor theme="0"/>
        </patternFill>
      </fill>
    </dxf>
    <dxf>
      <font>
        <color theme="0"/>
      </font>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amily val="2"/>
      </font>
      <protection locked="1" hidden="0"/>
    </dxf>
    <dxf>
      <font>
        <strike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left style="thin">
          <color rgb="FF000000"/>
        </left>
        <right style="thin">
          <color rgb="FF000000"/>
        </right>
        <top style="thin">
          <color rgb="FF000000"/>
        </top>
        <bottom style="thin">
          <color rgb="FF000000"/>
        </bottom>
      </border>
    </dxf>
    <dxf>
      <fill>
        <patternFill patternType="solid">
          <fgColor indexed="64"/>
          <bgColor theme="0"/>
        </patternFill>
      </fill>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ttom style="medium">
          <color indexed="64"/>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00297A"/>
      <color rgb="FFACD8C3"/>
      <color rgb="FF008080"/>
      <color rgb="FF002060"/>
      <color rgb="FF0F5D4A"/>
      <color rgb="FF0D5342"/>
      <color rgb="FF005566"/>
      <color rgb="FF009999"/>
      <color rgb="FF003742"/>
      <color rgb="FF76E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SMART Goals Manager status</a:t>
            </a:r>
          </a:p>
        </c:rich>
      </c:tx>
      <c:layout>
        <c:manualLayout>
          <c:xMode val="edge"/>
          <c:yMode val="edge"/>
          <c:x val="0.29196314837377779"/>
          <c:y val="0.631262400536821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536422579206715"/>
          <c:y val="0.16584476142097487"/>
          <c:w val="0.44927137551224861"/>
          <c:h val="0.71773887251339485"/>
        </c:manualLayout>
      </c:layout>
      <c:doughnutChart>
        <c:varyColors val="1"/>
        <c:ser>
          <c:idx val="0"/>
          <c:order val="0"/>
          <c:tx>
            <c:v>Tranches</c:v>
          </c:tx>
          <c:spPr>
            <a:ln>
              <a:noFill/>
            </a:ln>
          </c:spPr>
          <c:dPt>
            <c:idx val="0"/>
            <c:bubble3D val="0"/>
            <c:spPr>
              <a:solidFill>
                <a:srgbClr val="ACD8C3"/>
              </a:solidFill>
              <a:ln w="19050">
                <a:noFill/>
              </a:ln>
              <a:effectLst/>
            </c:spPr>
            <c:extLst>
              <c:ext xmlns:c16="http://schemas.microsoft.com/office/drawing/2014/chart" uri="{C3380CC4-5D6E-409C-BE32-E72D297353CC}">
                <c16:uniqueId val="{00000009-DD0F-452B-9A03-6A2B98862F8D}"/>
              </c:ext>
            </c:extLst>
          </c:dPt>
          <c:dPt>
            <c:idx val="1"/>
            <c:bubble3D val="0"/>
            <c:spPr>
              <a:solidFill>
                <a:srgbClr val="008080"/>
              </a:solidFill>
              <a:ln w="19050">
                <a:noFill/>
              </a:ln>
              <a:effectLst/>
            </c:spPr>
            <c:extLst>
              <c:ext xmlns:c16="http://schemas.microsoft.com/office/drawing/2014/chart" uri="{C3380CC4-5D6E-409C-BE32-E72D297353CC}">
                <c16:uniqueId val="{0000000B-DD0F-452B-9A03-6A2B98862F8D}"/>
              </c:ext>
            </c:extLst>
          </c:dPt>
          <c:dPt>
            <c:idx val="2"/>
            <c:bubble3D val="0"/>
            <c:spPr>
              <a:solidFill>
                <a:srgbClr val="00297A"/>
              </a:solidFill>
              <a:ln w="19050">
                <a:noFill/>
              </a:ln>
              <a:effectLst/>
            </c:spPr>
            <c:extLst>
              <c:ext xmlns:c16="http://schemas.microsoft.com/office/drawing/2014/chart" uri="{C3380CC4-5D6E-409C-BE32-E72D297353CC}">
                <c16:uniqueId val="{0000000A-DD0F-452B-9A03-6A2B98862F8D}"/>
              </c:ext>
            </c:extLst>
          </c:dPt>
          <c:dPt>
            <c:idx val="3"/>
            <c:bubble3D val="0"/>
            <c:spPr>
              <a:noFill/>
              <a:ln w="19050">
                <a:noFill/>
              </a:ln>
              <a:effectLst/>
            </c:spPr>
            <c:extLst>
              <c:ext xmlns:c16="http://schemas.microsoft.com/office/drawing/2014/chart" uri="{C3380CC4-5D6E-409C-BE32-E72D297353CC}">
                <c16:uniqueId val="{00000008-DD0F-452B-9A03-6A2B98862F8D}"/>
              </c:ext>
            </c:extLst>
          </c:dPt>
          <c:val>
            <c:numRef>
              <c:f>Dashboard!$Q$58:$Q$61</c:f>
              <c:numCache>
                <c:formatCode>General</c:formatCode>
                <c:ptCount val="4"/>
                <c:pt idx="0">
                  <c:v>33.33</c:v>
                </c:pt>
                <c:pt idx="1">
                  <c:v>33.33</c:v>
                </c:pt>
                <c:pt idx="2">
                  <c:v>33.33</c:v>
                </c:pt>
                <c:pt idx="3">
                  <c:v>100</c:v>
                </c:pt>
              </c:numCache>
            </c:numRef>
          </c:val>
          <c:extLst>
            <c:ext xmlns:c16="http://schemas.microsoft.com/office/drawing/2014/chart" uri="{C3380CC4-5D6E-409C-BE32-E72D297353CC}">
              <c16:uniqueId val="{00000003-DD0F-452B-9A03-6A2B98862F8D}"/>
            </c:ext>
          </c:extLst>
        </c:ser>
        <c:dLbls>
          <c:showLegendKey val="0"/>
          <c:showVal val="0"/>
          <c:showCatName val="0"/>
          <c:showSerName val="0"/>
          <c:showPercent val="0"/>
          <c:showBubbleSize val="0"/>
          <c:showLeaderLines val="1"/>
        </c:dLbls>
        <c:firstSliceAng val="270"/>
        <c:holeSize val="50"/>
      </c:doughnutChart>
      <c:pieChart>
        <c:varyColors val="1"/>
        <c:ser>
          <c:idx val="1"/>
          <c:order val="1"/>
          <c:tx>
            <c:v>Indicateur</c:v>
          </c:tx>
          <c:spPr>
            <a:solidFill>
              <a:schemeClr val="tx1"/>
            </a:solidFill>
          </c:spPr>
          <c:dPt>
            <c:idx val="0"/>
            <c:bubble3D val="0"/>
            <c:spPr>
              <a:noFill/>
              <a:ln w="19050">
                <a:noFill/>
              </a:ln>
              <a:effectLst/>
            </c:spPr>
            <c:extLst>
              <c:ext xmlns:c16="http://schemas.microsoft.com/office/drawing/2014/chart" uri="{C3380CC4-5D6E-409C-BE32-E72D297353CC}">
                <c16:uniqueId val="{00000005-DD0F-452B-9A03-6A2B98862F8D}"/>
              </c:ext>
            </c:extLst>
          </c:dPt>
          <c:dPt>
            <c:idx val="1"/>
            <c:bubble3D val="0"/>
            <c:spPr>
              <a:solidFill>
                <a:schemeClr val="tx1"/>
              </a:solidFill>
              <a:ln w="19050">
                <a:noFill/>
              </a:ln>
              <a:effectLst/>
            </c:spPr>
            <c:extLst>
              <c:ext xmlns:c16="http://schemas.microsoft.com/office/drawing/2014/chart" uri="{C3380CC4-5D6E-409C-BE32-E72D297353CC}">
                <c16:uniqueId val="{00000007-DD0F-452B-9A03-6A2B98862F8D}"/>
              </c:ext>
            </c:extLst>
          </c:dPt>
          <c:dPt>
            <c:idx val="2"/>
            <c:bubble3D val="0"/>
            <c:spPr>
              <a:noFill/>
              <a:ln w="19050">
                <a:solidFill>
                  <a:schemeClr val="lt1"/>
                </a:solidFill>
              </a:ln>
              <a:effectLst/>
            </c:spPr>
            <c:extLst>
              <c:ext xmlns:c16="http://schemas.microsoft.com/office/drawing/2014/chart" uri="{C3380CC4-5D6E-409C-BE32-E72D297353CC}">
                <c16:uniqueId val="{00000006-DD0F-452B-9A03-6A2B98862F8D}"/>
              </c:ext>
            </c:extLst>
          </c:dPt>
          <c:val>
            <c:numRef>
              <c:f>Dashboard!$Q$63:$Q$65</c:f>
              <c:numCache>
                <c:formatCode>General</c:formatCode>
                <c:ptCount val="3"/>
                <c:pt idx="0">
                  <c:v>0</c:v>
                </c:pt>
                <c:pt idx="1">
                  <c:v>2</c:v>
                </c:pt>
                <c:pt idx="2">
                  <c:v>123</c:v>
                </c:pt>
              </c:numCache>
            </c:numRef>
          </c:val>
          <c:extLst>
            <c:ext xmlns:c16="http://schemas.microsoft.com/office/drawing/2014/chart" uri="{C3380CC4-5D6E-409C-BE32-E72D297353CC}">
              <c16:uniqueId val="{00000004-DD0F-452B-9A03-6A2B98862F8D}"/>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1092200</xdr:colOff>
      <xdr:row>0</xdr:row>
      <xdr:rowOff>19050</xdr:rowOff>
    </xdr:from>
    <xdr:to>
      <xdr:col>11</xdr:col>
      <xdr:colOff>3397250</xdr:colOff>
      <xdr:row>1</xdr:row>
      <xdr:rowOff>857250</xdr:rowOff>
    </xdr:to>
    <xdr:pic>
      <xdr:nvPicPr>
        <xdr:cNvPr id="2" name="Picture 1">
          <a:extLst>
            <a:ext uri="{FF2B5EF4-FFF2-40B4-BE49-F238E27FC236}">
              <a16:creationId xmlns:a16="http://schemas.microsoft.com/office/drawing/2014/main" id="{0C872E48-7AD1-4917-AF31-DF28E91890EA}"/>
            </a:ext>
          </a:extLst>
        </xdr:cNvPr>
        <xdr:cNvPicPr>
          <a:picLocks noChangeAspect="1"/>
        </xdr:cNvPicPr>
      </xdr:nvPicPr>
      <xdr:blipFill>
        <a:blip xmlns:r="http://schemas.openxmlformats.org/officeDocument/2006/relationships" r:embed="rId1"/>
        <a:stretch>
          <a:fillRect/>
        </a:stretch>
      </xdr:blipFill>
      <xdr:spPr>
        <a:xfrm>
          <a:off x="31048325" y="19050"/>
          <a:ext cx="2305050"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647700</xdr:colOff>
      <xdr:row>1</xdr:row>
      <xdr:rowOff>9525</xdr:rowOff>
    </xdr:from>
    <xdr:to>
      <xdr:col>11</xdr:col>
      <xdr:colOff>323850</xdr:colOff>
      <xdr:row>1</xdr:row>
      <xdr:rowOff>838200</xdr:rowOff>
    </xdr:to>
    <xdr:pic>
      <xdr:nvPicPr>
        <xdr:cNvPr id="2" name="Picture 1">
          <a:extLst>
            <a:ext uri="{FF2B5EF4-FFF2-40B4-BE49-F238E27FC236}">
              <a16:creationId xmlns:a16="http://schemas.microsoft.com/office/drawing/2014/main" id="{E9512DF6-3B2F-458B-A0A4-5D3CADF5A56F}"/>
            </a:ext>
          </a:extLst>
        </xdr:cNvPr>
        <xdr:cNvPicPr>
          <a:picLocks noChangeAspect="1"/>
        </xdr:cNvPicPr>
      </xdr:nvPicPr>
      <xdr:blipFill>
        <a:blip xmlns:r="http://schemas.openxmlformats.org/officeDocument/2006/relationships" r:embed="rId1"/>
        <a:stretch>
          <a:fillRect/>
        </a:stretch>
      </xdr:blipFill>
      <xdr:spPr>
        <a:xfrm>
          <a:off x="20888325" y="476250"/>
          <a:ext cx="2209800" cy="828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48B88C61-F785-44B5-8B7D-C8746CDEB90E}"/>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BD903C9-32D8-4E83-8658-2C85264BF28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4331981-A219-42C1-A0EE-D7000B13F182}"/>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CDB21A5B-A377-46EE-A32C-AAA1DE515E72}"/>
            </a:ext>
          </a:extLst>
        </xdr:cNvPr>
        <xdr:cNvPicPr>
          <a:picLocks noChangeAspect="1"/>
        </xdr:cNvPicPr>
      </xdr:nvPicPr>
      <xdr:blipFill>
        <a:blip xmlns:r="http://schemas.openxmlformats.org/officeDocument/2006/relationships" r:embed="rId1"/>
        <a:stretch>
          <a:fillRect/>
        </a:stretch>
      </xdr:blipFill>
      <xdr:spPr>
        <a:xfrm>
          <a:off x="32597725" y="285750"/>
          <a:ext cx="2473325" cy="879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72D78013-4657-422B-9741-1AFE6701E4B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342900</xdr:colOff>
      <xdr:row>2</xdr:row>
      <xdr:rowOff>66675</xdr:rowOff>
    </xdr:from>
    <xdr:to>
      <xdr:col>8</xdr:col>
      <xdr:colOff>190500</xdr:colOff>
      <xdr:row>6</xdr:row>
      <xdr:rowOff>130629</xdr:rowOff>
    </xdr:to>
    <xdr:pic>
      <xdr:nvPicPr>
        <xdr:cNvPr id="2" name="Picture 1">
          <a:extLst>
            <a:ext uri="{FF2B5EF4-FFF2-40B4-BE49-F238E27FC236}">
              <a16:creationId xmlns:a16="http://schemas.microsoft.com/office/drawing/2014/main" id="{9F09F7F5-DEB9-4275-B4AB-723DE89E8E5F}"/>
            </a:ext>
          </a:extLst>
        </xdr:cNvPr>
        <xdr:cNvPicPr>
          <a:picLocks noChangeAspect="1"/>
        </xdr:cNvPicPr>
      </xdr:nvPicPr>
      <xdr:blipFill>
        <a:blip xmlns:r="http://schemas.openxmlformats.org/officeDocument/2006/relationships" r:embed="rId1"/>
        <a:stretch>
          <a:fillRect/>
        </a:stretch>
      </xdr:blipFill>
      <xdr:spPr>
        <a:xfrm>
          <a:off x="12134850" y="428625"/>
          <a:ext cx="2428875" cy="949779"/>
        </a:xfrm>
        <a:prstGeom prst="rect">
          <a:avLst/>
        </a:prstGeom>
      </xdr:spPr>
    </xdr:pic>
    <xdr:clientData/>
  </xdr:twoCellAnchor>
  <xdr:twoCellAnchor>
    <xdr:from>
      <xdr:col>4</xdr:col>
      <xdr:colOff>1115785</xdr:colOff>
      <xdr:row>54</xdr:row>
      <xdr:rowOff>240846</xdr:rowOff>
    </xdr:from>
    <xdr:to>
      <xdr:col>6</xdr:col>
      <xdr:colOff>975178</xdr:colOff>
      <xdr:row>63</xdr:row>
      <xdr:rowOff>164646</xdr:rowOff>
    </xdr:to>
    <xdr:graphicFrame macro="">
      <xdr:nvGraphicFramePr>
        <xdr:cNvPr id="3" name="Chart 2">
          <a:extLst>
            <a:ext uri="{FF2B5EF4-FFF2-40B4-BE49-F238E27FC236}">
              <a16:creationId xmlns:a16="http://schemas.microsoft.com/office/drawing/2014/main" id="{8CF70B5F-F79E-7E94-D961-EA153D6A2F84}"/>
            </a:ext>
            <a:ext uri="{147F2762-F138-4A5C-976F-8EAC2B608ADB}">
              <a16:predDERef xmlns:a16="http://schemas.microsoft.com/office/drawing/2014/main" pred="{9F09F7F5-DEB9-4275-B4AB-723DE89E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740F6AE-B594-4175-A44B-11AEBAFCB05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mp Up" id="{9183CA8F-01CF-4393-B986-2165D7CF16E0}"/>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AF1442FE-64BC-40C4-8ACA-56A78A36B36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0D80B0C-C224-4AFD-9F96-E68A5869A48A}"/>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EA360CE-5BBB-4CA8-9DF8-7FCA61ADDD21}"/>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7421E6A-E881-4F7A-8F46-628348D93759}"/>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62F5AF76-A450-4EF7-BC9B-40A1E6E965B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F3872-001E-4B36-B76B-2E607A833FAA}" name="Table1" displayName="Table1" ref="D29:G54" totalsRowShown="0" headerRowDxfId="3173" dataDxfId="3171" headerRowBorderDxfId="3172" tableBorderDxfId="3170">
  <autoFilter ref="D29:G54" xr:uid="{4EFF3872-001E-4B36-B76B-2E607A833FAA}">
    <filterColumn colId="0">
      <filters>
        <filter val="2024"/>
      </filters>
    </filterColumn>
  </autoFilter>
  <tableColumns count="4">
    <tableColumn id="1" xr3:uid="{BB9B4FB4-6F2E-4835-A684-DB068AC2EAC4}" name="Date" dataDxfId="3169"/>
    <tableColumn id="2" xr3:uid="{EFD10357-9E0C-4E28-AB51-E3AED15D5B58}" name="Description " dataDxfId="3168"/>
    <tableColumn id="3" xr3:uid="{5D061A70-D37E-400A-A733-510B138AAF71}" name="Team member status" dataDxfId="3167"/>
    <tableColumn id="4" xr3:uid="{EDF30C3C-A03D-45C3-B148-240EB55A6ED2}" name="Manager status" dataDxfId="31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F93D7-31D9-40AB-BFA0-7D7CF919CC76}" name="Table2" displayName="Table2" ref="D69:H74" totalsRowShown="0" headerRowDxfId="3165" dataDxfId="3163" headerRowBorderDxfId="3164" tableBorderDxfId="3162" totalsRowBorderDxfId="3161">
  <autoFilter ref="D69:H74" xr:uid="{DE4F93D7-31D9-40AB-BFA0-7D7CF919CC76}"/>
  <tableColumns count="5">
    <tableColumn id="1" xr3:uid="{8CC682DD-FD4F-48E3-9F23-E5E5AB134D01}" name="Date" dataDxfId="3160"/>
    <tableColumn id="2" xr3:uid="{108171EE-EB76-4C89-AA07-391F3716E2CF}" name="Quality" dataDxfId="3159">
      <calculatedColumnFormula>'CC Model'!$L$154</calculatedColumnFormula>
    </tableColumn>
    <tableColumn id="3" xr3:uid="{AA0344DD-98BF-41B2-8CF7-892286261960}" name="Innovation" dataDxfId="3158">
      <calculatedColumnFormula>'CC Model'!$L$159</calculatedColumnFormula>
    </tableColumn>
    <tableColumn id="4" xr3:uid="{6D9ECAFC-5F1B-4BBC-9C82-86CF80192D48}" name="Collab" dataDxfId="3157">
      <calculatedColumnFormula>'CC Model'!$L$164</calculatedColumnFormula>
    </tableColumn>
    <tableColumn id="5" xr3:uid="{76C1EE5A-571D-401E-8AC3-5E65EAFD338A}" name="Cust. Centricity" dataDxfId="3156">
      <calculatedColumnFormula>'CC Model'!$L$169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C792A-187F-4FC4-BC50-DDCA5AB1FB40}" name="Table3" displayName="Table3" ref="D18:G23" totalsRowShown="0" headerRowDxfId="3155" dataDxfId="3153" headerRowBorderDxfId="3154" tableBorderDxfId="3152" totalsRowBorderDxfId="3151">
  <autoFilter ref="D18:G23" xr:uid="{6D6C792A-187F-4FC4-BC50-DDCA5AB1FB40}"/>
  <tableColumns count="4">
    <tableColumn id="1" xr3:uid="{E7331FFA-8437-4BA3-8B7E-AA35E063E605}" name="Date" dataDxfId="3150"/>
    <tableColumn id="2" xr3:uid="{15BDC371-49EE-4DD0-8BF8-F1CA2564F169}" name="Start" dataDxfId="3149"/>
    <tableColumn id="7" xr3:uid="{98018421-C53B-42CE-A66C-0F44EB2A2C6C}" name="Stop" dataDxfId="3148"/>
    <tableColumn id="8" xr3:uid="{BCC8EFF7-E994-419F-AFAC-3D0E5E15C30C}" name="Continue" dataDxfId="31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72A8B3-29E5-4646-9239-F0C85CF8B046}" name="Table4" displayName="Table4" ref="U61:W66" totalsRowShown="0" headerRowDxfId="3146" dataDxfId="3145">
  <autoFilter ref="U61:W66" xr:uid="{E272A8B3-29E5-4646-9239-F0C85CF8B046}"/>
  <tableColumns count="3">
    <tableColumn id="1" xr3:uid="{141EDBD9-3E4D-45F6-A0CE-05F5EB331B65}" name="Year" dataDxfId="3144"/>
    <tableColumn id="2" xr3:uid="{BB0FD5C7-0812-41E6-A18A-EBFCB3DC5DC7}" name="Team member" dataDxfId="3143"/>
    <tableColumn id="3" xr3:uid="{640E9B19-EFBA-4718-8D41-96223F4B8497}" name="Manager" dataDxfId="314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orbes.com/advisor/business/smart-goals/" TargetMode="External"/><Relationship Id="rId1" Type="http://schemas.openxmlformats.org/officeDocument/2006/relationships/hyperlink" Target="https://www.forbes.com/advisor/business/smart-goals/" TargetMode="External"/><Relationship Id="rId5" Type="http://schemas.microsoft.com/office/2019/04/relationships/namedSheetView" Target="../namedSheetViews/namedSheetView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4.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5.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6.xm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7.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45F1-6649-4744-8D77-582D553A7001}">
  <sheetPr>
    <pageSetUpPr autoPageBreaks="0" fitToPage="1"/>
  </sheetPr>
  <dimension ref="A1:Q198"/>
  <sheetViews>
    <sheetView topLeftCell="C188" zoomScale="30" zoomScaleNormal="30" zoomScalePageLayoutView="25" workbookViewId="0">
      <selection activeCell="G162" sqref="G162:I162"/>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89.1" customHeight="1" x14ac:dyDescent="0.25">
      <c r="A2" s="100"/>
      <c r="B2" s="100"/>
      <c r="C2" s="101"/>
      <c r="D2" s="107"/>
      <c r="E2" s="234" t="s">
        <v>0</v>
      </c>
      <c r="F2" s="234"/>
      <c r="G2" s="234"/>
      <c r="H2" s="234"/>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235"/>
      <c r="G6" s="236"/>
      <c r="H6" s="236"/>
      <c r="I6" s="236"/>
      <c r="J6" s="236"/>
      <c r="K6" s="236"/>
      <c r="L6" s="237"/>
      <c r="M6" s="154"/>
      <c r="O6" s="124"/>
    </row>
    <row r="7" spans="1:17" s="148" customFormat="1" ht="50.45" customHeight="1" x14ac:dyDescent="0.35">
      <c r="A7" s="100"/>
      <c r="B7" s="100"/>
      <c r="C7" s="101"/>
      <c r="D7" s="107"/>
      <c r="E7" s="105" t="s">
        <v>3</v>
      </c>
      <c r="F7" s="238"/>
      <c r="G7" s="239"/>
      <c r="H7" s="239"/>
      <c r="I7" s="239"/>
      <c r="J7" s="239"/>
      <c r="K7" s="239"/>
      <c r="L7" s="240"/>
      <c r="M7" s="154"/>
      <c r="O7" s="124"/>
    </row>
    <row r="8" spans="1:17" s="148" customFormat="1" ht="50.45" customHeight="1" x14ac:dyDescent="0.35">
      <c r="A8" s="100"/>
      <c r="B8" s="100"/>
      <c r="C8" s="101"/>
      <c r="D8" s="103"/>
      <c r="E8" s="106" t="s">
        <v>4</v>
      </c>
      <c r="F8" s="241"/>
      <c r="G8" s="242"/>
      <c r="H8" s="242"/>
      <c r="I8" s="242"/>
      <c r="J8" s="242"/>
      <c r="K8" s="242"/>
      <c r="L8" s="243"/>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c r="G10" s="245"/>
      <c r="H10" s="245"/>
      <c r="I10" s="245"/>
      <c r="J10" s="245"/>
      <c r="K10" s="245"/>
      <c r="L10" s="246"/>
      <c r="M10" s="151"/>
      <c r="O10" s="149"/>
      <c r="Q10" s="124"/>
    </row>
    <row r="11" spans="1:17" s="148" customFormat="1" ht="50.45" customHeight="1" x14ac:dyDescent="0.35">
      <c r="C11" s="155"/>
      <c r="D11" s="156"/>
      <c r="E11" s="106" t="s">
        <v>6</v>
      </c>
      <c r="F11" s="247"/>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- 00/01/1900</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thickBot="1" x14ac:dyDescent="0.4">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- 00/01/1900</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thickBot="1" x14ac:dyDescent="0.4">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286"/>
      <c r="G28" s="286"/>
      <c r="H28" s="286"/>
      <c r="I28" s="286"/>
      <c r="J28" s="286"/>
      <c r="K28" s="286"/>
      <c r="L28" s="287"/>
      <c r="M28" s="44"/>
    </row>
    <row r="29" spans="4:13" ht="43.5" customHeight="1" x14ac:dyDescent="0.35">
      <c r="D29" s="158"/>
      <c r="E29" s="270" t="str">
        <f>CONCATENATE("Mid-year meeting - ", TEXT($F$10,"dd/mm/yyyy"))</f>
        <v>Mid-year meeting - 00/01/1900</v>
      </c>
      <c r="F29" s="117"/>
      <c r="G29" s="272" t="str">
        <f>'CC 2023'!E2</f>
        <v>Employee Name</v>
      </c>
      <c r="H29" s="273"/>
      <c r="I29" s="274"/>
      <c r="J29" s="275">
        <f>F7</f>
        <v>0</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- 00/01/1900</v>
      </c>
      <c r="F31" s="117"/>
      <c r="G31" s="272" t="str">
        <f>'CC 2023'!E2</f>
        <v>Employee Name</v>
      </c>
      <c r="H31" s="273"/>
      <c r="I31" s="274"/>
      <c r="J31" s="275">
        <f>F7</f>
        <v>0</v>
      </c>
      <c r="K31" s="273"/>
      <c r="L31" s="276"/>
      <c r="M31" s="44"/>
    </row>
    <row r="32" spans="4:13" ht="110.25" customHeight="1" x14ac:dyDescent="0.35">
      <c r="D32" s="158"/>
      <c r="E32" s="271"/>
      <c r="F32" s="99"/>
      <c r="G32" s="277"/>
      <c r="H32" s="278"/>
      <c r="I32" s="279"/>
      <c r="J32" s="280"/>
      <c r="K32" s="278"/>
      <c r="L32" s="281"/>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282"/>
      <c r="G34" s="283"/>
      <c r="H34" s="283"/>
      <c r="I34" s="283"/>
      <c r="J34" s="283"/>
      <c r="K34" s="283"/>
      <c r="L34" s="284"/>
      <c r="M34" s="44"/>
    </row>
    <row r="35" spans="4:13" ht="43.5" customHeight="1" x14ac:dyDescent="0.35">
      <c r="D35" s="158"/>
      <c r="E35" s="270" t="str">
        <f>CONCATENATE("Mid-year meeting - ", TEXT($F$10,"dd/mm/yyyy"))</f>
        <v>Mid-year meeting - 00/01/1900</v>
      </c>
      <c r="F35" s="117"/>
      <c r="G35" s="272" t="str">
        <f>'CC 2023'!E2</f>
        <v>Employee Name</v>
      </c>
      <c r="H35" s="273"/>
      <c r="I35" s="274"/>
      <c r="J35" s="275">
        <f>F7</f>
        <v>0</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- 00/01/1900</v>
      </c>
      <c r="F37" s="117"/>
      <c r="G37" s="272" t="str">
        <f>'CC 2023'!E2</f>
        <v>Employee Name</v>
      </c>
      <c r="H37" s="273"/>
      <c r="I37" s="274"/>
      <c r="J37" s="275">
        <f>F7</f>
        <v>0</v>
      </c>
      <c r="K37" s="273"/>
      <c r="L37" s="276"/>
      <c r="M37" s="44"/>
    </row>
    <row r="38" spans="4:13" ht="144.94999999999999" customHeight="1" x14ac:dyDescent="0.35">
      <c r="D38" s="158"/>
      <c r="E38" s="271"/>
      <c r="F38" s="99"/>
      <c r="G38" s="277"/>
      <c r="H38" s="278"/>
      <c r="I38" s="279"/>
      <c r="J38" s="280"/>
      <c r="K38" s="278"/>
      <c r="L38" s="281"/>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282"/>
      <c r="G40" s="283"/>
      <c r="H40" s="283"/>
      <c r="I40" s="283"/>
      <c r="J40" s="283"/>
      <c r="K40" s="283"/>
      <c r="L40" s="284"/>
      <c r="M40" s="44"/>
    </row>
    <row r="41" spans="4:13" ht="43.5" customHeight="1" x14ac:dyDescent="0.35">
      <c r="D41" s="158"/>
      <c r="E41" s="270" t="str">
        <f>CONCATENATE("Mid-year meeting - ", TEXT($F$10,"dd/mm/yyyy"))</f>
        <v>Mid-year meeting - 00/01/1900</v>
      </c>
      <c r="F41" s="117"/>
      <c r="G41" s="272" t="str">
        <f>'CC 2023'!E2</f>
        <v>Employee Name</v>
      </c>
      <c r="H41" s="273"/>
      <c r="I41" s="274"/>
      <c r="J41" s="275">
        <f>F7</f>
        <v>0</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- 00/01/1900</v>
      </c>
      <c r="F43" s="117"/>
      <c r="G43" s="272" t="str">
        <f>'CC 2023'!E2</f>
        <v>Employee Name</v>
      </c>
      <c r="H43" s="273"/>
      <c r="I43" s="274"/>
      <c r="J43" s="275">
        <f>F7</f>
        <v>0</v>
      </c>
      <c r="K43" s="273"/>
      <c r="L43" s="276"/>
      <c r="M43" s="44"/>
    </row>
    <row r="44" spans="4:13" ht="113.45" customHeight="1" x14ac:dyDescent="0.35">
      <c r="D44" s="158"/>
      <c r="E44" s="271"/>
      <c r="F44" s="99"/>
      <c r="G44" s="294"/>
      <c r="H44" s="295"/>
      <c r="I44" s="296"/>
      <c r="J44" s="280"/>
      <c r="K44" s="278"/>
      <c r="L44" s="281"/>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282"/>
      <c r="G46" s="283"/>
      <c r="H46" s="283"/>
      <c r="I46" s="283"/>
      <c r="J46" s="283"/>
      <c r="K46" s="283"/>
      <c r="L46" s="284"/>
      <c r="M46" s="44"/>
    </row>
    <row r="47" spans="4:13" ht="43.5" customHeight="1" x14ac:dyDescent="0.35">
      <c r="D47" s="156"/>
      <c r="E47" s="270" t="str">
        <f>CONCATENATE("Mid-year meeting - ", TEXT($F$10,"dd/mm/yyyy"))</f>
        <v>Mid-year meeting - 00/01/1900</v>
      </c>
      <c r="F47" s="117"/>
      <c r="G47" s="272" t="str">
        <f>'CC 2023'!E2</f>
        <v>Employee Name</v>
      </c>
      <c r="H47" s="273"/>
      <c r="I47" s="274"/>
      <c r="J47" s="275">
        <f>F7</f>
        <v>0</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- 00/01/1900</v>
      </c>
      <c r="F49" s="117"/>
      <c r="G49" s="272" t="str">
        <f>'CC 2023'!E2</f>
        <v>Employee Name</v>
      </c>
      <c r="H49" s="273"/>
      <c r="I49" s="274"/>
      <c r="J49" s="275">
        <f>F7</f>
        <v>0</v>
      </c>
      <c r="K49" s="273"/>
      <c r="L49" s="276"/>
      <c r="M49" s="44"/>
    </row>
    <row r="50" spans="4:13" ht="110.25" customHeight="1" thickBot="1" x14ac:dyDescent="0.4">
      <c r="D50" s="156"/>
      <c r="E50" s="271"/>
      <c r="F50" s="99"/>
      <c r="G50" s="277"/>
      <c r="H50" s="278"/>
      <c r="I50" s="279"/>
      <c r="J50" s="280"/>
      <c r="K50" s="278"/>
      <c r="L50" s="281"/>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282"/>
      <c r="G52" s="283"/>
      <c r="H52" s="283"/>
      <c r="I52" s="283"/>
      <c r="J52" s="283"/>
      <c r="K52" s="283"/>
      <c r="L52" s="284"/>
      <c r="M52" s="44"/>
    </row>
    <row r="53" spans="4:13" ht="43.5" customHeight="1" x14ac:dyDescent="0.35">
      <c r="D53" s="156"/>
      <c r="E53" s="270" t="str">
        <f>CONCATENATE("Mid-year meeting - ", TEXT($F$10,"dd/mm/yyyy"))</f>
        <v>Mid-year meeting - 00/01/1900</v>
      </c>
      <c r="F53" s="117"/>
      <c r="G53" s="272" t="str">
        <f>'CC 2023'!E2</f>
        <v>Employee Name</v>
      </c>
      <c r="H53" s="273"/>
      <c r="I53" s="274"/>
      <c r="J53" s="275">
        <f>F7</f>
        <v>0</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- 00/01/1900</v>
      </c>
      <c r="F55" s="117"/>
      <c r="G55" s="272" t="str">
        <f>'CC 2023'!E2</f>
        <v>Employee Name</v>
      </c>
      <c r="H55" s="273"/>
      <c r="I55" s="274"/>
      <c r="J55" s="275">
        <f>F7</f>
        <v>0</v>
      </c>
      <c r="K55" s="273"/>
      <c r="L55" s="276"/>
      <c r="M55" s="44"/>
    </row>
    <row r="56" spans="4:13" ht="110.25" customHeight="1" thickBot="1" x14ac:dyDescent="0.4">
      <c r="D56" s="156"/>
      <c r="E56" s="271"/>
      <c r="F56" s="99"/>
      <c r="G56" s="277"/>
      <c r="H56" s="278"/>
      <c r="I56" s="279"/>
      <c r="J56" s="280"/>
      <c r="K56" s="278"/>
      <c r="L56" s="281"/>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286"/>
      <c r="G58" s="286"/>
      <c r="H58" s="286"/>
      <c r="I58" s="286"/>
      <c r="J58" s="286"/>
      <c r="K58" s="286"/>
      <c r="L58" s="287"/>
      <c r="M58" s="44"/>
    </row>
    <row r="59" spans="4:13" ht="43.5" customHeight="1" x14ac:dyDescent="0.35">
      <c r="D59" s="156"/>
      <c r="E59" s="270" t="str">
        <f>CONCATENATE("Mid-year meeting - ", TEXT($F$10,"dd/mm/yyyy"))</f>
        <v>Mid-year meeting - 00/01/1900</v>
      </c>
      <c r="F59" s="117"/>
      <c r="G59" s="272" t="str">
        <f>'CC 2023'!E2</f>
        <v>Employee Name</v>
      </c>
      <c r="H59" s="273"/>
      <c r="I59" s="274"/>
      <c r="J59" s="275">
        <f>F7</f>
        <v>0</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- 00/01/1900</v>
      </c>
      <c r="F61" s="117"/>
      <c r="G61" s="272" t="str">
        <f>'CC 2023'!E2</f>
        <v>Employee Name</v>
      </c>
      <c r="H61" s="273"/>
      <c r="I61" s="274"/>
      <c r="J61" s="275">
        <f>F7</f>
        <v>0</v>
      </c>
      <c r="K61" s="273"/>
      <c r="L61" s="276"/>
      <c r="M61" s="44"/>
    </row>
    <row r="62" spans="4:13" ht="110.25" customHeight="1" thickBot="1" x14ac:dyDescent="0.4">
      <c r="D62" s="156"/>
      <c r="E62" s="271"/>
      <c r="F62" s="145"/>
      <c r="G62" s="297"/>
      <c r="H62" s="298"/>
      <c r="I62" s="299"/>
      <c r="J62" s="280"/>
      <c r="K62" s="278"/>
      <c r="L62" s="281"/>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286"/>
      <c r="G64" s="286"/>
      <c r="H64" s="286"/>
      <c r="I64" s="286"/>
      <c r="J64" s="286"/>
      <c r="K64" s="286"/>
      <c r="L64" s="287"/>
      <c r="M64" s="44"/>
    </row>
    <row r="65" spans="3:15" ht="43.5" customHeight="1" x14ac:dyDescent="0.35">
      <c r="D65" s="156"/>
      <c r="E65" s="270" t="str">
        <f>CONCATENATE("Mid-year meeting - ", TEXT($F$10,"dd/mm/yyyy"))</f>
        <v>Mid-year meeting - 00/01/1900</v>
      </c>
      <c r="F65" s="117"/>
      <c r="G65" s="272" t="str">
        <f>'CC 2023'!E2</f>
        <v>Employee Name</v>
      </c>
      <c r="H65" s="273"/>
      <c r="I65" s="274"/>
      <c r="J65" s="275">
        <f>F7</f>
        <v>0</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- 00/01/1900</v>
      </c>
      <c r="F67" s="117"/>
      <c r="G67" s="272" t="str">
        <f>'CC 2023'!E2</f>
        <v>Employee Name</v>
      </c>
      <c r="H67" s="273"/>
      <c r="I67" s="274"/>
      <c r="J67" s="275">
        <f>F7</f>
        <v>0</v>
      </c>
      <c r="K67" s="273"/>
      <c r="L67" s="276"/>
      <c r="M67" s="44"/>
    </row>
    <row r="68" spans="3:15" ht="110.25" customHeight="1" thickBot="1" x14ac:dyDescent="0.4">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60" t="s">
        <v>25</v>
      </c>
      <c r="F71" s="260"/>
      <c r="G71" s="260"/>
      <c r="H71" s="260"/>
      <c r="I71" s="260"/>
      <c r="J71" s="260"/>
      <c r="K71" s="260"/>
      <c r="L71" s="260"/>
      <c r="M71" s="44"/>
    </row>
    <row r="72" spans="3:15" s="163" customFormat="1" ht="78.599999999999994" customHeight="1" thickBot="1" x14ac:dyDescent="0.4">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1"/>
      <c r="K74" s="87"/>
      <c r="L74" s="89"/>
      <c r="M74" s="44"/>
    </row>
    <row r="75" spans="3:15" ht="77.25"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thickBot="1" x14ac:dyDescent="0.4">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thickBot="1" x14ac:dyDescent="0.4">
      <c r="D85" s="158"/>
      <c r="E85" s="260" t="s">
        <v>35</v>
      </c>
      <c r="F85" s="260"/>
      <c r="G85" s="123" t="s">
        <v>36</v>
      </c>
      <c r="H85" s="123"/>
      <c r="I85" s="123"/>
      <c r="J85" s="107"/>
      <c r="K85" s="107"/>
      <c r="L85" s="107"/>
      <c r="M85" s="44"/>
    </row>
    <row r="86" spans="3:15" ht="74.25" customHeight="1" thickBot="1" x14ac:dyDescent="0.4">
      <c r="C86" s="164"/>
      <c r="D86" s="158"/>
      <c r="E86" s="57"/>
      <c r="F86" s="306" t="s">
        <v>37</v>
      </c>
      <c r="G86" s="306"/>
      <c r="H86" s="306"/>
      <c r="I86" s="306"/>
      <c r="J86" s="306"/>
      <c r="K86" s="306"/>
      <c r="L86" s="307"/>
      <c r="M86" s="44"/>
      <c r="O86" s="124"/>
    </row>
    <row r="87" spans="3:15" ht="91.5" customHeight="1" x14ac:dyDescent="0.35">
      <c r="C87" s="164"/>
      <c r="D87" s="158"/>
      <c r="E87" s="56" t="s">
        <v>38</v>
      </c>
      <c r="F87" s="312" t="s">
        <v>39</v>
      </c>
      <c r="G87" s="313"/>
      <c r="H87" s="313"/>
      <c r="I87" s="313"/>
      <c r="J87" s="313"/>
      <c r="K87" s="313"/>
      <c r="L87" s="314"/>
      <c r="M87" s="44"/>
      <c r="O87" s="124"/>
    </row>
    <row r="88" spans="3:15" ht="53.45" customHeight="1" x14ac:dyDescent="0.35">
      <c r="C88" s="164"/>
      <c r="D88" s="158"/>
      <c r="E88" s="315" t="s">
        <v>40</v>
      </c>
      <c r="F88" s="316" t="s">
        <v>41</v>
      </c>
      <c r="G88" s="317"/>
      <c r="H88" s="318"/>
      <c r="I88" s="70" t="s">
        <v>42</v>
      </c>
      <c r="J88" s="70" t="s">
        <v>43</v>
      </c>
      <c r="K88" s="70" t="s">
        <v>44</v>
      </c>
      <c r="L88" s="125" t="s">
        <v>45</v>
      </c>
      <c r="M88" s="44"/>
    </row>
    <row r="89" spans="3:15" ht="131.1" customHeight="1" x14ac:dyDescent="0.35">
      <c r="C89" s="164"/>
      <c r="D89" s="158"/>
      <c r="E89" s="315"/>
      <c r="F89" s="319" t="s">
        <v>46</v>
      </c>
      <c r="G89" s="320"/>
      <c r="H89" s="321"/>
      <c r="I89" s="143" t="s">
        <v>47</v>
      </c>
      <c r="J89" s="228" t="s">
        <v>48</v>
      </c>
      <c r="K89" s="228" t="s">
        <v>49</v>
      </c>
      <c r="L89" s="228" t="s">
        <v>50</v>
      </c>
      <c r="M89" s="44"/>
      <c r="O89" s="322" t="b">
        <f>IF(L89="Fails to meet objective", 4, IF(L89="Partially meets objective", 3, IF(L89="Meets expectations", 2, IF(L89="Exceeds expectations", 1,IF(L89="To be done", "")))))</f>
        <v>0</v>
      </c>
    </row>
    <row r="90" spans="3:15" ht="53.45" customHeight="1" x14ac:dyDescent="0.35">
      <c r="C90" s="164"/>
      <c r="D90" s="158"/>
      <c r="E90" s="315"/>
      <c r="F90" s="323" t="str">
        <f>'CC 2023'!E2</f>
        <v>Employee Name</v>
      </c>
      <c r="G90" s="324"/>
      <c r="H90" s="324"/>
      <c r="I90" s="324"/>
      <c r="J90" s="324"/>
      <c r="K90" s="324"/>
      <c r="L90" s="325"/>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- 00/01/1900</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- 00/01/1900</v>
      </c>
      <c r="F93" s="330"/>
      <c r="G93" s="331"/>
      <c r="H93" s="334"/>
      <c r="I93" s="335"/>
      <c r="J93" s="335"/>
      <c r="K93" s="335"/>
      <c r="L93" s="336"/>
      <c r="M93" s="44"/>
      <c r="O93" s="322"/>
    </row>
    <row r="94" spans="3:15" ht="53.45" customHeight="1" x14ac:dyDescent="0.35">
      <c r="C94" s="164"/>
      <c r="D94" s="158"/>
      <c r="E94" s="315"/>
      <c r="F94" s="342">
        <f>F7</f>
        <v>0</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- 00/01/1900</v>
      </c>
      <c r="F96" s="330"/>
      <c r="G96" s="331"/>
      <c r="H96" s="330"/>
      <c r="I96" s="332"/>
      <c r="J96" s="332"/>
      <c r="K96" s="332"/>
      <c r="L96" s="333"/>
      <c r="M96" s="44"/>
      <c r="O96" s="322"/>
    </row>
    <row r="97" spans="3:15" ht="135.94999999999999" customHeight="1" x14ac:dyDescent="0.35">
      <c r="C97" s="164"/>
      <c r="D97" s="158"/>
      <c r="E97" s="126" t="str">
        <f>CONCATENATE("End-of-year meeting - ", TEXT($F$11,"dd/mm/yyyy"))</f>
        <v>End-of-year meeting - 00/01/1900</v>
      </c>
      <c r="F97" s="330"/>
      <c r="G97" s="331"/>
      <c r="H97" s="334"/>
      <c r="I97" s="335"/>
      <c r="J97" s="335"/>
      <c r="K97" s="335"/>
      <c r="L97" s="336"/>
      <c r="M97" s="44"/>
      <c r="O97" s="322"/>
    </row>
    <row r="98" spans="3:15" ht="74.25" customHeight="1" thickBot="1" x14ac:dyDescent="0.4">
      <c r="C98" s="164"/>
      <c r="D98" s="158"/>
      <c r="E98" s="57"/>
      <c r="F98" s="306" t="s">
        <v>53</v>
      </c>
      <c r="G98" s="306"/>
      <c r="H98" s="306"/>
      <c r="I98" s="306"/>
      <c r="J98" s="306"/>
      <c r="K98" s="306"/>
      <c r="L98" s="307"/>
      <c r="M98" s="44"/>
      <c r="O98" s="124"/>
    </row>
    <row r="99" spans="3:15" ht="91.5" customHeight="1" x14ac:dyDescent="0.35">
      <c r="C99" s="164"/>
      <c r="D99" s="158"/>
      <c r="E99" s="56" t="s">
        <v>38</v>
      </c>
      <c r="F99" s="337"/>
      <c r="G99" s="338"/>
      <c r="H99" s="338"/>
      <c r="I99" s="338"/>
      <c r="J99" s="338"/>
      <c r="K99" s="338"/>
      <c r="L99" s="339"/>
      <c r="M99" s="44"/>
      <c r="O99" s="124"/>
    </row>
    <row r="100" spans="3:15" ht="53.45" customHeight="1" x14ac:dyDescent="0.35">
      <c r="C100" s="164"/>
      <c r="D100" s="158"/>
      <c r="E100" s="315" t="s">
        <v>40</v>
      </c>
      <c r="F100" s="340" t="s">
        <v>41</v>
      </c>
      <c r="G100" s="340"/>
      <c r="H100" s="340"/>
      <c r="I100" s="70" t="s">
        <v>42</v>
      </c>
      <c r="J100" s="70" t="s">
        <v>43</v>
      </c>
      <c r="K100" s="70" t="s">
        <v>44</v>
      </c>
      <c r="L100" s="125" t="s">
        <v>45</v>
      </c>
      <c r="M100" s="44"/>
    </row>
    <row r="101" spans="3:15" ht="177.75" customHeight="1" x14ac:dyDescent="0.35">
      <c r="C101" s="164"/>
      <c r="D101" s="158"/>
      <c r="E101" s="315"/>
      <c r="F101" s="341"/>
      <c r="G101" s="341"/>
      <c r="H101" s="341"/>
      <c r="I101" s="143"/>
      <c r="J101" s="75"/>
      <c r="K101" s="75"/>
      <c r="L101" s="75"/>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- 00/01/1900</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- 00/01/1900</v>
      </c>
      <c r="F105" s="330"/>
      <c r="G105" s="331"/>
      <c r="H105" s="334"/>
      <c r="I105" s="335"/>
      <c r="J105" s="335"/>
      <c r="K105" s="335"/>
      <c r="L105" s="336"/>
      <c r="M105" s="44"/>
      <c r="N105" s="165"/>
      <c r="O105" s="322"/>
    </row>
    <row r="106" spans="3:15" ht="53.45" customHeight="1" x14ac:dyDescent="0.35">
      <c r="C106" s="164"/>
      <c r="D106" s="158"/>
      <c r="E106" s="315"/>
      <c r="F106" s="342">
        <f>F7</f>
        <v>0</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- 00/01/1900</v>
      </c>
      <c r="F108" s="330"/>
      <c r="G108" s="331"/>
      <c r="H108" s="330"/>
      <c r="I108" s="332"/>
      <c r="J108" s="332"/>
      <c r="K108" s="332"/>
      <c r="L108" s="333"/>
      <c r="M108" s="44"/>
      <c r="N108" s="165"/>
      <c r="O108" s="322"/>
    </row>
    <row r="109" spans="3:15" ht="135.94999999999999" customHeight="1" x14ac:dyDescent="0.35">
      <c r="C109" s="164"/>
      <c r="D109" s="158"/>
      <c r="E109" s="126" t="str">
        <f>CONCATENATE("End-of-year meeting - ", TEXT($F$11,"dd/mm/yyyy"))</f>
        <v>End-of-year meeting - 00/01/1900</v>
      </c>
      <c r="F109" s="330"/>
      <c r="G109" s="331"/>
      <c r="H109" s="334"/>
      <c r="I109" s="335"/>
      <c r="J109" s="335"/>
      <c r="K109" s="335"/>
      <c r="L109" s="336"/>
      <c r="M109" s="44"/>
      <c r="N109" s="165"/>
      <c r="O109" s="322"/>
    </row>
    <row r="110" spans="3:15" ht="74.25" customHeight="1" thickBot="1" x14ac:dyDescent="0.4">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337"/>
      <c r="G111" s="338"/>
      <c r="H111" s="338"/>
      <c r="I111" s="338"/>
      <c r="J111" s="338"/>
      <c r="K111" s="338"/>
      <c r="L111" s="339"/>
      <c r="M111" s="44"/>
      <c r="O111" s="124"/>
    </row>
    <row r="112" spans="3:15" ht="53.45" customHeight="1" x14ac:dyDescent="0.35">
      <c r="C112" s="164"/>
      <c r="D112" s="158"/>
      <c r="E112" s="315" t="s">
        <v>40</v>
      </c>
      <c r="F112" s="340" t="s">
        <v>41</v>
      </c>
      <c r="G112" s="340"/>
      <c r="H112" s="340"/>
      <c r="I112" s="127" t="s">
        <v>42</v>
      </c>
      <c r="J112" s="127" t="s">
        <v>43</v>
      </c>
      <c r="K112" s="127" t="s">
        <v>44</v>
      </c>
      <c r="L112" s="128" t="s">
        <v>45</v>
      </c>
      <c r="M112" s="44"/>
    </row>
    <row r="113" spans="3:15" ht="186.75" customHeight="1" x14ac:dyDescent="0.35">
      <c r="C113" s="164"/>
      <c r="D113" s="158"/>
      <c r="E113" s="315"/>
      <c r="F113" s="344"/>
      <c r="G113" s="345"/>
      <c r="H113" s="346"/>
      <c r="I113" s="143"/>
      <c r="J113" s="75"/>
      <c r="K113" s="75"/>
      <c r="L113" s="76"/>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- 00/01/1900</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- 00/01/1900</v>
      </c>
      <c r="F117" s="330"/>
      <c r="G117" s="331"/>
      <c r="H117" s="334"/>
      <c r="I117" s="335"/>
      <c r="J117" s="335"/>
      <c r="K117" s="335"/>
      <c r="L117" s="336"/>
      <c r="M117" s="44"/>
      <c r="O117" s="322"/>
    </row>
    <row r="118" spans="3:15" ht="53.45" customHeight="1" x14ac:dyDescent="0.35">
      <c r="C118" s="164"/>
      <c r="D118" s="158"/>
      <c r="E118" s="315"/>
      <c r="F118" s="342">
        <f>F7</f>
        <v>0</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- 00/01/1900</v>
      </c>
      <c r="F120" s="330"/>
      <c r="G120" s="331"/>
      <c r="H120" s="330"/>
      <c r="I120" s="332"/>
      <c r="J120" s="332"/>
      <c r="K120" s="332"/>
      <c r="L120" s="333"/>
      <c r="M120" s="44"/>
      <c r="O120" s="322"/>
    </row>
    <row r="121" spans="3:15" ht="135.94999999999999" customHeight="1" x14ac:dyDescent="0.35">
      <c r="C121" s="164"/>
      <c r="D121" s="158"/>
      <c r="E121" s="126" t="str">
        <f>CONCATENATE("End-of-year meeting - ", TEXT($F$11,"dd/mm/yyyy"))</f>
        <v>End-of-year meeting - 00/01/1900</v>
      </c>
      <c r="F121" s="330"/>
      <c r="G121" s="331"/>
      <c r="H121" s="334"/>
      <c r="I121" s="335"/>
      <c r="J121" s="335"/>
      <c r="K121" s="335"/>
      <c r="L121" s="336"/>
      <c r="M121" s="44"/>
      <c r="O121" s="322"/>
    </row>
    <row r="122" spans="3:15" ht="74.25" customHeight="1" thickBot="1" x14ac:dyDescent="0.4">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347"/>
      <c r="G123" s="348"/>
      <c r="H123" s="348"/>
      <c r="I123" s="348"/>
      <c r="J123" s="348"/>
      <c r="K123" s="348"/>
      <c r="L123" s="349"/>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c r="G125" s="345"/>
      <c r="H125" s="346"/>
      <c r="I125" s="143"/>
      <c r="J125" s="75"/>
      <c r="K125" s="75"/>
      <c r="L125" s="75"/>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- 00/01/1900</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- 00/01/1900</v>
      </c>
      <c r="F129" s="330"/>
      <c r="G129" s="331"/>
      <c r="H129" s="334"/>
      <c r="I129" s="335"/>
      <c r="J129" s="335"/>
      <c r="K129" s="335"/>
      <c r="L129" s="336"/>
      <c r="M129" s="44"/>
      <c r="O129" s="322"/>
    </row>
    <row r="130" spans="3:15" ht="53.45" customHeight="1" x14ac:dyDescent="0.35">
      <c r="C130" s="164"/>
      <c r="D130" s="158"/>
      <c r="E130" s="315"/>
      <c r="F130" s="342">
        <f>F7</f>
        <v>0</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- 00/01/1900</v>
      </c>
      <c r="F132" s="330"/>
      <c r="G132" s="331"/>
      <c r="H132" s="330"/>
      <c r="I132" s="332"/>
      <c r="J132" s="332"/>
      <c r="K132" s="332"/>
      <c r="L132" s="333"/>
      <c r="M132" s="44"/>
      <c r="O132" s="322"/>
    </row>
    <row r="133" spans="3:15" ht="135.94999999999999" customHeight="1" x14ac:dyDescent="0.35">
      <c r="C133" s="164"/>
      <c r="D133" s="158"/>
      <c r="E133" s="126" t="str">
        <f>CONCATENATE("End-of-year meeting - ", TEXT($F$11,"dd/mm/yyyy"))</f>
        <v>End-of-year meeting - 00/01/1900</v>
      </c>
      <c r="F133" s="330"/>
      <c r="G133" s="331"/>
      <c r="H133" s="334"/>
      <c r="I133" s="335"/>
      <c r="J133" s="335"/>
      <c r="K133" s="335"/>
      <c r="L133" s="336"/>
      <c r="M133" s="44"/>
      <c r="O133" s="322"/>
    </row>
    <row r="134" spans="3:15" ht="74.25" customHeight="1" thickBot="1" x14ac:dyDescent="0.4">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337"/>
      <c r="G135" s="338"/>
      <c r="H135" s="338"/>
      <c r="I135" s="338"/>
      <c r="J135" s="338"/>
      <c r="K135" s="338"/>
      <c r="L135" s="339"/>
      <c r="M135" s="44"/>
      <c r="O135" s="124"/>
    </row>
    <row r="136" spans="3:15" ht="53.45" customHeight="1" x14ac:dyDescent="0.35">
      <c r="C136" s="164"/>
      <c r="D136" s="158"/>
      <c r="E136" s="352" t="s">
        <v>40</v>
      </c>
      <c r="F136" s="340" t="s">
        <v>41</v>
      </c>
      <c r="G136" s="340"/>
      <c r="H136" s="340"/>
      <c r="I136" s="127" t="s">
        <v>42</v>
      </c>
      <c r="J136" s="127" t="s">
        <v>43</v>
      </c>
      <c r="K136" s="127" t="s">
        <v>44</v>
      </c>
      <c r="L136" s="128" t="s">
        <v>45</v>
      </c>
      <c r="M136" s="44"/>
    </row>
    <row r="137" spans="3:15" ht="220.5" customHeight="1" x14ac:dyDescent="0.35">
      <c r="C137" s="164"/>
      <c r="D137" s="158"/>
      <c r="E137" s="352"/>
      <c r="F137" s="319"/>
      <c r="G137" s="345"/>
      <c r="H137" s="346"/>
      <c r="I137" s="225"/>
      <c r="J137" s="75"/>
      <c r="K137" s="75"/>
      <c r="L137" s="76"/>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- 00/01/1900</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- 00/01/1900</v>
      </c>
      <c r="F141" s="330"/>
      <c r="G141" s="331"/>
      <c r="H141" s="334"/>
      <c r="I141" s="335"/>
      <c r="J141" s="335"/>
      <c r="K141" s="335"/>
      <c r="L141" s="336"/>
      <c r="M141" s="44"/>
      <c r="O141" s="322"/>
    </row>
    <row r="142" spans="3:15" ht="53.45" customHeight="1" x14ac:dyDescent="0.35">
      <c r="C142" s="164"/>
      <c r="D142" s="158"/>
      <c r="E142" s="352"/>
      <c r="F142" s="359">
        <f>F7</f>
        <v>0</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- 00/01/1900</v>
      </c>
      <c r="F144" s="330"/>
      <c r="G144" s="331"/>
      <c r="H144" s="330"/>
      <c r="I144" s="332"/>
      <c r="J144" s="332"/>
      <c r="K144" s="332"/>
      <c r="L144" s="333"/>
      <c r="M144" s="44"/>
      <c r="O144" s="322"/>
    </row>
    <row r="145" spans="3:17" ht="135.94999999999999" customHeight="1" x14ac:dyDescent="0.35">
      <c r="C145" s="164"/>
      <c r="D145" s="158"/>
      <c r="E145" s="129" t="str">
        <f>CONCATENATE("End-of-year meeting - ", TEXT($F$11,"dd/mm/yyyy"))</f>
        <v>End-of-year meeting - 00/01/1900</v>
      </c>
      <c r="F145" s="330"/>
      <c r="G145" s="331"/>
      <c r="H145" s="334"/>
      <c r="I145" s="335"/>
      <c r="J145" s="335"/>
      <c r="K145" s="335"/>
      <c r="L145" s="336"/>
      <c r="M145" s="44"/>
      <c r="O145" s="322"/>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thickBot="1" x14ac:dyDescent="0.4">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- 00/01/1900</v>
      </c>
      <c r="F154" s="224" t="s">
        <v>64</v>
      </c>
      <c r="G154" s="368" t="str">
        <f>'CC 2023'!E2</f>
        <v>Employee Name</v>
      </c>
      <c r="H154" s="368"/>
      <c r="I154" s="368"/>
      <c r="J154" s="368">
        <f>F7</f>
        <v>0</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- 00/01/1900</v>
      </c>
      <c r="F156" s="224" t="s">
        <v>64</v>
      </c>
      <c r="G156" s="361" t="str">
        <f>'CC 2023'!E2</f>
        <v>Employee Name</v>
      </c>
      <c r="H156" s="361"/>
      <c r="I156" s="361"/>
      <c r="J156" s="361">
        <f>F7</f>
        <v>0</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thickBot="1" x14ac:dyDescent="0.4">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- 00/01/1900</v>
      </c>
      <c r="F159" s="224" t="s">
        <v>64</v>
      </c>
      <c r="G159" s="377" t="str">
        <f>'CC 2023'!E2</f>
        <v>Employee Name</v>
      </c>
      <c r="H159" s="378"/>
      <c r="I159" s="379"/>
      <c r="J159" s="380">
        <f>F7</f>
        <v>0</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- 00/01/1900</v>
      </c>
      <c r="F161" s="224" t="s">
        <v>64</v>
      </c>
      <c r="G161" s="391" t="str">
        <f>'CC 2023'!E2</f>
        <v>Employee Name</v>
      </c>
      <c r="H161" s="392"/>
      <c r="I161" s="393"/>
      <c r="J161" s="394">
        <f>F7</f>
        <v>0</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thickBot="1" x14ac:dyDescent="0.4">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- 00/01/1900</v>
      </c>
      <c r="F164" s="224" t="s">
        <v>64</v>
      </c>
      <c r="G164" s="377" t="str">
        <f>'CC 2023'!E2</f>
        <v>Employee Name</v>
      </c>
      <c r="H164" s="378"/>
      <c r="I164" s="379"/>
      <c r="J164" s="377">
        <f>F7</f>
        <v>0</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- 00/01/1900</v>
      </c>
      <c r="F166" s="224" t="s">
        <v>64</v>
      </c>
      <c r="G166" s="391" t="str">
        <f>'CC 2023'!E2</f>
        <v>Employee Name</v>
      </c>
      <c r="H166" s="392"/>
      <c r="I166" s="393"/>
      <c r="J166" s="391">
        <f>F7</f>
        <v>0</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thickBot="1" x14ac:dyDescent="0.4">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- 00/01/1900</v>
      </c>
      <c r="F169" s="224" t="s">
        <v>64</v>
      </c>
      <c r="G169" s="368" t="str">
        <f>'CC 2023'!E2</f>
        <v>Employee Name</v>
      </c>
      <c r="H169" s="368"/>
      <c r="I169" s="368"/>
      <c r="J169" s="368">
        <f>F7</f>
        <v>0</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- 00/01/1900</v>
      </c>
      <c r="F171" s="224" t="s">
        <v>64</v>
      </c>
      <c r="G171" s="361" t="str">
        <f>'CC 2023'!E2</f>
        <v>Employee Name</v>
      </c>
      <c r="H171" s="361"/>
      <c r="I171" s="361"/>
      <c r="J171" s="361">
        <f>F7</f>
        <v>0</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f>F7</f>
        <v>0</v>
      </c>
      <c r="K177" s="415"/>
      <c r="L177" s="416"/>
      <c r="M177" s="44"/>
      <c r="Q177" s="148"/>
    </row>
    <row r="178" spans="4:17" ht="111" customHeight="1" x14ac:dyDescent="0.35">
      <c r="D178" s="158"/>
      <c r="E178" s="139" t="str">
        <f>CONCATENATE("Mid-year meeting - ",TEXT($F$10,"dd/mm/yyyy"))</f>
        <v>Mid-year meeting - 00/01/1900</v>
      </c>
      <c r="F178" s="176"/>
      <c r="G178" s="373"/>
      <c r="H178" s="373"/>
      <c r="I178" s="373"/>
      <c r="J178" s="418"/>
      <c r="K178" s="418"/>
      <c r="L178" s="419"/>
      <c r="M178" s="44"/>
    </row>
    <row r="179" spans="4:17" ht="111" customHeight="1" x14ac:dyDescent="0.35">
      <c r="D179" s="158"/>
      <c r="E179" s="140" t="str">
        <f>CONCATENATE("End-of-year meeting - ", TEXT($F$11,"dd/mm/yyyy"))</f>
        <v>End-of-year meeting - 00/01/1900</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5" t="s">
        <v>80</v>
      </c>
      <c r="I186" s="426"/>
      <c r="J186" s="427"/>
      <c r="K186" s="428" t="s">
        <v>81</v>
      </c>
      <c r="L186" s="428"/>
      <c r="M186" s="44"/>
    </row>
    <row r="187" spans="4:17" ht="129.75" customHeight="1" x14ac:dyDescent="0.35">
      <c r="D187" s="158"/>
      <c r="E187" s="141" t="str">
        <f>CONCATENATE("Mid-year meeting - ",TEXT($F$10,"dd/mm/yyyy"))</f>
        <v>Mid-year meeting - 00/01/1900</v>
      </c>
      <c r="F187" s="422"/>
      <c r="G187" s="422"/>
      <c r="H187" s="421"/>
      <c r="I187" s="421"/>
      <c r="J187" s="421"/>
      <c r="K187" s="422"/>
      <c r="L187" s="422"/>
      <c r="M187" s="44"/>
    </row>
    <row r="188" spans="4:17" ht="129.75" customHeight="1" x14ac:dyDescent="0.35">
      <c r="D188" s="158"/>
      <c r="E188" s="142" t="str">
        <f>CONCATENATE("End-of-year meeting - ", TEXT($F$11,"dd/mm/yyyy"))</f>
        <v>End-of-year meeting - 00/01/1900</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row r="197" spans="8:10" ht="23.25" customHeight="1" x14ac:dyDescent="0.35">
      <c r="H197" s="165"/>
      <c r="I197" s="165"/>
      <c r="J197" s="165"/>
    </row>
    <row r="198" spans="8:10" ht="23.25" customHeight="1" x14ac:dyDescent="0.35">
      <c r="H198" s="165"/>
      <c r="I198" s="165"/>
      <c r="J198" s="165"/>
    </row>
  </sheetData>
  <sheetProtection algorithmName="SHA-512" hashValue="PzTvA5NWp4BJ8BpvoBAhv6z831xzxkDuAj/30MGLNa6tzC0QX9UFVb4k6ouf53mp0lxOwG+AauU6rGduBUhCiw==" saltValue="fEf7ofVNRzFkVkI6Y6Hn7A==" spinCount="100000" sheet="1" formatCells="0" formatColumns="0" formatRows="0"/>
  <mergeCells count="286">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F168:L168"/>
    <mergeCell ref="F163:L163"/>
    <mergeCell ref="E164:E165"/>
    <mergeCell ref="G164:I164"/>
    <mergeCell ref="J164:L164"/>
    <mergeCell ref="G165:I165"/>
    <mergeCell ref="J165:L165"/>
    <mergeCell ref="E175:L175"/>
    <mergeCell ref="E176:L176"/>
    <mergeCell ref="E161:E162"/>
    <mergeCell ref="G161:I161"/>
    <mergeCell ref="J161:L161"/>
    <mergeCell ref="G162:I162"/>
    <mergeCell ref="J162:L162"/>
    <mergeCell ref="E166:E167"/>
    <mergeCell ref="G166:I166"/>
    <mergeCell ref="J166:L166"/>
    <mergeCell ref="G167:I167"/>
    <mergeCell ref="J167:L16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O137:O145"/>
    <mergeCell ref="E138:E139"/>
    <mergeCell ref="F138:L138"/>
    <mergeCell ref="F139:G139"/>
    <mergeCell ref="H139:L139"/>
    <mergeCell ref="F140:G140"/>
    <mergeCell ref="H140:L140"/>
    <mergeCell ref="F144:G144"/>
    <mergeCell ref="H144:L144"/>
    <mergeCell ref="F145:G145"/>
    <mergeCell ref="H145:L145"/>
    <mergeCell ref="F134:L134"/>
    <mergeCell ref="F135:L135"/>
    <mergeCell ref="F129:G129"/>
    <mergeCell ref="H129:L129"/>
    <mergeCell ref="E130:E131"/>
    <mergeCell ref="F130:L130"/>
    <mergeCell ref="F131:G131"/>
    <mergeCell ref="H131:L131"/>
    <mergeCell ref="E136:E137"/>
    <mergeCell ref="F136:H136"/>
    <mergeCell ref="F137:H137"/>
    <mergeCell ref="O125:O133"/>
    <mergeCell ref="E126:E127"/>
    <mergeCell ref="F126:L126"/>
    <mergeCell ref="F127:G127"/>
    <mergeCell ref="H127:L127"/>
    <mergeCell ref="F128:G128"/>
    <mergeCell ref="H128:L128"/>
    <mergeCell ref="F132:G132"/>
    <mergeCell ref="H132:L132"/>
    <mergeCell ref="F133:G133"/>
    <mergeCell ref="H133:L133"/>
    <mergeCell ref="F122:L122"/>
    <mergeCell ref="F123:L123"/>
    <mergeCell ref="F117:G117"/>
    <mergeCell ref="H117:L117"/>
    <mergeCell ref="E118:E119"/>
    <mergeCell ref="F118:L118"/>
    <mergeCell ref="F119:G119"/>
    <mergeCell ref="H119:L119"/>
    <mergeCell ref="E124:E125"/>
    <mergeCell ref="F124:H124"/>
    <mergeCell ref="F125:H125"/>
    <mergeCell ref="O113:O121"/>
    <mergeCell ref="E114:E115"/>
    <mergeCell ref="F114:L114"/>
    <mergeCell ref="F115:G115"/>
    <mergeCell ref="H115:L115"/>
    <mergeCell ref="F116:G116"/>
    <mergeCell ref="H116:L116"/>
    <mergeCell ref="F120:G120"/>
    <mergeCell ref="H120:L120"/>
    <mergeCell ref="F121:G121"/>
    <mergeCell ref="H121:L121"/>
    <mergeCell ref="F110:L110"/>
    <mergeCell ref="F111:L111"/>
    <mergeCell ref="F105:G105"/>
    <mergeCell ref="H105:L105"/>
    <mergeCell ref="E106:E107"/>
    <mergeCell ref="F106:L106"/>
    <mergeCell ref="F107:G107"/>
    <mergeCell ref="H107:L107"/>
    <mergeCell ref="E112:E113"/>
    <mergeCell ref="F112:H112"/>
    <mergeCell ref="F113:H113"/>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E78:F78"/>
    <mergeCell ref="E79:F79"/>
    <mergeCell ref="E80:F80"/>
    <mergeCell ref="E84:L84"/>
    <mergeCell ref="E85:F85"/>
    <mergeCell ref="F86:L86"/>
    <mergeCell ref="E72:F72"/>
    <mergeCell ref="E73:F73"/>
    <mergeCell ref="E74:F74"/>
    <mergeCell ref="E75:F75"/>
    <mergeCell ref="E76:F76"/>
    <mergeCell ref="E77:F77"/>
    <mergeCell ref="E67:E68"/>
    <mergeCell ref="G67:I67"/>
    <mergeCell ref="J67:L67"/>
    <mergeCell ref="G68:I68"/>
    <mergeCell ref="J68:L68"/>
    <mergeCell ref="E71:L71"/>
    <mergeCell ref="F64:L64"/>
    <mergeCell ref="E65:E66"/>
    <mergeCell ref="G65:I65"/>
    <mergeCell ref="J65:L65"/>
    <mergeCell ref="G66:I66"/>
    <mergeCell ref="J66:L66"/>
    <mergeCell ref="E59:E60"/>
    <mergeCell ref="G59:I59"/>
    <mergeCell ref="J59:L59"/>
    <mergeCell ref="G60:I60"/>
    <mergeCell ref="J60:L60"/>
    <mergeCell ref="E61:E62"/>
    <mergeCell ref="G61:I61"/>
    <mergeCell ref="J61:L61"/>
    <mergeCell ref="G62:I62"/>
    <mergeCell ref="J62:L62"/>
    <mergeCell ref="E55:E56"/>
    <mergeCell ref="G55:I55"/>
    <mergeCell ref="J55:L55"/>
    <mergeCell ref="G56:I56"/>
    <mergeCell ref="J56:L56"/>
    <mergeCell ref="F58:L58"/>
    <mergeCell ref="F52:L52"/>
    <mergeCell ref="E53:E54"/>
    <mergeCell ref="G53:I53"/>
    <mergeCell ref="J53:L53"/>
    <mergeCell ref="G54:I54"/>
    <mergeCell ref="J54:L54"/>
    <mergeCell ref="E47:E48"/>
    <mergeCell ref="G47:I47"/>
    <mergeCell ref="J47:L47"/>
    <mergeCell ref="G48:I48"/>
    <mergeCell ref="J48:L48"/>
    <mergeCell ref="E49:E50"/>
    <mergeCell ref="G49:I49"/>
    <mergeCell ref="J49:L49"/>
    <mergeCell ref="G50:I50"/>
    <mergeCell ref="J50:L50"/>
    <mergeCell ref="E43:E44"/>
    <mergeCell ref="G43:I43"/>
    <mergeCell ref="J43:L43"/>
    <mergeCell ref="G44:I44"/>
    <mergeCell ref="J44:L44"/>
    <mergeCell ref="F46:L46"/>
    <mergeCell ref="F40:L40"/>
    <mergeCell ref="E41:E42"/>
    <mergeCell ref="G41:I41"/>
    <mergeCell ref="J41:L41"/>
    <mergeCell ref="G42:I42"/>
    <mergeCell ref="J42:L42"/>
    <mergeCell ref="E35:E36"/>
    <mergeCell ref="G35:I35"/>
    <mergeCell ref="J35:L35"/>
    <mergeCell ref="G36:I36"/>
    <mergeCell ref="J36:L36"/>
    <mergeCell ref="E37:E38"/>
    <mergeCell ref="G37:I37"/>
    <mergeCell ref="J37:L37"/>
    <mergeCell ref="G38:I38"/>
    <mergeCell ref="J38:L3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s>
  <conditionalFormatting sqref="E4">
    <cfRule type="containsText" dxfId="3141" priority="337" operator="containsText" text="Stop">
      <formula>NOT(ISERROR(SEARCH("Stop",E4)))</formula>
    </cfRule>
    <cfRule type="containsText" dxfId="3140" priority="338" operator="containsText" text="Start">
      <formula>NOT(ISERROR(SEARCH("Start",E4)))</formula>
    </cfRule>
    <cfRule type="containsText" dxfId="3139" priority="336" operator="containsText" text="Continue">
      <formula>NOT(ISERROR(SEARCH("Continue",E4)))</formula>
    </cfRule>
  </conditionalFormatting>
  <conditionalFormatting sqref="E14">
    <cfRule type="containsText" dxfId="3138" priority="456" operator="containsText" text="Continue">
      <formula>NOT(ISERROR(SEARCH("Continue",E14)))</formula>
    </cfRule>
    <cfRule type="containsText" dxfId="3137" priority="457" operator="containsText" text="Stop">
      <formula>NOT(ISERROR(SEARCH("Stop",E14)))</formula>
    </cfRule>
    <cfRule type="containsText" dxfId="3136" priority="458" operator="containsText" text="Start">
      <formula>NOT(ISERROR(SEARCH("Start",E14)))</formula>
    </cfRule>
  </conditionalFormatting>
  <conditionalFormatting sqref="E28 E154 G154 E156 G156">
    <cfRule type="containsText" dxfId="3135" priority="391" operator="containsText" text="N/A">
      <formula>NOT(ISERROR(SEARCH("N/A",E28)))</formula>
    </cfRule>
    <cfRule type="containsText" dxfId="3134" priority="388" operator="containsText" text="Continue">
      <formula>NOT(ISERROR(SEARCH("Continue",E28)))</formula>
    </cfRule>
    <cfRule type="containsText" dxfId="3133" priority="393" operator="containsText" text="Meets">
      <formula>NOT(ISERROR(SEARCH("Meets",E28)))</formula>
    </cfRule>
    <cfRule type="containsText" dxfId="3132" priority="392" operator="containsText" text="Exceeds">
      <formula>NOT(ISERROR(SEARCH("Exceeds",E28)))</formula>
    </cfRule>
    <cfRule type="containsText" dxfId="3131" priority="390" operator="containsText" text="Start">
      <formula>NOT(ISERROR(SEARCH("Start",E28)))</formula>
    </cfRule>
    <cfRule type="containsText" dxfId="3130" priority="389" operator="containsText" text="Stop">
      <formula>NOT(ISERROR(SEARCH("Stop",E28)))</formula>
    </cfRule>
    <cfRule type="containsText" dxfId="3129" priority="394" operator="containsText" text="Under">
      <formula>NOT(ISERROR(SEARCH("Under",E28)))</formula>
    </cfRule>
  </conditionalFormatting>
  <conditionalFormatting sqref="E34">
    <cfRule type="containsText" dxfId="3128" priority="368" operator="containsText" text="Stop">
      <formula>NOT(ISERROR(SEARCH("Stop",E34)))</formula>
    </cfRule>
    <cfRule type="containsText" dxfId="3127" priority="373" operator="containsText" text="Under">
      <formula>NOT(ISERROR(SEARCH("Under",E34)))</formula>
    </cfRule>
    <cfRule type="containsText" dxfId="3126" priority="372" operator="containsText" text="Meets">
      <formula>NOT(ISERROR(SEARCH("Meets",E34)))</formula>
    </cfRule>
    <cfRule type="containsText" dxfId="3125" priority="371" operator="containsText" text="Exceeds">
      <formula>NOT(ISERROR(SEARCH("Exceeds",E34)))</formula>
    </cfRule>
    <cfRule type="containsText" dxfId="3124" priority="370" operator="containsText" text="N/A">
      <formula>NOT(ISERROR(SEARCH("N/A",E34)))</formula>
    </cfRule>
    <cfRule type="containsText" dxfId="3123" priority="369" operator="containsText" text="Start">
      <formula>NOT(ISERROR(SEARCH("Start",E34)))</formula>
    </cfRule>
    <cfRule type="containsText" dxfId="3122" priority="367" operator="containsText" text="Continue">
      <formula>NOT(ISERROR(SEARCH("Continue",E34)))</formula>
    </cfRule>
  </conditionalFormatting>
  <conditionalFormatting sqref="E40">
    <cfRule type="containsText" dxfId="3121" priority="364" operator="containsText" text="Exceeds">
      <formula>NOT(ISERROR(SEARCH("Exceeds",E40)))</formula>
    </cfRule>
    <cfRule type="containsText" dxfId="3120" priority="365" operator="containsText" text="Meets">
      <formula>NOT(ISERROR(SEARCH("Meets",E40)))</formula>
    </cfRule>
    <cfRule type="containsText" dxfId="3119" priority="366" operator="containsText" text="Under">
      <formula>NOT(ISERROR(SEARCH("Under",E40)))</formula>
    </cfRule>
    <cfRule type="containsText" dxfId="3118" priority="360" operator="containsText" text="Continue">
      <formula>NOT(ISERROR(SEARCH("Continue",E40)))</formula>
    </cfRule>
    <cfRule type="containsText" dxfId="3117" priority="362" operator="containsText" text="Start">
      <formula>NOT(ISERROR(SEARCH("Start",E40)))</formula>
    </cfRule>
    <cfRule type="containsText" dxfId="3116" priority="363" operator="containsText" text="N/A">
      <formula>NOT(ISERROR(SEARCH("N/A",E40)))</formula>
    </cfRule>
    <cfRule type="containsText" dxfId="3115" priority="361" operator="containsText" text="Stop">
      <formula>NOT(ISERROR(SEARCH("Stop",E40)))</formula>
    </cfRule>
  </conditionalFormatting>
  <conditionalFormatting sqref="E46">
    <cfRule type="containsText" dxfId="3114" priority="359" operator="containsText" text="Under">
      <formula>NOT(ISERROR(SEARCH("Under",E46)))</formula>
    </cfRule>
    <cfRule type="containsText" dxfId="3113" priority="358" operator="containsText" text="Meets">
      <formula>NOT(ISERROR(SEARCH("Meets",E46)))</formula>
    </cfRule>
    <cfRule type="containsText" dxfId="3112" priority="357" operator="containsText" text="Exceeds">
      <formula>NOT(ISERROR(SEARCH("Exceeds",E46)))</formula>
    </cfRule>
    <cfRule type="containsText" dxfId="3111" priority="356" operator="containsText" text="N/A">
      <formula>NOT(ISERROR(SEARCH("N/A",E46)))</formula>
    </cfRule>
    <cfRule type="containsText" dxfId="3110" priority="355" operator="containsText" text="Start">
      <formula>NOT(ISERROR(SEARCH("Start",E46)))</formula>
    </cfRule>
    <cfRule type="containsText" dxfId="3109" priority="354" operator="containsText" text="Stop">
      <formula>NOT(ISERROR(SEARCH("Stop",E46)))</formula>
    </cfRule>
    <cfRule type="containsText" dxfId="3108" priority="353" operator="containsText" text="Continue">
      <formula>NOT(ISERROR(SEARCH("Continue",E46)))</formula>
    </cfRule>
  </conditionalFormatting>
  <conditionalFormatting sqref="E52">
    <cfRule type="containsText" dxfId="3107" priority="349" operator="containsText" text="N/A">
      <formula>NOT(ISERROR(SEARCH("N/A",E52)))</formula>
    </cfRule>
    <cfRule type="containsText" dxfId="3106" priority="348" operator="containsText" text="Start">
      <formula>NOT(ISERROR(SEARCH("Start",E52)))</formula>
    </cfRule>
    <cfRule type="containsText" dxfId="3105" priority="347" operator="containsText" text="Stop">
      <formula>NOT(ISERROR(SEARCH("Stop",E52)))</formula>
    </cfRule>
    <cfRule type="containsText" dxfId="3104" priority="352" operator="containsText" text="Under">
      <formula>NOT(ISERROR(SEARCH("Under",E52)))</formula>
    </cfRule>
    <cfRule type="containsText" dxfId="3103" priority="351" operator="containsText" text="Meets">
      <formula>NOT(ISERROR(SEARCH("Meets",E52)))</formula>
    </cfRule>
    <cfRule type="containsText" dxfId="3102" priority="346" operator="containsText" text="Continue">
      <formula>NOT(ISERROR(SEARCH("Continue",E52)))</formula>
    </cfRule>
    <cfRule type="containsText" dxfId="3101" priority="350" operator="containsText" text="Exceeds">
      <formula>NOT(ISERROR(SEARCH("Exceeds",E52)))</formula>
    </cfRule>
  </conditionalFormatting>
  <conditionalFormatting sqref="E58">
    <cfRule type="containsText" dxfId="3100" priority="341" operator="containsText" text="Start">
      <formula>NOT(ISERROR(SEARCH("Start",E58)))</formula>
    </cfRule>
    <cfRule type="containsText" dxfId="3099" priority="342" operator="containsText" text="N/A">
      <formula>NOT(ISERROR(SEARCH("N/A",E58)))</formula>
    </cfRule>
    <cfRule type="containsText" dxfId="3098" priority="344" operator="containsText" text="Meets">
      <formula>NOT(ISERROR(SEARCH("Meets",E58)))</formula>
    </cfRule>
    <cfRule type="containsText" dxfId="3097" priority="343" operator="containsText" text="Exceeds">
      <formula>NOT(ISERROR(SEARCH("Exceeds",E58)))</formula>
    </cfRule>
    <cfRule type="containsText" dxfId="3096" priority="345" operator="containsText" text="Under">
      <formula>NOT(ISERROR(SEARCH("Under",E58)))</formula>
    </cfRule>
    <cfRule type="containsText" dxfId="3095" priority="339" operator="containsText" text="Continue">
      <formula>NOT(ISERROR(SEARCH("Continue",E58)))</formula>
    </cfRule>
    <cfRule type="containsText" dxfId="3094" priority="340" operator="containsText" text="Stop">
      <formula>NOT(ISERROR(SEARCH("Stop",E58)))</formula>
    </cfRule>
  </conditionalFormatting>
  <conditionalFormatting sqref="E64">
    <cfRule type="containsText" dxfId="3093" priority="242" operator="containsText" text="Stop">
      <formula>NOT(ISERROR(SEARCH("Stop",E64)))</formula>
    </cfRule>
    <cfRule type="containsText" dxfId="3092" priority="243" operator="containsText" text="Start">
      <formula>NOT(ISERROR(SEARCH("Start",E64)))</formula>
    </cfRule>
    <cfRule type="containsText" dxfId="3091" priority="245" operator="containsText" text="Exceeds">
      <formula>NOT(ISERROR(SEARCH("Exceeds",E64)))</formula>
    </cfRule>
    <cfRule type="containsText" dxfId="3090" priority="246" operator="containsText" text="Meets">
      <formula>NOT(ISERROR(SEARCH("Meets",E64)))</formula>
    </cfRule>
    <cfRule type="containsText" dxfId="3089" priority="247" operator="containsText" text="Under">
      <formula>NOT(ISERROR(SEARCH("Under",E64)))</formula>
    </cfRule>
    <cfRule type="containsText" dxfId="3088" priority="244" operator="containsText" text="N/A">
      <formula>NOT(ISERROR(SEARCH("N/A",E64)))</formula>
    </cfRule>
    <cfRule type="containsText" dxfId="3087" priority="241" operator="containsText" text="Continue">
      <formula>NOT(ISERROR(SEARCH("Continue",E64)))</formula>
    </cfRule>
  </conditionalFormatting>
  <conditionalFormatting sqref="E159 E164">
    <cfRule type="containsText" dxfId="3086" priority="431" operator="containsText" text="Exceeds">
      <formula>NOT(ISERROR(SEARCH("Exceeds",E159)))</formula>
    </cfRule>
    <cfRule type="containsText" dxfId="3085" priority="430" operator="containsText" text="N/A">
      <formula>NOT(ISERROR(SEARCH("N/A",E159)))</formula>
    </cfRule>
    <cfRule type="containsText" dxfId="3084" priority="429" operator="containsText" text="Start">
      <formula>NOT(ISERROR(SEARCH("Start",E159)))</formula>
    </cfRule>
    <cfRule type="containsText" dxfId="3083" priority="428" operator="containsText" text="Stop">
      <formula>NOT(ISERROR(SEARCH("Stop",E159)))</formula>
    </cfRule>
    <cfRule type="containsText" dxfId="3082" priority="427" operator="containsText" text="Continue">
      <formula>NOT(ISERROR(SEARCH("Continue",E159)))</formula>
    </cfRule>
    <cfRule type="containsText" dxfId="3081" priority="432" operator="containsText" text="Meets">
      <formula>NOT(ISERROR(SEARCH("Meets",E159)))</formula>
    </cfRule>
    <cfRule type="containsText" dxfId="3080" priority="433" operator="containsText" text="Under">
      <formula>NOT(ISERROR(SEARCH("Under",E159)))</formula>
    </cfRule>
  </conditionalFormatting>
  <conditionalFormatting sqref="E161 E166">
    <cfRule type="containsText" dxfId="3079" priority="426" operator="containsText" text="Under">
      <formula>NOT(ISERROR(SEARCH("Under",E161)))</formula>
    </cfRule>
    <cfRule type="containsText" dxfId="3078" priority="425" operator="containsText" text="Meets">
      <formula>NOT(ISERROR(SEARCH("Meets",E161)))</formula>
    </cfRule>
    <cfRule type="containsText" dxfId="3077" priority="424" operator="containsText" text="Exceeds">
      <formula>NOT(ISERROR(SEARCH("Exceeds",E161)))</formula>
    </cfRule>
    <cfRule type="containsText" dxfId="3076" priority="423" operator="containsText" text="N/A">
      <formula>NOT(ISERROR(SEARCH("N/A",E161)))</formula>
    </cfRule>
    <cfRule type="containsText" dxfId="3075" priority="422" operator="containsText" text="Start">
      <formula>NOT(ISERROR(SEARCH("Start",E161)))</formula>
    </cfRule>
    <cfRule type="containsText" dxfId="3074" priority="421" operator="containsText" text="Stop">
      <formula>NOT(ISERROR(SEARCH("Stop",E161)))</formula>
    </cfRule>
    <cfRule type="containsText" dxfId="3073" priority="420" operator="containsText" text="Continue">
      <formula>NOT(ISERROR(SEARCH("Continue",E161)))</formula>
    </cfRule>
  </conditionalFormatting>
  <conditionalFormatting sqref="E169">
    <cfRule type="containsText" dxfId="3072" priority="443" operator="containsText" text="Start">
      <formula>NOT(ISERROR(SEARCH("Start",E169)))</formula>
    </cfRule>
    <cfRule type="containsText" dxfId="3071" priority="442" operator="containsText" text="Stop">
      <formula>NOT(ISERROR(SEARCH("Stop",E169)))</formula>
    </cfRule>
    <cfRule type="containsText" dxfId="3070" priority="441" operator="containsText" text="Continue">
      <formula>NOT(ISERROR(SEARCH("Continue",E169)))</formula>
    </cfRule>
    <cfRule type="containsText" dxfId="3069" priority="447" operator="containsText" text="Under">
      <formula>NOT(ISERROR(SEARCH("Under",E169)))</formula>
    </cfRule>
    <cfRule type="containsText" dxfId="3068" priority="446" operator="containsText" text="Meets">
      <formula>NOT(ISERROR(SEARCH("Meets",E169)))</formula>
    </cfRule>
    <cfRule type="containsText" dxfId="3067" priority="445" operator="containsText" text="Exceeds">
      <formula>NOT(ISERROR(SEARCH("Exceeds",E169)))</formula>
    </cfRule>
    <cfRule type="containsText" dxfId="3066" priority="444" operator="containsText" text="N/A">
      <formula>NOT(ISERROR(SEARCH("N/A",E169)))</formula>
    </cfRule>
  </conditionalFormatting>
  <conditionalFormatting sqref="E171">
    <cfRule type="containsText" dxfId="3065" priority="398" operator="containsText" text="N/A">
      <formula>NOT(ISERROR(SEARCH("N/A",E171)))</formula>
    </cfRule>
    <cfRule type="containsText" dxfId="3064" priority="399" operator="containsText" text="Exceeds">
      <formula>NOT(ISERROR(SEARCH("Exceeds",E171)))</formula>
    </cfRule>
    <cfRule type="containsText" dxfId="3063" priority="400" operator="containsText" text="Meets">
      <formula>NOT(ISERROR(SEARCH("Meets",E171)))</formula>
    </cfRule>
    <cfRule type="containsText" dxfId="3062" priority="401" operator="containsText" text="Under">
      <formula>NOT(ISERROR(SEARCH("Under",E171)))</formula>
    </cfRule>
    <cfRule type="containsText" dxfId="3061" priority="395" operator="containsText" text="Continue">
      <formula>NOT(ISERROR(SEARCH("Continue",E171)))</formula>
    </cfRule>
    <cfRule type="containsText" dxfId="3060" priority="396" operator="containsText" text="Stop">
      <formula>NOT(ISERROR(SEARCH("Stop",E171)))</formula>
    </cfRule>
    <cfRule type="containsText" dxfId="3059" priority="397" operator="containsText" text="Start">
      <formula>NOT(ISERROR(SEARCH("Start",E171)))</formula>
    </cfRule>
  </conditionalFormatting>
  <conditionalFormatting sqref="E12:L13">
    <cfRule type="containsText" dxfId="3058" priority="333" operator="containsText" text="Continue">
      <formula>NOT(ISERROR(SEARCH("Continue",E12)))</formula>
    </cfRule>
    <cfRule type="containsText" dxfId="3057" priority="334" operator="containsText" text="Stop">
      <formula>NOT(ISERROR(SEARCH("Stop",E12)))</formula>
    </cfRule>
    <cfRule type="containsText" dxfId="3056" priority="335" operator="containsText" text="Start">
      <formula>NOT(ISERROR(SEARCH("Start",E12)))</formula>
    </cfRule>
  </conditionalFormatting>
  <conditionalFormatting sqref="F32 K73 K75:K80 J74:K74">
    <cfRule type="dataBar" priority="116">
      <dataBar>
        <cfvo type="num" val="0"/>
        <cfvo type="num" val="1"/>
        <color theme="0" tint="-0.249977111117893"/>
      </dataBar>
      <extLst>
        <ext xmlns:x14="http://schemas.microsoft.com/office/spreadsheetml/2009/9/main" uri="{B025F937-C7B1-47D3-B67F-A62EFF666E3E}">
          <x14:id>{1ECDFD6F-97FA-40DB-9459-BECBBAA39182}</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{A01589CC-B696-4531-B2C4-9AC22DF5D241}</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{23371696-7648-4D24-8EA0-E0118F50F885}</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{9AC77EA7-C250-454D-BB0F-4161F868AE2A}</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{67AD4906-165F-4157-B8B9-A11DEA4B297A}</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{230C7F8E-14D2-426C-8ADF-9014565E569B}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{260574CA-4BAC-43E5-A9C4-D6372C5CB8E3}</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{C439AF76-0A9E-4004-BC13-F324A13BF8DD}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{5CA175D8-3629-417B-8F32-E87A1674602A}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{631F1A37-6DD4-411E-A4E7-CED8B37743B8}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{0B61A07A-BD40-489C-BF89-4EC94656A4D2}</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{74362F57-325A-4ED7-9D6C-AF02478B30F2}</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{0CAC41A7-195E-401C-8023-8DCCCFB56A8A}</x14:id>
        </ext>
      </extLst>
    </cfRule>
  </conditionalFormatting>
  <conditionalFormatting sqref="F157">
    <cfRule type="containsText" dxfId="3055" priority="404" operator="containsText" text="Stop">
      <formula>NOT(ISERROR(SEARCH("Stop",F157)))</formula>
    </cfRule>
    <cfRule type="containsText" dxfId="3054"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{3ED6E276-A303-463B-BBEE-6E3A1E06CA4C}</x14:id>
        </ext>
      </extLst>
    </cfRule>
    <cfRule type="containsText" dxfId="3053" priority="409" operator="containsText" text="Under">
      <formula>NOT(ISERROR(SEARCH("Under",F157)))</formula>
    </cfRule>
    <cfRule type="containsText" dxfId="3052" priority="408" operator="containsText" text="Meets">
      <formula>NOT(ISERROR(SEARCH("Meets",F157)))</formula>
    </cfRule>
    <cfRule type="containsText" dxfId="3051" priority="407" operator="containsText" text="Exceeds">
      <formula>NOT(ISERROR(SEARCH("Exceeds",F157)))</formula>
    </cfRule>
    <cfRule type="containsText" dxfId="3050"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{AF26C502-5DAF-42B7-86FE-4B411E733840}</x14:id>
        </ext>
      </extLst>
    </cfRule>
    <cfRule type="containsText" dxfId="3049" priority="405" operator="containsText" text="Start">
      <formula>NOT(ISERROR(SEARCH("Start",F157)))</formula>
    </cfRule>
  </conditionalFormatting>
  <conditionalFormatting sqref="F162">
    <cfRule type="containsText" dxfId="3048" priority="320" operator="containsText" text="Exceeds">
      <formula>NOT(ISERROR(SEARCH("Exceeds",F162)))</formula>
    </cfRule>
    <cfRule type="containsText" dxfId="3047" priority="321" operator="containsText" text="Meets">
      <formula>NOT(ISERROR(SEARCH("Meets",F162)))</formula>
    </cfRule>
    <cfRule type="containsText" dxfId="3046"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{206C7F5D-492B-48D9-87FC-044999225860}</x14:id>
        </ext>
      </extLst>
    </cfRule>
    <cfRule type="containsText" dxfId="3045" priority="318" operator="containsText" text="Start">
      <formula>NOT(ISERROR(SEARCH("Start",F162)))</formula>
    </cfRule>
    <cfRule type="containsText" dxfId="3044"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{7DA0927A-C55A-4E95-B2F5-BC55AD567414}</x14:id>
        </ext>
      </extLst>
    </cfRule>
    <cfRule type="containsText" dxfId="3043" priority="319" operator="containsText" text="N/A">
      <formula>NOT(ISERROR(SEARCH("N/A",F162)))</formula>
    </cfRule>
    <cfRule type="containsText" dxfId="3042"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{00044D51-61FF-4A5B-8DFC-EE75A5DCE662}</x14:id>
        </ext>
      </extLst>
    </cfRule>
    <cfRule type="containsText" dxfId="3041" priority="299" operator="containsText" text="Under">
      <formula>NOT(ISERROR(SEARCH("Under",F167)))</formula>
    </cfRule>
    <cfRule type="containsText" dxfId="3040" priority="298" operator="containsText" text="Meets">
      <formula>NOT(ISERROR(SEARCH("Meets",F167)))</formula>
    </cfRule>
    <cfRule type="containsText" dxfId="3039"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{2EA6CFE5-4D73-46CC-815D-023B6935BFEA}</x14:id>
        </ext>
      </extLst>
    </cfRule>
    <cfRule type="containsText" dxfId="3038" priority="293" operator="containsText" text="Continue">
      <formula>NOT(ISERROR(SEARCH("Continue",F167)))</formula>
    </cfRule>
    <cfRule type="containsText" dxfId="3037" priority="295" operator="containsText" text="Start">
      <formula>NOT(ISERROR(SEARCH("Start",F167)))</formula>
    </cfRule>
    <cfRule type="containsText" dxfId="3036" priority="297" operator="containsText" text="Exceeds">
      <formula>NOT(ISERROR(SEARCH("Exceeds",F167)))</formula>
    </cfRule>
    <cfRule type="containsText" dxfId="3035"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{CC0BEC30-E8EE-4173-BE6D-E4D5E0CED656}</x14:id>
        </ext>
      </extLst>
    </cfRule>
    <cfRule type="containsText" dxfId="3034" priority="269" operator="containsText" text="Under">
      <formula>NOT(ISERROR(SEARCH("Under",F172)))</formula>
    </cfRule>
    <cfRule type="containsText" dxfId="3033" priority="268" operator="containsText" text="Meets">
      <formula>NOT(ISERROR(SEARCH("Meets",F172)))</formula>
    </cfRule>
    <cfRule type="containsText" dxfId="3032" priority="267" operator="containsText" text="Exceeds">
      <formula>NOT(ISERROR(SEARCH("Exceeds",F172)))</formula>
    </cfRule>
    <cfRule type="containsText" dxfId="3031"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{F0BE1511-604E-4278-87F9-44881E4D2963}</x14:id>
        </ext>
      </extLst>
    </cfRule>
    <cfRule type="containsText" dxfId="3030" priority="265" operator="containsText" text="Start">
      <formula>NOT(ISERROR(SEARCH("Start",F172)))</formula>
    </cfRule>
    <cfRule type="containsText" dxfId="3029" priority="264" operator="containsText" text="Stop">
      <formula>NOT(ISERROR(SEARCH("Stop",F172)))</formula>
    </cfRule>
    <cfRule type="containsText" dxfId="3028"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{433A6AD4-C42E-44CA-8A6C-C093737D71B7}</x14:id>
        </ext>
      </extLst>
    </cfRule>
  </conditionalFormatting>
  <conditionalFormatting sqref="F148:G148 G25 H147">
    <cfRule type="dataBar" priority="459">
      <dataBar>
        <cfvo type="num" val="0"/>
        <cfvo type="num" val="1"/>
        <color theme="0" tint="-0.249977111117893"/>
      </dataBar>
      <extLst>
        <ext xmlns:x14="http://schemas.microsoft.com/office/spreadsheetml/2009/9/main" uri="{B025F937-C7B1-47D3-B67F-A62EFF666E3E}">
          <x14:id>{D6ABD94F-2315-4FCF-B07E-439D0D6AD869}</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{37E5FB85-472A-4F04-9612-B65B9D86FD5B}</x14:id>
        </ext>
      </extLst>
    </cfRule>
    <cfRule type="containsText" dxfId="3027" priority="412" operator="containsText" text="Continue">
      <formula>NOT(ISERROR(SEARCH("Continue",F155)))</formula>
    </cfRule>
    <cfRule type="containsText" dxfId="3026" priority="413" operator="containsText" text="Stop">
      <formula>NOT(ISERROR(SEARCH("Stop",F155)))</formula>
    </cfRule>
    <cfRule type="containsText" dxfId="3025" priority="414" operator="containsText" text="Start">
      <formula>NOT(ISERROR(SEARCH("Start",F155)))</formula>
    </cfRule>
    <cfRule type="containsText" dxfId="3024" priority="415" operator="containsText" text="N/A">
      <formula>NOT(ISERROR(SEARCH("N/A",F155)))</formula>
    </cfRule>
    <cfRule type="containsText" dxfId="3023" priority="416" operator="containsText" text="Exceeds">
      <formula>NOT(ISERROR(SEARCH("Exceeds",F155)))</formula>
    </cfRule>
    <cfRule type="containsText" dxfId="3022" priority="417" operator="containsText" text="Meets">
      <formula>NOT(ISERROR(SEARCH("Meets",F155)))</formula>
    </cfRule>
    <cfRule type="containsText" dxfId="3021"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{21B871EE-41BC-4472-87F5-B62DE44F70A9}</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{C814CB48-7F06-4C09-8FBA-D95618A8CDC3}</x14:id>
        </ext>
      </extLst>
    </cfRule>
    <cfRule type="containsText" dxfId="3020" priority="331" operator="containsText" text="Under">
      <formula>NOT(ISERROR(SEARCH("Under",F160)))</formula>
    </cfRule>
    <cfRule type="containsText" dxfId="3019" priority="330" operator="containsText" text="Meets">
      <formula>NOT(ISERROR(SEARCH("Meets",F160)))</formula>
    </cfRule>
    <cfRule type="containsText" dxfId="3018" priority="329" operator="containsText" text="Exceeds">
      <formula>NOT(ISERROR(SEARCH("Exceeds",F160)))</formula>
    </cfRule>
    <cfRule type="containsText" dxfId="3017" priority="328" operator="containsText" text="N/A">
      <formula>NOT(ISERROR(SEARCH("N/A",F160)))</formula>
    </cfRule>
    <cfRule type="containsText" dxfId="3016" priority="327" operator="containsText" text="Start">
      <formula>NOT(ISERROR(SEARCH("Start",F160)))</formula>
    </cfRule>
    <cfRule type="containsText" dxfId="3015" priority="326" operator="containsText" text="Stop">
      <formula>NOT(ISERROR(SEARCH("Stop",F160)))</formula>
    </cfRule>
    <cfRule type="containsText" dxfId="3014"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{E2ECEB16-65AB-4D06-A00E-EF10F27C4C33}</x14:id>
        </ext>
      </extLst>
    </cfRule>
  </conditionalFormatting>
  <conditionalFormatting sqref="F165:G165">
    <cfRule type="containsText" dxfId="3013" priority="238" operator="containsText" text="Meets">
      <formula>NOT(ISERROR(SEARCH("Meets",F165)))</formula>
    </cfRule>
    <cfRule type="containsText" dxfId="3012" priority="235" operator="containsText" text="Start">
      <formula>NOT(ISERROR(SEARCH("Start",F165)))</formula>
    </cfRule>
    <cfRule type="containsText" dxfId="3011"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{7382C047-BDC8-4845-953F-A812561AB122}</x14:id>
        </ext>
      </extLst>
    </cfRule>
    <cfRule type="containsText" dxfId="3010" priority="233" operator="containsText" text="Continue">
      <formula>NOT(ISERROR(SEARCH("Continue",F165)))</formula>
    </cfRule>
    <cfRule type="containsText" dxfId="3009" priority="236" operator="containsText" text="N/A">
      <formula>NOT(ISERROR(SEARCH("N/A",F165)))</formula>
    </cfRule>
    <cfRule type="containsText" dxfId="3008" priority="234" operator="containsText" text="Stop">
      <formula>NOT(ISERROR(SEARCH("Stop",F165)))</formula>
    </cfRule>
    <cfRule type="containsText" dxfId="3007"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{F70A2B76-23B3-404B-ABE2-29F0AF5E7334}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{5D12A7EB-237C-4C42-8050-907788381643}</x14:id>
        </ext>
      </extLst>
    </cfRule>
    <cfRule type="containsText" dxfId="3006" priority="225" operator="containsText" text="Stop">
      <formula>NOT(ISERROR(SEARCH("Stop",F170)))</formula>
    </cfRule>
    <cfRule type="containsText" dxfId="3005" priority="224" operator="containsText" text="Continue">
      <formula>NOT(ISERROR(SEARCH("Continue",F170)))</formula>
    </cfRule>
    <cfRule type="containsText" dxfId="3004" priority="226" operator="containsText" text="Start">
      <formula>NOT(ISERROR(SEARCH("Start",F170)))</formula>
    </cfRule>
    <cfRule type="containsText" dxfId="3003" priority="227" operator="containsText" text="N/A">
      <formula>NOT(ISERROR(SEARCH("N/A",F170)))</formula>
    </cfRule>
    <cfRule type="containsText" dxfId="3002" priority="228" operator="containsText" text="Exceeds">
      <formula>NOT(ISERROR(SEARCH("Exceeds",F170)))</formula>
    </cfRule>
    <cfRule type="containsText" dxfId="3001"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{DDF0F8EF-126A-4BEC-B883-C2C7FD114CE0}</x14:id>
        </ext>
      </extLst>
    </cfRule>
    <cfRule type="containsText" dxfId="3000"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{A73E302A-B0A0-4A21-A131-37F551B390F7}</x14:id>
        </ext>
      </extLst>
    </cfRule>
    <cfRule type="containsText" dxfId="2999" priority="218" operator="containsText" text="N/A">
      <formula>NOT(ISERROR(SEARCH("N/A",F178)))</formula>
    </cfRule>
    <cfRule type="containsText" dxfId="2998"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{0E307B75-4281-4213-91DF-3B07B74CFEA8}</x14:id>
        </ext>
      </extLst>
    </cfRule>
    <cfRule type="containsText" dxfId="2997" priority="215" operator="containsText" text="Continue">
      <formula>NOT(ISERROR(SEARCH("Continue",F178)))</formula>
    </cfRule>
    <cfRule type="containsText" dxfId="2996" priority="216" operator="containsText" text="Stop">
      <formula>NOT(ISERROR(SEARCH("Stop",F178)))</formula>
    </cfRule>
    <cfRule type="containsText" dxfId="2995" priority="217" operator="containsText" text="Start">
      <formula>NOT(ISERROR(SEARCH("Start",F178)))</formula>
    </cfRule>
    <cfRule type="containsText" dxfId="2994" priority="219" operator="containsText" text="Exceeds">
      <formula>NOT(ISERROR(SEARCH("Exceeds",F178)))</formula>
    </cfRule>
    <cfRule type="containsText" dxfId="2993" priority="220" operator="containsText" text="Meets">
      <formula>NOT(ISERROR(SEARCH("Meets",F178)))</formula>
    </cfRule>
  </conditionalFormatting>
  <conditionalFormatting sqref="G29">
    <cfRule type="containsText" dxfId="2992" priority="385" operator="containsText" text="Exceeds">
      <formula>NOT(ISERROR(SEARCH("Exceeds",G29)))</formula>
    </cfRule>
    <cfRule type="containsText" dxfId="2991" priority="387" operator="containsText" text="Under">
      <formula>NOT(ISERROR(SEARCH("Under",G29)))</formula>
    </cfRule>
    <cfRule type="containsText" dxfId="2990" priority="383" operator="containsText" text="Start">
      <formula>NOT(ISERROR(SEARCH("Start",G29)))</formula>
    </cfRule>
    <cfRule type="containsText" dxfId="2989" priority="382" operator="containsText" text="Stop">
      <formula>NOT(ISERROR(SEARCH("Stop",G29)))</formula>
    </cfRule>
    <cfRule type="containsText" dxfId="2988" priority="381" operator="containsText" text="Continue">
      <formula>NOT(ISERROR(SEARCH("Continue",G29)))</formula>
    </cfRule>
    <cfRule type="containsText" dxfId="2987" priority="386" operator="containsText" text="Meets">
      <formula>NOT(ISERROR(SEARCH("Meets",G29)))</formula>
    </cfRule>
    <cfRule type="containsText" dxfId="2986" priority="384" operator="containsText" text="N/A">
      <formula>NOT(ISERROR(SEARCH("N/A",G29)))</formula>
    </cfRule>
  </conditionalFormatting>
  <conditionalFormatting sqref="G31">
    <cfRule type="containsText" dxfId="2985" priority="34" operator="containsText" text="Meets">
      <formula>NOT(ISERROR(SEARCH("Meets",G31)))</formula>
    </cfRule>
    <cfRule type="containsText" dxfId="2984" priority="33" operator="containsText" text="Exceeds">
      <formula>NOT(ISERROR(SEARCH("Exceeds",G31)))</formula>
    </cfRule>
    <cfRule type="containsText" dxfId="2983" priority="31" operator="containsText" text="Start">
      <formula>NOT(ISERROR(SEARCH("Start",G31)))</formula>
    </cfRule>
    <cfRule type="containsText" dxfId="2982" priority="30" operator="containsText" text="Stop">
      <formula>NOT(ISERROR(SEARCH("Stop",G31)))</formula>
    </cfRule>
    <cfRule type="containsText" dxfId="2981" priority="29" operator="containsText" text="Continue">
      <formula>NOT(ISERROR(SEARCH("Continue",G31)))</formula>
    </cfRule>
    <cfRule type="containsText" dxfId="2980" priority="35" operator="containsText" text="Under">
      <formula>NOT(ISERROR(SEARCH("Under",G31)))</formula>
    </cfRule>
    <cfRule type="containsText" dxfId="2979" priority="32" operator="containsText" text="N/A">
      <formula>NOT(ISERROR(SEARCH("N/A",G31)))</formula>
    </cfRule>
  </conditionalFormatting>
  <conditionalFormatting sqref="G35">
    <cfRule type="containsText" dxfId="2978" priority="97" operator="containsText" text="Exceeds">
      <formula>NOT(ISERROR(SEARCH("Exceeds",G35)))</formula>
    </cfRule>
    <cfRule type="containsText" dxfId="2977" priority="98" operator="containsText" text="Meets">
      <formula>NOT(ISERROR(SEARCH("Meets",G35)))</formula>
    </cfRule>
    <cfRule type="containsText" dxfId="2976" priority="99" operator="containsText" text="Under">
      <formula>NOT(ISERROR(SEARCH("Under",G35)))</formula>
    </cfRule>
    <cfRule type="containsText" dxfId="2975" priority="94" operator="containsText" text="Stop">
      <formula>NOT(ISERROR(SEARCH("Stop",G35)))</formula>
    </cfRule>
    <cfRule type="containsText" dxfId="2974" priority="93" operator="containsText" text="Continue">
      <formula>NOT(ISERROR(SEARCH("Continue",G35)))</formula>
    </cfRule>
    <cfRule type="containsText" dxfId="2973" priority="96" operator="containsText" text="N/A">
      <formula>NOT(ISERROR(SEARCH("N/A",G35)))</formula>
    </cfRule>
    <cfRule type="containsText" dxfId="2972"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{81A4DF97-AF9D-48F5-9631-4CA642F81967}</x14:id>
        </ext>
      </extLst>
    </cfRule>
  </conditionalFormatting>
  <conditionalFormatting sqref="G37">
    <cfRule type="containsText" dxfId="2971" priority="25" operator="containsText" text="N/A">
      <formula>NOT(ISERROR(SEARCH("N/A",G37)))</formula>
    </cfRule>
    <cfRule type="containsText" dxfId="2970" priority="26" operator="containsText" text="Exceeds">
      <formula>NOT(ISERROR(SEARCH("Exceeds",G37)))</formula>
    </cfRule>
    <cfRule type="containsText" dxfId="2969" priority="27" operator="containsText" text="Meets">
      <formula>NOT(ISERROR(SEARCH("Meets",G37)))</formula>
    </cfRule>
    <cfRule type="containsText" dxfId="2968" priority="28" operator="containsText" text="Under">
      <formula>NOT(ISERROR(SEARCH("Under",G37)))</formula>
    </cfRule>
    <cfRule type="containsText" dxfId="2967" priority="22" operator="containsText" text="Continue">
      <formula>NOT(ISERROR(SEARCH("Continue",G37)))</formula>
    </cfRule>
    <cfRule type="containsText" dxfId="2966" priority="23" operator="containsText" text="Stop">
      <formula>NOT(ISERROR(SEARCH("Stop",G37)))</formula>
    </cfRule>
    <cfRule type="containsText" dxfId="2965" priority="24" operator="containsText" text="Start">
      <formula>NOT(ISERROR(SEARCH("Start",G37)))</formula>
    </cfRule>
  </conditionalFormatting>
  <conditionalFormatting sqref="G41">
    <cfRule type="containsText" dxfId="2964" priority="85" operator="containsText" text="Continue">
      <formula>NOT(ISERROR(SEARCH("Continue",G41)))</formula>
    </cfRule>
    <cfRule type="containsText" dxfId="2963" priority="86" operator="containsText" text="Stop">
      <formula>NOT(ISERROR(SEARCH("Stop",G41)))</formula>
    </cfRule>
    <cfRule type="containsText" dxfId="2962" priority="87" operator="containsText" text="Start">
      <formula>NOT(ISERROR(SEARCH("Start",G41)))</formula>
    </cfRule>
    <cfRule type="containsText" dxfId="2961" priority="88" operator="containsText" text="N/A">
      <formula>NOT(ISERROR(SEARCH("N/A",G41)))</formula>
    </cfRule>
    <cfRule type="containsText" dxfId="2960" priority="89" operator="containsText" text="Exceeds">
      <formula>NOT(ISERROR(SEARCH("Exceeds",G41)))</formula>
    </cfRule>
    <cfRule type="containsText" dxfId="2959" priority="90" operator="containsText" text="Meets">
      <formula>NOT(ISERROR(SEARCH("Meets",G41)))</formula>
    </cfRule>
    <cfRule type="containsText" dxfId="2958"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{ADEFF1B7-36FC-47DB-9089-E172C5FE44C0}</x14:id>
        </ext>
      </extLst>
    </cfRule>
  </conditionalFormatting>
  <conditionalFormatting sqref="G43">
    <cfRule type="containsText" dxfId="2957" priority="17" operator="containsText" text="Start">
      <formula>NOT(ISERROR(SEARCH("Start",G43)))</formula>
    </cfRule>
    <cfRule type="containsText" dxfId="2956" priority="16" operator="containsText" text="Stop">
      <formula>NOT(ISERROR(SEARCH("Stop",G43)))</formula>
    </cfRule>
    <cfRule type="containsText" dxfId="2955" priority="20" operator="containsText" text="Meets">
      <formula>NOT(ISERROR(SEARCH("Meets",G43)))</formula>
    </cfRule>
    <cfRule type="containsText" dxfId="2954" priority="15" operator="containsText" text="Continue">
      <formula>NOT(ISERROR(SEARCH("Continue",G43)))</formula>
    </cfRule>
    <cfRule type="containsText" dxfId="2953" priority="19" operator="containsText" text="Exceeds">
      <formula>NOT(ISERROR(SEARCH("Exceeds",G43)))</formula>
    </cfRule>
    <cfRule type="containsText" dxfId="2952" priority="21" operator="containsText" text="Under">
      <formula>NOT(ISERROR(SEARCH("Under",G43)))</formula>
    </cfRule>
    <cfRule type="containsText" dxfId="2951" priority="18" operator="containsText" text="N/A">
      <formula>NOT(ISERROR(SEARCH("N/A",G43)))</formula>
    </cfRule>
  </conditionalFormatting>
  <conditionalFormatting sqref="G47">
    <cfRule type="containsText" dxfId="2950" priority="78" operator="containsText" text="Stop">
      <formula>NOT(ISERROR(SEARCH("Stop",G47)))</formula>
    </cfRule>
    <cfRule type="containsText" dxfId="2949" priority="77" operator="containsText" text="Continue">
      <formula>NOT(ISERROR(SEARCH("Continue",G47)))</formula>
    </cfRule>
    <cfRule type="containsText" dxfId="2948" priority="79" operator="containsText" text="Start">
      <formula>NOT(ISERROR(SEARCH("Start",G47)))</formula>
    </cfRule>
    <cfRule type="containsText" dxfId="2947" priority="80" operator="containsText" text="N/A">
      <formula>NOT(ISERROR(SEARCH("N/A",G47)))</formula>
    </cfRule>
    <cfRule type="containsText" dxfId="2946" priority="81" operator="containsText" text="Exceeds">
      <formula>NOT(ISERROR(SEARCH("Exceeds",G47)))</formula>
    </cfRule>
    <cfRule type="containsText" dxfId="2945" priority="82" operator="containsText" text="Meets">
      <formula>NOT(ISERROR(SEARCH("Meets",G47)))</formula>
    </cfRule>
    <cfRule type="containsText" dxfId="2944"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{DB10F470-3FD7-429F-B839-0B24ACB5FD86}</x14:id>
        </ext>
      </extLst>
    </cfRule>
  </conditionalFormatting>
  <conditionalFormatting sqref="G49">
    <cfRule type="containsText" dxfId="2943" priority="14" operator="containsText" text="Under">
      <formula>NOT(ISERROR(SEARCH("Under",G49)))</formula>
    </cfRule>
    <cfRule type="containsText" dxfId="2942" priority="13" operator="containsText" text="Meets">
      <formula>NOT(ISERROR(SEARCH("Meets",G49)))</formula>
    </cfRule>
    <cfRule type="containsText" dxfId="2941" priority="12" operator="containsText" text="Exceeds">
      <formula>NOT(ISERROR(SEARCH("Exceeds",G49)))</formula>
    </cfRule>
    <cfRule type="containsText" dxfId="2940" priority="11" operator="containsText" text="N/A">
      <formula>NOT(ISERROR(SEARCH("N/A",G49)))</formula>
    </cfRule>
    <cfRule type="containsText" dxfId="2939" priority="10" operator="containsText" text="Start">
      <formula>NOT(ISERROR(SEARCH("Start",G49)))</formula>
    </cfRule>
    <cfRule type="containsText" dxfId="2938" priority="9" operator="containsText" text="Stop">
      <formula>NOT(ISERROR(SEARCH("Stop",G49)))</formula>
    </cfRule>
    <cfRule type="containsText" dxfId="2937" priority="8" operator="containsText" text="Continue">
      <formula>NOT(ISERROR(SEARCH("Continue",G49)))</formula>
    </cfRule>
  </conditionalFormatting>
  <conditionalFormatting sqref="G53">
    <cfRule type="containsText" dxfId="2936" priority="73" operator="containsText" text="Exceeds">
      <formula>NOT(ISERROR(SEARCH("Exceeds",G53)))</formula>
    </cfRule>
    <cfRule type="containsText" dxfId="2935" priority="69" operator="containsText" text="Continue">
      <formula>NOT(ISERROR(SEARCH("Continue",G53)))</formula>
    </cfRule>
    <cfRule type="containsText" dxfId="2934" priority="74" operator="containsText" text="Meets">
      <formula>NOT(ISERROR(SEARCH("Meets",G53)))</formula>
    </cfRule>
    <cfRule type="containsText" dxfId="2933" priority="71" operator="containsText" text="Start">
      <formula>NOT(ISERROR(SEARCH("Start",G53)))</formula>
    </cfRule>
    <cfRule type="containsText" dxfId="2932" priority="72" operator="containsText" text="N/A">
      <formula>NOT(ISERROR(SEARCH("N/A",G53)))</formula>
    </cfRule>
    <cfRule type="containsText" dxfId="2931" priority="75" operator="containsText" text="Under">
      <formula>NOT(ISERROR(SEARCH("Under",G53)))</formula>
    </cfRule>
    <cfRule type="containsText" dxfId="2930"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{DDD33793-0A0E-4B29-BB16-9D50E1462E77}</x14:id>
        </ext>
      </extLst>
    </cfRule>
  </conditionalFormatting>
  <conditionalFormatting sqref="G55">
    <cfRule type="containsText" dxfId="2929" priority="7" operator="containsText" text="Under">
      <formula>NOT(ISERROR(SEARCH("Under",G55)))</formula>
    </cfRule>
    <cfRule type="containsText" dxfId="2928" priority="1" operator="containsText" text="Continue">
      <formula>NOT(ISERROR(SEARCH("Continue",G55)))</formula>
    </cfRule>
    <cfRule type="containsText" dxfId="2927" priority="2" operator="containsText" text="Stop">
      <formula>NOT(ISERROR(SEARCH("Stop",G55)))</formula>
    </cfRule>
    <cfRule type="containsText" dxfId="2926" priority="3" operator="containsText" text="Start">
      <formula>NOT(ISERROR(SEARCH("Start",G55)))</formula>
    </cfRule>
    <cfRule type="containsText" dxfId="2925" priority="4" operator="containsText" text="N/A">
      <formula>NOT(ISERROR(SEARCH("N/A",G55)))</formula>
    </cfRule>
    <cfRule type="containsText" dxfId="2924" priority="5" operator="containsText" text="Exceeds">
      <formula>NOT(ISERROR(SEARCH("Exceeds",G55)))</formula>
    </cfRule>
    <cfRule type="containsText" dxfId="2923" priority="6" operator="containsText" text="Meets">
      <formula>NOT(ISERROR(SEARCH("Meets",G55)))</formula>
    </cfRule>
  </conditionalFormatting>
  <conditionalFormatting sqref="G59">
    <cfRule type="containsText" dxfId="2922" priority="67" operator="containsText" text="Under">
      <formula>NOT(ISERROR(SEARCH("Under",G59)))</formula>
    </cfRule>
    <cfRule type="containsText" dxfId="2921" priority="66" operator="containsText" text="Meets">
      <formula>NOT(ISERROR(SEARCH("Meets",G59)))</formula>
    </cfRule>
    <cfRule type="containsText" dxfId="2920" priority="65" operator="containsText" text="Exceeds">
      <formula>NOT(ISERROR(SEARCH("Exceeds",G59)))</formula>
    </cfRule>
    <cfRule type="containsText" dxfId="2919" priority="61" operator="containsText" text="Continue">
      <formula>NOT(ISERROR(SEARCH("Continue",G59)))</formula>
    </cfRule>
    <cfRule type="containsText" dxfId="2918" priority="62" operator="containsText" text="Stop">
      <formula>NOT(ISERROR(SEARCH("Stop",G59)))</formula>
    </cfRule>
    <cfRule type="containsText" dxfId="2917" priority="63" operator="containsText" text="Start">
      <formula>NOT(ISERROR(SEARCH("Start",G59)))</formula>
    </cfRule>
    <cfRule type="containsText" dxfId="2916"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{DB960F3D-F0D5-4EF1-B9B3-037FDF3BCFBF}</x14:id>
        </ext>
      </extLst>
    </cfRule>
  </conditionalFormatting>
  <conditionalFormatting sqref="G61">
    <cfRule type="containsText" dxfId="2915" priority="41" operator="containsText" text="Exceeds">
      <formula>NOT(ISERROR(SEARCH("Exceeds",G61)))</formula>
    </cfRule>
    <cfRule type="containsText" dxfId="2914" priority="42" operator="containsText" text="Meets">
      <formula>NOT(ISERROR(SEARCH("Meets",G61)))</formula>
    </cfRule>
    <cfRule type="containsText" dxfId="2913" priority="43" operator="containsText" text="Under">
      <formula>NOT(ISERROR(SEARCH("Under",G61)))</formula>
    </cfRule>
    <cfRule type="containsText" dxfId="2912" priority="40" operator="containsText" text="N/A">
      <formula>NOT(ISERROR(SEARCH("N/A",G61)))</formula>
    </cfRule>
    <cfRule type="containsText" dxfId="2911" priority="39" operator="containsText" text="Start">
      <formula>NOT(ISERROR(SEARCH("Start",G61)))</formula>
    </cfRule>
    <cfRule type="containsText" dxfId="2910" priority="38" operator="containsText" text="Stop">
      <formula>NOT(ISERROR(SEARCH("Stop",G61)))</formula>
    </cfRule>
    <cfRule type="containsText" dxfId="2909"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{15CEAE30-4CD6-41DA-9A5E-F042EB6830CF}</x14:id>
        </ext>
      </extLst>
    </cfRule>
  </conditionalFormatting>
  <conditionalFormatting sqref="G65">
    <cfRule type="containsText" dxfId="2908" priority="59" operator="containsText" text="Under">
      <formula>NOT(ISERROR(SEARCH("Under",G65)))</formula>
    </cfRule>
    <cfRule type="containsText" dxfId="2907" priority="57" operator="containsText" text="Exceeds">
      <formula>NOT(ISERROR(SEARCH("Exceeds",G65)))</formula>
    </cfRule>
    <cfRule type="containsText" dxfId="2906" priority="56" operator="containsText" text="N/A">
      <formula>NOT(ISERROR(SEARCH("N/A",G65)))</formula>
    </cfRule>
    <cfRule type="containsText" dxfId="2905" priority="53" operator="containsText" text="Continue">
      <formula>NOT(ISERROR(SEARCH("Continue",G65)))</formula>
    </cfRule>
    <cfRule type="containsText" dxfId="2904" priority="54" operator="containsText" text="Stop">
      <formula>NOT(ISERROR(SEARCH("Stop",G65)))</formula>
    </cfRule>
    <cfRule type="containsText" dxfId="2903" priority="58" operator="containsText" text="Meets">
      <formula>NOT(ISERROR(SEARCH("Meets",G65)))</formula>
    </cfRule>
    <cfRule type="containsText" dxfId="2902"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{973C9995-F900-4499-A852-9BF71A7D3A55}</x14:id>
        </ext>
      </extLst>
    </cfRule>
  </conditionalFormatting>
  <conditionalFormatting sqref="G67">
    <cfRule type="containsText" dxfId="2901" priority="45" operator="containsText" text="Continue">
      <formula>NOT(ISERROR(SEARCH("Continue",G67)))</formula>
    </cfRule>
    <cfRule type="containsText" dxfId="2900" priority="47" operator="containsText" text="Start">
      <formula>NOT(ISERROR(SEARCH("Start",G67)))</formula>
    </cfRule>
    <cfRule type="containsText" dxfId="2899" priority="48" operator="containsText" text="N/A">
      <formula>NOT(ISERROR(SEARCH("N/A",G67)))</formula>
    </cfRule>
    <cfRule type="containsText" dxfId="2898" priority="49" operator="containsText" text="Exceeds">
      <formula>NOT(ISERROR(SEARCH("Exceeds",G67)))</formula>
    </cfRule>
    <cfRule type="containsText" dxfId="2897" priority="50" operator="containsText" text="Meets">
      <formula>NOT(ISERROR(SEARCH("Meets",G67)))</formula>
    </cfRule>
    <cfRule type="containsText" dxfId="2896" priority="46" operator="containsText" text="Stop">
      <formula>NOT(ISERROR(SEARCH("Stop",G67)))</formula>
    </cfRule>
    <cfRule type="containsText" dxfId="2895"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{A90BC395-92AE-418B-812E-5A6E02747124}</x14:id>
        </ext>
      </extLst>
    </cfRule>
  </conditionalFormatting>
  <conditionalFormatting sqref="G159 G161">
    <cfRule type="containsText" dxfId="2894" priority="308" operator="containsText" text="Continue">
      <formula>NOT(ISERROR(SEARCH("Continue",G159)))</formula>
    </cfRule>
    <cfRule type="containsText" dxfId="2893" priority="309" operator="containsText" text="Stop">
      <formula>NOT(ISERROR(SEARCH("Stop",G159)))</formula>
    </cfRule>
    <cfRule type="containsText" dxfId="2892" priority="310" operator="containsText" text="Start">
      <formula>NOT(ISERROR(SEARCH("Start",G159)))</formula>
    </cfRule>
    <cfRule type="containsText" dxfId="2891" priority="311" operator="containsText" text="N/A">
      <formula>NOT(ISERROR(SEARCH("N/A",G159)))</formula>
    </cfRule>
    <cfRule type="containsText" dxfId="2890" priority="312" operator="containsText" text="Exceeds">
      <formula>NOT(ISERROR(SEARCH("Exceeds",G159)))</formula>
    </cfRule>
    <cfRule type="containsText" dxfId="2889" priority="314" operator="containsText" text="Under">
      <formula>NOT(ISERROR(SEARCH("Under",G159)))</formula>
    </cfRule>
    <cfRule type="containsText" dxfId="2888" priority="313" operator="containsText" text="Meets">
      <formula>NOT(ISERROR(SEARCH("Meets",G159)))</formula>
    </cfRule>
  </conditionalFormatting>
  <conditionalFormatting sqref="G164 G166">
    <cfRule type="containsText" dxfId="2887" priority="291" operator="containsText" text="Under">
      <formula>NOT(ISERROR(SEARCH("Under",G164)))</formula>
    </cfRule>
    <cfRule type="containsText" dxfId="2886" priority="285" operator="containsText" text="Continue">
      <formula>NOT(ISERROR(SEARCH("Continue",G164)))</formula>
    </cfRule>
    <cfRule type="containsText" dxfId="2885" priority="286" operator="containsText" text="Stop">
      <formula>NOT(ISERROR(SEARCH("Stop",G164)))</formula>
    </cfRule>
    <cfRule type="containsText" dxfId="2884" priority="288" operator="containsText" text="N/A">
      <formula>NOT(ISERROR(SEARCH("N/A",G164)))</formula>
    </cfRule>
    <cfRule type="containsText" dxfId="2883" priority="289" operator="containsText" text="Exceeds">
      <formula>NOT(ISERROR(SEARCH("Exceeds",G164)))</formula>
    </cfRule>
    <cfRule type="containsText" dxfId="2882" priority="290" operator="containsText" text="Meets">
      <formula>NOT(ISERROR(SEARCH("Meets",G164)))</formula>
    </cfRule>
    <cfRule type="containsText" dxfId="2881" priority="287" operator="containsText" text="Start">
      <formula>NOT(ISERROR(SEARCH("Start",G164)))</formula>
    </cfRule>
  </conditionalFormatting>
  <conditionalFormatting sqref="G169 G171">
    <cfRule type="containsText" dxfId="2880" priority="258" operator="containsText" text="N/A">
      <formula>NOT(ISERROR(SEARCH("N/A",G169)))</formula>
    </cfRule>
    <cfRule type="containsText" dxfId="2879" priority="259" operator="containsText" text="Exceeds">
      <formula>NOT(ISERROR(SEARCH("Exceeds",G169)))</formula>
    </cfRule>
    <cfRule type="containsText" dxfId="2878" priority="260" operator="containsText" text="Meets">
      <formula>NOT(ISERROR(SEARCH("Meets",G169)))</formula>
    </cfRule>
    <cfRule type="containsText" dxfId="2877" priority="261" operator="containsText" text="Under">
      <formula>NOT(ISERROR(SEARCH("Under",G169)))</formula>
    </cfRule>
    <cfRule type="containsText" dxfId="2876" priority="256" operator="containsText" text="Stop">
      <formula>NOT(ISERROR(SEARCH("Stop",G169)))</formula>
    </cfRule>
    <cfRule type="containsText" dxfId="2875" priority="257" operator="containsText" text="Start">
      <formula>NOT(ISERROR(SEARCH("Start",G169)))</formula>
    </cfRule>
    <cfRule type="containsText" dxfId="2874" priority="255" operator="containsText" text="Continue">
      <formula>NOT(ISERROR(SEARCH("Continue",G169)))</formula>
    </cfRule>
  </conditionalFormatting>
  <conditionalFormatting sqref="J29">
    <cfRule type="containsText" dxfId="2873" priority="374" operator="containsText" text="Continue">
      <formula>NOT(ISERROR(SEARCH("Continue",J29)))</formula>
    </cfRule>
    <cfRule type="containsText" dxfId="2872" priority="379" operator="containsText" text="Meets">
      <formula>NOT(ISERROR(SEARCH("Meets",J29)))</formula>
    </cfRule>
    <cfRule type="containsText" dxfId="2871" priority="380" operator="containsText" text="Under">
      <formula>NOT(ISERROR(SEARCH("Under",J29)))</formula>
    </cfRule>
    <cfRule type="containsText" dxfId="2870" priority="378" operator="containsText" text="Exceeds">
      <formula>NOT(ISERROR(SEARCH("Exceeds",J29)))</formula>
    </cfRule>
    <cfRule type="containsText" dxfId="2869" priority="377" operator="containsText" text="N/A">
      <formula>NOT(ISERROR(SEARCH("N/A",J29)))</formula>
    </cfRule>
    <cfRule type="containsText" dxfId="2868" priority="376" operator="containsText" text="Start">
      <formula>NOT(ISERROR(SEARCH("Start",J29)))</formula>
    </cfRule>
    <cfRule type="containsText" dxfId="2867" priority="375" operator="containsText" text="Stop">
      <formula>NOT(ISERROR(SEARCH("Stop",J29)))</formula>
    </cfRule>
  </conditionalFormatting>
  <conditionalFormatting sqref="J31">
    <cfRule type="containsText" dxfId="2866" priority="208" operator="containsText" text="Stop">
      <formula>NOT(ISERROR(SEARCH("Stop",J31)))</formula>
    </cfRule>
    <cfRule type="containsText" dxfId="2865" priority="212" operator="containsText" text="Meets">
      <formula>NOT(ISERROR(SEARCH("Meets",J31)))</formula>
    </cfRule>
    <cfRule type="containsText" dxfId="2864" priority="211" operator="containsText" text="Exceeds">
      <formula>NOT(ISERROR(SEARCH("Exceeds",J31)))</formula>
    </cfRule>
    <cfRule type="containsText" dxfId="2863" priority="210" operator="containsText" text="N/A">
      <formula>NOT(ISERROR(SEARCH("N/A",J31)))</formula>
    </cfRule>
    <cfRule type="containsText" dxfId="2862" priority="209" operator="containsText" text="Start">
      <formula>NOT(ISERROR(SEARCH("Start",J31)))</formula>
    </cfRule>
    <cfRule type="containsText" dxfId="2861" priority="207" operator="containsText" text="Continue">
      <formula>NOT(ISERROR(SEARCH("Continue",J31)))</formula>
    </cfRule>
    <cfRule type="containsText" dxfId="2860" priority="213" operator="containsText" text="Under">
      <formula>NOT(ISERROR(SEARCH("Under",J31)))</formula>
    </cfRule>
  </conditionalFormatting>
  <conditionalFormatting sqref="J35">
    <cfRule type="containsText" dxfId="2859" priority="205" operator="containsText" text="Under">
      <formula>NOT(ISERROR(SEARCH("Under",J35)))</formula>
    </cfRule>
    <cfRule type="containsText" dxfId="2858" priority="199" operator="containsText" text="Continue">
      <formula>NOT(ISERROR(SEARCH("Continue",J35)))</formula>
    </cfRule>
    <cfRule type="containsText" dxfId="2857" priority="200" operator="containsText" text="Stop">
      <formula>NOT(ISERROR(SEARCH("Stop",J35)))</formula>
    </cfRule>
    <cfRule type="containsText" dxfId="2856" priority="201" operator="containsText" text="Start">
      <formula>NOT(ISERROR(SEARCH("Start",J35)))</formula>
    </cfRule>
    <cfRule type="containsText" dxfId="2855" priority="204" operator="containsText" text="Meets">
      <formula>NOT(ISERROR(SEARCH("Meets",J35)))</formula>
    </cfRule>
    <cfRule type="containsText" dxfId="2854" priority="203" operator="containsText" text="Exceeds">
      <formula>NOT(ISERROR(SEARCH("Exceeds",J35)))</formula>
    </cfRule>
    <cfRule type="containsText" dxfId="2853" priority="202" operator="containsText" text="N/A">
      <formula>NOT(ISERROR(SEARCH("N/A",J35)))</formula>
    </cfRule>
  </conditionalFormatting>
  <conditionalFormatting sqref="J37">
    <cfRule type="containsText" dxfId="2852" priority="195" operator="containsText" text="N/A">
      <formula>NOT(ISERROR(SEARCH("N/A",J37)))</formula>
    </cfRule>
    <cfRule type="containsText" dxfId="2851" priority="196" operator="containsText" text="Exceeds">
      <formula>NOT(ISERROR(SEARCH("Exceeds",J37)))</formula>
    </cfRule>
    <cfRule type="containsText" dxfId="2850" priority="194" operator="containsText" text="Start">
      <formula>NOT(ISERROR(SEARCH("Start",J37)))</formula>
    </cfRule>
    <cfRule type="containsText" dxfId="2849" priority="193" operator="containsText" text="Stop">
      <formula>NOT(ISERROR(SEARCH("Stop",J37)))</formula>
    </cfRule>
    <cfRule type="containsText" dxfId="2848" priority="192" operator="containsText" text="Continue">
      <formula>NOT(ISERROR(SEARCH("Continue",J37)))</formula>
    </cfRule>
    <cfRule type="containsText" dxfId="2847" priority="197" operator="containsText" text="Meets">
      <formula>NOT(ISERROR(SEARCH("Meets",J37)))</formula>
    </cfRule>
    <cfRule type="containsText" dxfId="2846" priority="198" operator="containsText" text="Under">
      <formula>NOT(ISERROR(SEARCH("Under",J37)))</formula>
    </cfRule>
  </conditionalFormatting>
  <conditionalFormatting sqref="J41">
    <cfRule type="containsText" dxfId="2845" priority="189" operator="containsText" text="Meets">
      <formula>NOT(ISERROR(SEARCH("Meets",J41)))</formula>
    </cfRule>
    <cfRule type="containsText" dxfId="2844" priority="186" operator="containsText" text="Start">
      <formula>NOT(ISERROR(SEARCH("Start",J41)))</formula>
    </cfRule>
    <cfRule type="containsText" dxfId="2843" priority="187" operator="containsText" text="N/A">
      <formula>NOT(ISERROR(SEARCH("N/A",J41)))</formula>
    </cfRule>
    <cfRule type="containsText" dxfId="2842" priority="188" operator="containsText" text="Exceeds">
      <formula>NOT(ISERROR(SEARCH("Exceeds",J41)))</formula>
    </cfRule>
    <cfRule type="containsText" dxfId="2841" priority="190" operator="containsText" text="Under">
      <formula>NOT(ISERROR(SEARCH("Under",J41)))</formula>
    </cfRule>
    <cfRule type="containsText" dxfId="2840" priority="184" operator="containsText" text="Continue">
      <formula>NOT(ISERROR(SEARCH("Continue",J41)))</formula>
    </cfRule>
    <cfRule type="containsText" dxfId="2839" priority="185" operator="containsText" text="Stop">
      <formula>NOT(ISERROR(SEARCH("Stop",J41)))</formula>
    </cfRule>
  </conditionalFormatting>
  <conditionalFormatting sqref="J43">
    <cfRule type="containsText" dxfId="2838" priority="179" operator="containsText" text="Start">
      <formula>NOT(ISERROR(SEARCH("Start",J43)))</formula>
    </cfRule>
    <cfRule type="containsText" dxfId="2837" priority="182" operator="containsText" text="Meets">
      <formula>NOT(ISERROR(SEARCH("Meets",J43)))</formula>
    </cfRule>
    <cfRule type="containsText" dxfId="2836" priority="177" operator="containsText" text="Continue">
      <formula>NOT(ISERROR(SEARCH("Continue",J43)))</formula>
    </cfRule>
    <cfRule type="containsText" dxfId="2835" priority="180" operator="containsText" text="N/A">
      <formula>NOT(ISERROR(SEARCH("N/A",J43)))</formula>
    </cfRule>
    <cfRule type="containsText" dxfId="2834" priority="183" operator="containsText" text="Under">
      <formula>NOT(ISERROR(SEARCH("Under",J43)))</formula>
    </cfRule>
    <cfRule type="containsText" dxfId="2833" priority="181" operator="containsText" text="Exceeds">
      <formula>NOT(ISERROR(SEARCH("Exceeds",J43)))</formula>
    </cfRule>
    <cfRule type="containsText" dxfId="2832" priority="178" operator="containsText" text="Stop">
      <formula>NOT(ISERROR(SEARCH("Stop",J43)))</formula>
    </cfRule>
  </conditionalFormatting>
  <conditionalFormatting sqref="J47">
    <cfRule type="containsText" dxfId="2831" priority="173" operator="containsText" text="Exceeds">
      <formula>NOT(ISERROR(SEARCH("Exceeds",J47)))</formula>
    </cfRule>
    <cfRule type="containsText" dxfId="2830" priority="169" operator="containsText" text="Continue">
      <formula>NOT(ISERROR(SEARCH("Continue",J47)))</formula>
    </cfRule>
    <cfRule type="containsText" dxfId="2829" priority="170" operator="containsText" text="Stop">
      <formula>NOT(ISERROR(SEARCH("Stop",J47)))</formula>
    </cfRule>
    <cfRule type="containsText" dxfId="2828" priority="172" operator="containsText" text="N/A">
      <formula>NOT(ISERROR(SEARCH("N/A",J47)))</formula>
    </cfRule>
    <cfRule type="containsText" dxfId="2827" priority="174" operator="containsText" text="Meets">
      <formula>NOT(ISERROR(SEARCH("Meets",J47)))</formula>
    </cfRule>
    <cfRule type="containsText" dxfId="2826" priority="175" operator="containsText" text="Under">
      <formula>NOT(ISERROR(SEARCH("Under",J47)))</formula>
    </cfRule>
    <cfRule type="containsText" dxfId="2825" priority="171" operator="containsText" text="Start">
      <formula>NOT(ISERROR(SEARCH("Start",J47)))</formula>
    </cfRule>
  </conditionalFormatting>
  <conditionalFormatting sqref="J49">
    <cfRule type="containsText" dxfId="2824" priority="168" operator="containsText" text="Under">
      <formula>NOT(ISERROR(SEARCH("Under",J49)))</formula>
    </cfRule>
    <cfRule type="containsText" dxfId="2823" priority="163" operator="containsText" text="Stop">
      <formula>NOT(ISERROR(SEARCH("Stop",J49)))</formula>
    </cfRule>
    <cfRule type="containsText" dxfId="2822" priority="167" operator="containsText" text="Meets">
      <formula>NOT(ISERROR(SEARCH("Meets",J49)))</formula>
    </cfRule>
    <cfRule type="containsText" dxfId="2821" priority="164" operator="containsText" text="Start">
      <formula>NOT(ISERROR(SEARCH("Start",J49)))</formula>
    </cfRule>
    <cfRule type="containsText" dxfId="2820" priority="162" operator="containsText" text="Continue">
      <formula>NOT(ISERROR(SEARCH("Continue",J49)))</formula>
    </cfRule>
    <cfRule type="containsText" dxfId="2819" priority="165" operator="containsText" text="N/A">
      <formula>NOT(ISERROR(SEARCH("N/A",J49)))</formula>
    </cfRule>
    <cfRule type="containsText" dxfId="2818" priority="166" operator="containsText" text="Exceeds">
      <formula>NOT(ISERROR(SEARCH("Exceeds",J49)))</formula>
    </cfRule>
  </conditionalFormatting>
  <conditionalFormatting sqref="J53">
    <cfRule type="containsText" dxfId="2817" priority="154" operator="containsText" text="Continue">
      <formula>NOT(ISERROR(SEARCH("Continue",J53)))</formula>
    </cfRule>
    <cfRule type="containsText" dxfId="2816" priority="155" operator="containsText" text="Stop">
      <formula>NOT(ISERROR(SEARCH("Stop",J53)))</formula>
    </cfRule>
    <cfRule type="containsText" dxfId="2815" priority="156" operator="containsText" text="Start">
      <formula>NOT(ISERROR(SEARCH("Start",J53)))</formula>
    </cfRule>
    <cfRule type="containsText" dxfId="2814" priority="157" operator="containsText" text="N/A">
      <formula>NOT(ISERROR(SEARCH("N/A",J53)))</formula>
    </cfRule>
    <cfRule type="containsText" dxfId="2813" priority="158" operator="containsText" text="Exceeds">
      <formula>NOT(ISERROR(SEARCH("Exceeds",J53)))</formula>
    </cfRule>
    <cfRule type="containsText" dxfId="2812" priority="159" operator="containsText" text="Meets">
      <formula>NOT(ISERROR(SEARCH("Meets",J53)))</formula>
    </cfRule>
    <cfRule type="containsText" dxfId="2811" priority="160" operator="containsText" text="Under">
      <formula>NOT(ISERROR(SEARCH("Under",J53)))</formula>
    </cfRule>
  </conditionalFormatting>
  <conditionalFormatting sqref="J55">
    <cfRule type="containsText" dxfId="2810" priority="147" operator="containsText" text="Continue">
      <formula>NOT(ISERROR(SEARCH("Continue",J55)))</formula>
    </cfRule>
    <cfRule type="containsText" dxfId="2809" priority="151" operator="containsText" text="Exceeds">
      <formula>NOT(ISERROR(SEARCH("Exceeds",J55)))</formula>
    </cfRule>
    <cfRule type="containsText" dxfId="2808" priority="152" operator="containsText" text="Meets">
      <formula>NOT(ISERROR(SEARCH("Meets",J55)))</formula>
    </cfRule>
    <cfRule type="containsText" dxfId="2807" priority="153" operator="containsText" text="Under">
      <formula>NOT(ISERROR(SEARCH("Under",J55)))</formula>
    </cfRule>
    <cfRule type="containsText" dxfId="2806" priority="148" operator="containsText" text="Stop">
      <formula>NOT(ISERROR(SEARCH("Stop",J55)))</formula>
    </cfRule>
    <cfRule type="containsText" dxfId="2805" priority="149" operator="containsText" text="Start">
      <formula>NOT(ISERROR(SEARCH("Start",J55)))</formula>
    </cfRule>
    <cfRule type="containsText" dxfId="2804" priority="150" operator="containsText" text="N/A">
      <formula>NOT(ISERROR(SEARCH("N/A",J55)))</formula>
    </cfRule>
  </conditionalFormatting>
  <conditionalFormatting sqref="J59">
    <cfRule type="containsText" dxfId="2803" priority="139" operator="containsText" text="Continue">
      <formula>NOT(ISERROR(SEARCH("Continue",J59)))</formula>
    </cfRule>
    <cfRule type="containsText" dxfId="2802" priority="140" operator="containsText" text="Stop">
      <formula>NOT(ISERROR(SEARCH("Stop",J59)))</formula>
    </cfRule>
    <cfRule type="containsText" dxfId="2801" priority="141" operator="containsText" text="Start">
      <formula>NOT(ISERROR(SEARCH("Start",J59)))</formula>
    </cfRule>
    <cfRule type="containsText" dxfId="2800" priority="142" operator="containsText" text="N/A">
      <formula>NOT(ISERROR(SEARCH("N/A",J59)))</formula>
    </cfRule>
    <cfRule type="containsText" dxfId="2799" priority="143" operator="containsText" text="Exceeds">
      <formula>NOT(ISERROR(SEARCH("Exceeds",J59)))</formula>
    </cfRule>
    <cfRule type="containsText" dxfId="2798" priority="144" operator="containsText" text="Meets">
      <formula>NOT(ISERROR(SEARCH("Meets",J59)))</formula>
    </cfRule>
    <cfRule type="containsText" dxfId="2797" priority="145" operator="containsText" text="Under">
      <formula>NOT(ISERROR(SEARCH("Under",J59)))</formula>
    </cfRule>
  </conditionalFormatting>
  <conditionalFormatting sqref="J61">
    <cfRule type="containsText" dxfId="2796" priority="134" operator="containsText" text="Start">
      <formula>NOT(ISERROR(SEARCH("Start",J61)))</formula>
    </cfRule>
    <cfRule type="containsText" dxfId="2795" priority="133" operator="containsText" text="Stop">
      <formula>NOT(ISERROR(SEARCH("Stop",J61)))</formula>
    </cfRule>
    <cfRule type="containsText" dxfId="2794" priority="135" operator="containsText" text="N/A">
      <formula>NOT(ISERROR(SEARCH("N/A",J61)))</formula>
    </cfRule>
    <cfRule type="containsText" dxfId="2793" priority="132" operator="containsText" text="Continue">
      <formula>NOT(ISERROR(SEARCH("Continue",J61)))</formula>
    </cfRule>
    <cfRule type="containsText" dxfId="2792" priority="136" operator="containsText" text="Exceeds">
      <formula>NOT(ISERROR(SEARCH("Exceeds",J61)))</formula>
    </cfRule>
    <cfRule type="containsText" dxfId="2791" priority="137" operator="containsText" text="Meets">
      <formula>NOT(ISERROR(SEARCH("Meets",J61)))</formula>
    </cfRule>
    <cfRule type="containsText" dxfId="2790" priority="138" operator="containsText" text="Under">
      <formula>NOT(ISERROR(SEARCH("Under",J61)))</formula>
    </cfRule>
  </conditionalFormatting>
  <conditionalFormatting sqref="J65">
    <cfRule type="containsText" dxfId="2789" priority="127" operator="containsText" text="N/A">
      <formula>NOT(ISERROR(SEARCH("N/A",J65)))</formula>
    </cfRule>
    <cfRule type="containsText" dxfId="2788" priority="126" operator="containsText" text="Start">
      <formula>NOT(ISERROR(SEARCH("Start",J65)))</formula>
    </cfRule>
    <cfRule type="containsText" dxfId="2787" priority="125" operator="containsText" text="Stop">
      <formula>NOT(ISERROR(SEARCH("Stop",J65)))</formula>
    </cfRule>
    <cfRule type="containsText" dxfId="2786" priority="124" operator="containsText" text="Continue">
      <formula>NOT(ISERROR(SEARCH("Continue",J65)))</formula>
    </cfRule>
    <cfRule type="containsText" dxfId="2785" priority="130" operator="containsText" text="Under">
      <formula>NOT(ISERROR(SEARCH("Under",J65)))</formula>
    </cfRule>
    <cfRule type="containsText" dxfId="2784" priority="129" operator="containsText" text="Meets">
      <formula>NOT(ISERROR(SEARCH("Meets",J65)))</formula>
    </cfRule>
    <cfRule type="containsText" dxfId="2783" priority="128" operator="containsText" text="Exceeds">
      <formula>NOT(ISERROR(SEARCH("Exceeds",J65)))</formula>
    </cfRule>
  </conditionalFormatting>
  <conditionalFormatting sqref="J67">
    <cfRule type="containsText" dxfId="2782" priority="121" operator="containsText" text="Exceeds">
      <formula>NOT(ISERROR(SEARCH("Exceeds",J67)))</formula>
    </cfRule>
    <cfRule type="containsText" dxfId="2781" priority="120" operator="containsText" text="N/A">
      <formula>NOT(ISERROR(SEARCH("N/A",J67)))</formula>
    </cfRule>
    <cfRule type="containsText" dxfId="2780" priority="119" operator="containsText" text="Start">
      <formula>NOT(ISERROR(SEARCH("Start",J67)))</formula>
    </cfRule>
    <cfRule type="containsText" dxfId="2779" priority="118" operator="containsText" text="Stop">
      <formula>NOT(ISERROR(SEARCH("Stop",J67)))</formula>
    </cfRule>
    <cfRule type="containsText" dxfId="2778" priority="117" operator="containsText" text="Continue">
      <formula>NOT(ISERROR(SEARCH("Continue",J67)))</formula>
    </cfRule>
    <cfRule type="containsText" dxfId="2777" priority="123" operator="containsText" text="Under">
      <formula>NOT(ISERROR(SEARCH("Under",J67)))</formula>
    </cfRule>
    <cfRule type="containsText" dxfId="2776" priority="122" operator="containsText" text="Meets">
      <formula>NOT(ISERROR(SEARCH("Meets",J67)))</formula>
    </cfRule>
  </conditionalFormatting>
  <conditionalFormatting sqref="J154:J156">
    <cfRule type="containsText" dxfId="2775" priority="106" operator="containsText" text="Under">
      <formula>NOT(ISERROR(SEARCH("Under",J154)))</formula>
    </cfRule>
    <cfRule type="containsText" dxfId="2774" priority="105" operator="containsText" text="Meets">
      <formula>NOT(ISERROR(SEARCH("Meets",J154)))</formula>
    </cfRule>
    <cfRule type="containsText" dxfId="2773" priority="104" operator="containsText" text="Exceeds">
      <formula>NOT(ISERROR(SEARCH("Exceeds",J154)))</formula>
    </cfRule>
    <cfRule type="containsText" dxfId="2772" priority="103" operator="containsText" text="N/A">
      <formula>NOT(ISERROR(SEARCH("N/A",J154)))</formula>
    </cfRule>
    <cfRule type="containsText" dxfId="2771" priority="102" operator="containsText" text="Start">
      <formula>NOT(ISERROR(SEARCH("Start",J154)))</formula>
    </cfRule>
    <cfRule type="containsText" dxfId="2770" priority="101" operator="containsText" text="Stop">
      <formula>NOT(ISERROR(SEARCH("Stop",J154)))</formula>
    </cfRule>
    <cfRule type="containsText" dxfId="2769"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{3330E068-7FF3-4F9E-B108-C5B7AE1A0E01}</x14:id>
        </ext>
      </extLst>
    </cfRule>
    <cfRule type="dataBar" priority="107">
      <dataBar>
        <cfvo type="num" val="0"/>
        <cfvo type="num" val="1"/>
        <color theme="0" tint="-0.249977111117893"/>
      </dataBar>
      <extLst>
        <ext xmlns:x14="http://schemas.microsoft.com/office/spreadsheetml/2009/9/main" uri="{B025F937-C7B1-47D3-B67F-A62EFF666E3E}">
          <x14:id>{23964B83-1787-4F5A-A2B6-FDB2ED5B114F}</x14:id>
        </ext>
      </extLst>
    </cfRule>
  </conditionalFormatting>
  <conditionalFormatting sqref="J159 J164">
    <cfRule type="containsText" dxfId="2768" priority="435" operator="containsText" text="Stop">
      <formula>NOT(ISERROR(SEARCH("Stop",J159)))</formula>
    </cfRule>
    <cfRule type="containsText" dxfId="2767" priority="437" operator="containsText" text="N/A">
      <formula>NOT(ISERROR(SEARCH("N/A",J159)))</formula>
    </cfRule>
    <cfRule type="containsText" dxfId="2766" priority="436" operator="containsText" text="Start">
      <formula>NOT(ISERROR(SEARCH("Start",J159)))</formula>
    </cfRule>
    <cfRule type="containsText" dxfId="2765" priority="438" operator="containsText" text="Exceeds">
      <formula>NOT(ISERROR(SEARCH("Exceeds",J159)))</formula>
    </cfRule>
    <cfRule type="containsText" dxfId="2764" priority="439" operator="containsText" text="Meets">
      <formula>NOT(ISERROR(SEARCH("Meets",J159)))</formula>
    </cfRule>
    <cfRule type="containsText" dxfId="2763" priority="440" operator="containsText" text="Under">
      <formula>NOT(ISERROR(SEARCH("Under",J159)))</formula>
    </cfRule>
    <cfRule type="containsText" dxfId="2762" priority="434" operator="containsText" text="Continue">
      <formula>NOT(ISERROR(SEARCH("Continue",J159)))</formula>
    </cfRule>
  </conditionalFormatting>
  <conditionalFormatting sqref="J161">
    <cfRule type="containsText" dxfId="2761" priority="306" operator="containsText" text="Meets">
      <formula>NOT(ISERROR(SEARCH("Meets",J161)))</formula>
    </cfRule>
    <cfRule type="containsText" dxfId="2760" priority="305" operator="containsText" text="Exceeds">
      <formula>NOT(ISERROR(SEARCH("Exceeds",J161)))</formula>
    </cfRule>
    <cfRule type="containsText" dxfId="2759" priority="304" operator="containsText" text="N/A">
      <formula>NOT(ISERROR(SEARCH("N/A",J161)))</formula>
    </cfRule>
    <cfRule type="containsText" dxfId="2758" priority="303" operator="containsText" text="Start">
      <formula>NOT(ISERROR(SEARCH("Start",J161)))</formula>
    </cfRule>
    <cfRule type="containsText" dxfId="2757" priority="302" operator="containsText" text="Stop">
      <formula>NOT(ISERROR(SEARCH("Stop",J161)))</formula>
    </cfRule>
    <cfRule type="containsText" dxfId="2756" priority="301" operator="containsText" text="Continue">
      <formula>NOT(ISERROR(SEARCH("Continue",J161)))</formula>
    </cfRule>
    <cfRule type="containsText" dxfId="2755" priority="307" operator="containsText" text="Under">
      <formula>NOT(ISERROR(SEARCH("Under",J161)))</formula>
    </cfRule>
  </conditionalFormatting>
  <conditionalFormatting sqref="J166">
    <cfRule type="containsText" dxfId="2754" priority="282" operator="containsText" text="Exceeds">
      <formula>NOT(ISERROR(SEARCH("Exceeds",J166)))</formula>
    </cfRule>
    <cfRule type="containsText" dxfId="2753" priority="284" operator="containsText" text="Under">
      <formula>NOT(ISERROR(SEARCH("Under",J166)))</formula>
    </cfRule>
    <cfRule type="containsText" dxfId="2752" priority="281" operator="containsText" text="N/A">
      <formula>NOT(ISERROR(SEARCH("N/A",J166)))</formula>
    </cfRule>
    <cfRule type="containsText" dxfId="2751" priority="280" operator="containsText" text="Start">
      <formula>NOT(ISERROR(SEARCH("Start",J166)))</formula>
    </cfRule>
    <cfRule type="containsText" dxfId="2750" priority="279" operator="containsText" text="Stop">
      <formula>NOT(ISERROR(SEARCH("Stop",J166)))</formula>
    </cfRule>
    <cfRule type="containsText" dxfId="2749" priority="278" operator="containsText" text="Continue">
      <formula>NOT(ISERROR(SEARCH("Continue",J166)))</formula>
    </cfRule>
    <cfRule type="containsText" dxfId="2748" priority="283" operator="containsText" text="Meets">
      <formula>NOT(ISERROR(SEARCH("Meets",J166)))</formula>
    </cfRule>
  </conditionalFormatting>
  <conditionalFormatting sqref="J169">
    <cfRule type="containsText" dxfId="2747" priority="273" operator="containsText" text="Start">
      <formula>NOT(ISERROR(SEARCH("Start",J169)))</formula>
    </cfRule>
    <cfRule type="containsText" dxfId="2746" priority="272" operator="containsText" text="Stop">
      <formula>NOT(ISERROR(SEARCH("Stop",J169)))</formula>
    </cfRule>
    <cfRule type="containsText" dxfId="2745" priority="276" operator="containsText" text="Meets">
      <formula>NOT(ISERROR(SEARCH("Meets",J169)))</formula>
    </cfRule>
    <cfRule type="containsText" dxfId="2744" priority="271" operator="containsText" text="Continue">
      <formula>NOT(ISERROR(SEARCH("Continue",J169)))</formula>
    </cfRule>
    <cfRule type="containsText" dxfId="2743" priority="277" operator="containsText" text="Under">
      <formula>NOT(ISERROR(SEARCH("Under",J169)))</formula>
    </cfRule>
    <cfRule type="containsText" dxfId="2742" priority="274" operator="containsText" text="N/A">
      <formula>NOT(ISERROR(SEARCH("N/A",J169)))</formula>
    </cfRule>
    <cfRule type="containsText" dxfId="2741" priority="275" operator="containsText" text="Exceeds">
      <formula>NOT(ISERROR(SEARCH("Exceeds",J169)))</formula>
    </cfRule>
  </conditionalFormatting>
  <conditionalFormatting sqref="J171">
    <cfRule type="containsText" dxfId="2740" priority="248" operator="containsText" text="Continue">
      <formula>NOT(ISERROR(SEARCH("Continue",J171)))</formula>
    </cfRule>
    <cfRule type="containsText" dxfId="2739" priority="249" operator="containsText" text="Stop">
      <formula>NOT(ISERROR(SEARCH("Stop",J171)))</formula>
    </cfRule>
    <cfRule type="containsText" dxfId="2738" priority="251" operator="containsText" text="N/A">
      <formula>NOT(ISERROR(SEARCH("N/A",J171)))</formula>
    </cfRule>
    <cfRule type="containsText" dxfId="2737" priority="252" operator="containsText" text="Exceeds">
      <formula>NOT(ISERROR(SEARCH("Exceeds",J171)))</formula>
    </cfRule>
    <cfRule type="containsText" dxfId="2736" priority="250" operator="containsText" text="Start">
      <formula>NOT(ISERROR(SEARCH("Start",J171)))</formula>
    </cfRule>
    <cfRule type="containsText" dxfId="2735" priority="253" operator="containsText" text="Meets">
      <formula>NOT(ISERROR(SEARCH("Meets",J171)))</formula>
    </cfRule>
    <cfRule type="containsText" dxfId="2734" priority="254" operator="containsText" text="Under">
      <formula>NOT(ISERROR(SEARCH("Under",J171)))</formula>
    </cfRule>
  </conditionalFormatting>
  <conditionalFormatting sqref="M62 M68">
    <cfRule type="containsText" dxfId="2733" priority="448" operator="containsText" text="N/A">
      <formula>NOT(ISERROR(SEARCH("N/A",M62)))</formula>
    </cfRule>
    <cfRule type="containsText" dxfId="2732" priority="449" operator="containsText" text="Exceeds">
      <formula>NOT(ISERROR(SEARCH("Exceeds",M62)))</formula>
    </cfRule>
    <cfRule type="containsText" dxfId="2731" priority="450" operator="containsText" text="Meets">
      <formula>NOT(ISERROR(SEARCH("Meets",M62)))</formula>
    </cfRule>
    <cfRule type="containsText" dxfId="2730" priority="451" operator="containsText" text="Under">
      <formula>NOT(ISERROR(SEARCH("Under",M62)))</formula>
    </cfRule>
  </conditionalFormatting>
  <conditionalFormatting sqref="Q14:Q16">
    <cfRule type="containsText" dxfId="2729" priority="453" operator="containsText" text="Exceeds">
      <formula>NOT(ISERROR(SEARCH("Exceeds",Q14)))</formula>
    </cfRule>
    <cfRule type="containsText" dxfId="2728" priority="454" operator="containsText" text="Meets">
      <formula>NOT(ISERROR(SEARCH("Meets",Q14)))</formula>
    </cfRule>
    <cfRule type="containsText" dxfId="2727" priority="455" operator="containsText" text="Under">
      <formula>NOT(ISERROR(SEARCH("Under",Q14)))</formula>
    </cfRule>
    <cfRule type="containsText" dxfId="2726" priority="452" operator="containsText" text="N/A">
      <formula>NOT(ISERROR(SEARCH("N/A",Q14)))</formula>
    </cfRule>
  </conditionalFormatting>
  <dataValidations count="8">
    <dataValidation type="list" allowBlank="1" showInputMessage="1" showErrorMessage="1" sqref="J73:J80" xr:uid="{FA96A436-2D60-4ABF-B34C-A20683F93831}">
      <formula1>"Yes, No"</formula1>
    </dataValidation>
    <dataValidation type="list" allowBlank="1" showInputMessage="1" showErrorMessage="1" sqref="G73:G80" xr:uid="{174C824B-1C4F-48B4-AD64-D0EE2D0C3B59}">
      <formula1>"Online self-paced, Online, Hybrid, In person, Peer learning"</formula1>
    </dataValidation>
    <dataValidation type="list" allowBlank="1" showInputMessage="1" showErrorMessage="1" sqref="F178:F179" xr:uid="{C206C887-0AA7-44CA-8F41-F83AD20969B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2B66989C-3E2E-451A-85CD-9622C392C4B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2C7E280-04CD-437E-B561-3C0FAC4FE91F}"/>
    <dataValidation allowBlank="1" showInputMessage="1" showErrorMessage="1" prompt="Cells I9 through BL9 contain the day number of the month for the Month represented in the cell block above each date cell and are auto calculated._x000a_Do not modify these cells._x000a_" sqref="A8:C8" xr:uid="{781EB20B-4C80-48BC-8467-84152D539DCF}"/>
    <dataValidation allowBlank="1" showInputMessage="1" showErrorMessage="1" prompt="Enter Company Name in cell B4._x000a_A legend is in cells I4 through AC4.  The Legend label is in cell G4." sqref="A2:C2" xr:uid="{F2A4275F-8742-4128-9141-1A21ECA2AD0E}"/>
    <dataValidation type="list" allowBlank="1" showInputMessage="1" showErrorMessage="1" sqref="L73:L80" xr:uid="{959EE49F-5487-442F-AED6-08E74488D658}">
      <formula1>"0, 1, 2, 3, 4, 5, 6, 7, 8, 9, 10"</formula1>
    </dataValidation>
  </dataValidations>
  <hyperlinks>
    <hyperlink ref="G85:H85" r:id="rId1" location=":~:text=use%20the%20method.-,Examples%20of%20SMART%20Goals,-We%20will%C2%A0create" display="Examples of SMART Goals" xr:uid="{F66C3872-B3D6-4C05-A98E-DECA94FD7940}"/>
    <hyperlink ref="G85" r:id="rId2" location=":~:text=Examples%20of%20S.M.A.R.T.%20Goals" display="https://www.forbes.com/advisor/business/smart-goals/#:~:text=Examples%20of%20S.M.A.R.T.%20Goals" xr:uid="{CBB08F1C-3570-4C99-B906-56391FB05E2C}"/>
    <hyperlink ref="I85" r:id="rId3" location=":~:text=use%20the%20method.-,Examples%20of%20SMART%20Goals,-We%20will%C2%A0create" display="Examples of SMART Goals" xr:uid="{AE455C98-B529-4EAB-93BC-C9731A1623E8}"/>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2" max="16383" man="1"/>
    <brk id="148"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1ECDFD6F-97FA-40DB-9459-BECBBAA39182}">
            <x14:dataBar minLength="0" maxLength="100" gradient="0">
              <x14:cfvo type="num">
                <xm:f>0</xm:f>
              </x14:cfvo>
              <x14:cfvo type="num">
                <xm:f>1</xm:f>
              </x14:cfvo>
              <x14:negativeFillColor rgb="FFFF0000"/>
              <x14:axisColor rgb="FF000000"/>
            </x14:dataBar>
          </x14:cfRule>
          <xm:sqref>F32 K73 K75:K80 J74:K74</xm:sqref>
        </x14:conditionalFormatting>
        <x14:conditionalFormatting xmlns:xm="http://schemas.microsoft.com/office/excel/2006/main">
          <x14:cfRule type="dataBar" id="{A01589CC-B696-4531-B2C4-9AC22DF5D241}">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3371696-7648-4D24-8EA0-E0118F50F885}">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C77EA7-C250-454D-BB0F-4161F868AE2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67AD4906-165F-4157-B8B9-A11DEA4B297A}">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30C7F8E-14D2-426C-8ADF-9014565E569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260574CA-4BAC-43E5-A9C4-D6372C5CB8E3}">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C439AF76-0A9E-4004-BC13-F324A13BF8D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5CA175D8-3629-417B-8F32-E87A167460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631F1A37-6DD4-411E-A4E7-CED8B3774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0B61A07A-BD40-489C-BF89-4EC94656A4D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74362F57-325A-4ED7-9D6C-AF02478B30F2}">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0CAC41A7-195E-401C-8023-8DCCCFB56A8A}">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ED6E276-A303-463B-BBEE-6E3A1E06CA4C}">
            <x14:dataBar minLength="0" maxLength="100" gradient="0">
              <x14:cfvo type="num">
                <xm:f>0</xm:f>
              </x14:cfvo>
              <x14:cfvo type="num">
                <xm:f>1</xm:f>
              </x14:cfvo>
              <x14:negativeFillColor rgb="FFFF0000"/>
              <x14:axisColor rgb="FF000000"/>
            </x14:dataBar>
          </x14:cfRule>
          <x14:cfRule type="dataBar" id="{AF26C502-5DAF-42B7-86FE-4B411E73384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206C7F5D-492B-48D9-87FC-044999225860}">
            <x14:dataBar minLength="0" maxLength="100" gradient="0">
              <x14:cfvo type="num">
                <xm:f>0</xm:f>
              </x14:cfvo>
              <x14:cfvo type="num">
                <xm:f>1</xm:f>
              </x14:cfvo>
              <x14:negativeFillColor rgb="FFFF0000"/>
              <x14:axisColor rgb="FF000000"/>
            </x14:dataBar>
          </x14:cfRule>
          <x14:cfRule type="dataBar" id="{7DA0927A-C55A-4E95-B2F5-BC55AD567414}">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00044D51-61FF-4A5B-8DFC-EE75A5DCE662}">
            <x14:dataBar minLength="0" maxLength="100" gradient="0">
              <x14:cfvo type="num">
                <xm:f>0</xm:f>
              </x14:cfvo>
              <x14:cfvo type="num">
                <xm:f>1</xm:f>
              </x14:cfvo>
              <x14:negativeFillColor rgb="FFFF0000"/>
              <x14:axisColor rgb="FF000000"/>
            </x14:dataBar>
          </x14:cfRule>
          <x14:cfRule type="dataBar" id="{2EA6CFE5-4D73-46CC-815D-023B6935BFE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CC0BEC30-E8EE-4173-BE6D-E4D5E0CED656}">
            <x14:dataBar minLength="0" maxLength="100" gradient="0">
              <x14:cfvo type="num">
                <xm:f>0</xm:f>
              </x14:cfvo>
              <x14:cfvo type="num">
                <xm:f>1</xm:f>
              </x14:cfvo>
              <x14:negativeFillColor rgb="FFFF0000"/>
              <x14:axisColor rgb="FF000000"/>
            </x14:dataBar>
          </x14:cfRule>
          <x14:cfRule type="dataBar" id="{F0BE1511-604E-4278-87F9-44881E4D2963}">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433A6AD4-C42E-44CA-8A6C-C093737D71B7}">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6ABD94F-2315-4FCF-B07E-439D0D6AD869}">
            <x14:dataBar minLength="0" maxLength="100" gradient="0">
              <x14:cfvo type="num">
                <xm:f>0</xm:f>
              </x14:cfvo>
              <x14:cfvo type="num">
                <xm:f>1</xm:f>
              </x14:cfvo>
              <x14:negativeFillColor rgb="FFFF0000"/>
              <x14:axisColor rgb="FF000000"/>
            </x14:dataBar>
          </x14:cfRule>
          <xm:sqref>F148:G148 G25 H147</xm:sqref>
        </x14:conditionalFormatting>
        <x14:conditionalFormatting xmlns:xm="http://schemas.microsoft.com/office/excel/2006/main">
          <x14:cfRule type="dataBar" id="{37E5FB85-472A-4F04-9612-B65B9D86FD5B}">
            <x14:dataBar minLength="0" maxLength="100" gradient="0">
              <x14:cfvo type="num">
                <xm:f>0</xm:f>
              </x14:cfvo>
              <x14:cfvo type="num">
                <xm:f>1</xm:f>
              </x14:cfvo>
              <x14:negativeFillColor rgb="FFFF0000"/>
              <x14:axisColor rgb="FF000000"/>
            </x14:dataBar>
          </x14:cfRule>
          <x14:cfRule type="dataBar" id="{21B871EE-41BC-4472-87F5-B62DE44F70A9}">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C814CB48-7F06-4C09-8FBA-D95618A8CDC3}">
            <x14:dataBar minLength="0" maxLength="100" gradient="0">
              <x14:cfvo type="num">
                <xm:f>0</xm:f>
              </x14:cfvo>
              <x14:cfvo type="num">
                <xm:f>1</xm:f>
              </x14:cfvo>
              <x14:negativeFillColor rgb="FFFF0000"/>
              <x14:axisColor rgb="FF000000"/>
            </x14:dataBar>
          </x14:cfRule>
          <x14:cfRule type="dataBar" id="{E2ECEB16-65AB-4D06-A00E-EF10F27C4C33}">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382C047-BDC8-4845-953F-A812561AB122}">
            <x14:dataBar minLength="0" maxLength="100" gradient="0">
              <x14:cfvo type="num">
                <xm:f>0</xm:f>
              </x14:cfvo>
              <x14:cfvo type="num">
                <xm:f>1</xm:f>
              </x14:cfvo>
              <x14:negativeFillColor rgb="FFFF0000"/>
              <x14:axisColor rgb="FF000000"/>
            </x14:dataBar>
          </x14:cfRule>
          <x14:cfRule type="dataBar" id="{F70A2B76-23B3-404B-ABE2-29F0AF5E733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D12A7EB-237C-4C42-8050-907788381643}">
            <x14:dataBar minLength="0" maxLength="100" gradient="0">
              <x14:cfvo type="num">
                <xm:f>0</xm:f>
              </x14:cfvo>
              <x14:cfvo type="num">
                <xm:f>1</xm:f>
              </x14:cfvo>
              <x14:negativeFillColor rgb="FFFF0000"/>
              <x14:axisColor rgb="FF000000"/>
            </x14:dataBar>
          </x14:cfRule>
          <x14:cfRule type="dataBar" id="{DDF0F8EF-126A-4BEC-B883-C2C7FD114CE0}">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73E302A-B0A0-4A21-A131-37F551B390F7}">
            <x14:dataBar minLength="0" maxLength="100" gradient="0">
              <x14:cfvo type="num">
                <xm:f>0</xm:f>
              </x14:cfvo>
              <x14:cfvo type="num">
                <xm:f>1</xm:f>
              </x14:cfvo>
              <x14:negativeFillColor rgb="FFFF0000"/>
              <x14:axisColor rgb="FF000000"/>
            </x14:dataBar>
          </x14:cfRule>
          <x14:cfRule type="dataBar" id="{0E307B75-4281-4213-91DF-3B07B74CFEA8}">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1A4DF97-AF9D-48F5-9631-4CA642F8196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ADEFF1B7-36FC-47DB-9089-E172C5FE44C0}">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10F470-3FD7-429F-B839-0B24ACB5FD8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DDD33793-0A0E-4B29-BB16-9D50E1462E77}">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DB960F3D-F0D5-4EF1-B9B3-037FDF3BCFBF}">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15CEAE30-4CD6-41DA-9A5E-F042EB6830CF}">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973C9995-F900-4499-A852-9BF71A7D3A55}">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A90BC395-92AE-418B-812E-5A6E0274712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330E068-7FF3-4F9E-B108-C5B7AE1A0E01}">
            <x14:dataBar minLength="0" maxLength="100" gradient="0">
              <x14:cfvo type="num">
                <xm:f>0</xm:f>
              </x14:cfvo>
              <x14:cfvo type="num">
                <xm:f>1</xm:f>
              </x14:cfvo>
              <x14:negativeFillColor rgb="FFFF0000"/>
              <x14:axisColor rgb="FF000000"/>
            </x14:dataBar>
          </x14:cfRule>
          <x14:cfRule type="dataBar" id="{23964B83-1787-4F5A-A2B6-FDB2ED5B114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43EE-21C8-4285-A191-44DA1FAFEB80}">
  <sheetPr codeName="Sheet9">
    <pageSetUpPr fitToPage="1"/>
  </sheetPr>
  <dimension ref="A1:DG234"/>
  <sheetViews>
    <sheetView topLeftCell="C1" zoomScale="60" zoomScaleNormal="60" zoomScalePageLayoutView="33" workbookViewId="0">
      <selection activeCell="E7" sqref="E7:K7"/>
    </sheetView>
  </sheetViews>
  <sheetFormatPr defaultColWidth="8.7109375" defaultRowHeight="15" customHeight="1" x14ac:dyDescent="0.3"/>
  <cols>
    <col min="1" max="1" width="25.85546875" style="22" customWidth="1"/>
    <col min="2" max="2" width="11.28515625" style="22" customWidth="1"/>
    <col min="3" max="3" width="40" style="22" customWidth="1"/>
    <col min="4" max="4" width="34.140625" style="22" customWidth="1"/>
    <col min="5" max="5" width="36.28515625" style="22" customWidth="1"/>
    <col min="6" max="6" width="21.85546875" style="22" customWidth="1"/>
    <col min="7" max="7" width="35.42578125" style="22" customWidth="1"/>
    <col min="8" max="8" width="38.140625" style="22" customWidth="1"/>
    <col min="9" max="9" width="23.5703125" style="22" customWidth="1"/>
    <col min="10" max="10" width="37" style="22" customWidth="1"/>
    <col min="11" max="11" width="38" style="22" customWidth="1"/>
    <col min="12" max="12" width="41.140625" style="22" customWidth="1"/>
    <col min="13" max="13" width="81.7109375" style="22" customWidth="1"/>
    <col min="14" max="14" width="58.28515625" style="22" customWidth="1"/>
    <col min="15" max="21" width="24.42578125" style="22" customWidth="1"/>
    <col min="22" max="16384" width="8.7109375" style="22"/>
  </cols>
  <sheetData>
    <row r="1" spans="1:12" s="14" customFormat="1" ht="36.950000000000003" customHeight="1" x14ac:dyDescent="0.25">
      <c r="A1" s="12"/>
      <c r="B1" s="12"/>
      <c r="C1" s="62"/>
      <c r="D1" s="63"/>
      <c r="E1" s="63"/>
      <c r="F1" s="64"/>
      <c r="G1" s="64"/>
      <c r="H1" s="64"/>
      <c r="I1" s="64"/>
      <c r="J1" s="65"/>
      <c r="K1" s="64"/>
      <c r="L1" s="64"/>
    </row>
    <row r="2" spans="1:12" s="14" customFormat="1" ht="84.75" customHeight="1" x14ac:dyDescent="0.25">
      <c r="A2" s="12"/>
      <c r="B2" s="12"/>
      <c r="C2" s="15"/>
      <c r="D2" s="508" t="str">
        <f>'CC 2023'!E2</f>
        <v>Employee Name</v>
      </c>
      <c r="E2" s="508"/>
      <c r="F2" s="508"/>
      <c r="G2" s="508"/>
      <c r="H2" s="16"/>
      <c r="I2" s="16"/>
      <c r="J2" s="16"/>
      <c r="K2" s="17" t="e">
        <f>CONCATENATE($L$231,$K$193)</f>
        <v>#VALUE!</v>
      </c>
      <c r="L2" s="15"/>
    </row>
    <row r="3" spans="1:12" s="14" customFormat="1" ht="20.25" x14ac:dyDescent="0.25">
      <c r="A3" s="12"/>
      <c r="B3" s="12"/>
      <c r="C3" s="15"/>
      <c r="D3" s="15"/>
      <c r="E3" s="15"/>
      <c r="F3" s="3"/>
      <c r="G3" s="3"/>
      <c r="H3" s="1"/>
      <c r="I3" s="1"/>
      <c r="J3" s="15"/>
      <c r="K3" s="15"/>
      <c r="L3" s="15"/>
    </row>
    <row r="4" spans="1:12" s="14" customFormat="1" ht="39.6" customHeight="1" x14ac:dyDescent="0.25">
      <c r="A4" s="12"/>
      <c r="B4" s="12"/>
      <c r="C4" s="15"/>
      <c r="D4" s="509" t="s">
        <v>82</v>
      </c>
      <c r="E4" s="509"/>
      <c r="F4" s="509"/>
      <c r="G4" s="509"/>
      <c r="H4" s="509"/>
      <c r="I4" s="509"/>
      <c r="J4" s="509"/>
      <c r="K4" s="509"/>
      <c r="L4" s="15"/>
    </row>
    <row r="5" spans="1:12" s="14" customFormat="1" ht="42.6" customHeight="1" x14ac:dyDescent="0.25">
      <c r="C5" s="15"/>
      <c r="D5" s="18" t="s">
        <v>83</v>
      </c>
      <c r="E5" s="510" t="s">
        <v>84</v>
      </c>
      <c r="F5" s="510"/>
      <c r="G5" s="510"/>
      <c r="H5" s="510"/>
      <c r="I5" s="510"/>
      <c r="J5" s="510"/>
      <c r="K5" s="510"/>
      <c r="L5" s="15"/>
    </row>
    <row r="6" spans="1:12" s="14" customFormat="1" ht="42.6" customHeight="1" x14ac:dyDescent="0.25">
      <c r="C6" s="15"/>
      <c r="D6" s="18" t="s">
        <v>85</v>
      </c>
      <c r="E6" s="510" t="s">
        <v>86</v>
      </c>
      <c r="F6" s="510"/>
      <c r="G6" s="510"/>
      <c r="H6" s="510"/>
      <c r="I6" s="510"/>
      <c r="J6" s="510"/>
      <c r="K6" s="510"/>
      <c r="L6" s="15"/>
    </row>
    <row r="7" spans="1:12" s="14" customFormat="1" ht="39" customHeight="1" x14ac:dyDescent="0.25">
      <c r="C7" s="15"/>
      <c r="D7" s="18" t="s">
        <v>87</v>
      </c>
      <c r="E7" s="511" t="s">
        <v>88</v>
      </c>
      <c r="F7" s="511"/>
      <c r="G7" s="511"/>
      <c r="H7" s="511"/>
      <c r="I7" s="511"/>
      <c r="J7" s="511"/>
      <c r="K7" s="511"/>
      <c r="L7" s="15"/>
    </row>
    <row r="8" spans="1:12" s="14" customFormat="1" ht="20.25" x14ac:dyDescent="0.25">
      <c r="C8" s="15"/>
      <c r="D8" s="19"/>
      <c r="E8" s="4"/>
      <c r="F8" s="4"/>
      <c r="G8" s="4"/>
      <c r="H8" s="4"/>
      <c r="I8" s="4"/>
      <c r="J8" s="20"/>
      <c r="K8" s="20"/>
      <c r="L8" s="15"/>
    </row>
    <row r="9" spans="1:12" s="14" customFormat="1" ht="20.25" x14ac:dyDescent="0.25">
      <c r="C9" s="21"/>
      <c r="D9" s="19"/>
      <c r="E9" s="15"/>
      <c r="F9" s="15"/>
      <c r="G9" s="15"/>
      <c r="H9" s="15"/>
      <c r="I9" s="15"/>
      <c r="J9" s="15"/>
      <c r="K9" s="15"/>
      <c r="L9" s="15"/>
    </row>
    <row r="10" spans="1:12" s="14" customFormat="1" ht="250.5" customHeight="1" x14ac:dyDescent="0.25">
      <c r="C10" s="15"/>
      <c r="D10" s="459" t="s">
        <v>89</v>
      </c>
      <c r="E10" s="512" t="s">
        <v>90</v>
      </c>
      <c r="F10" s="512"/>
      <c r="G10" s="512"/>
      <c r="H10" s="512"/>
      <c r="I10" s="512"/>
      <c r="J10" s="512"/>
      <c r="K10" s="512"/>
      <c r="L10" s="15"/>
    </row>
    <row r="11" spans="1:12" s="14" customFormat="1" ht="119.1" customHeight="1" x14ac:dyDescent="0.25">
      <c r="C11" s="15"/>
      <c r="D11" s="459"/>
      <c r="E11" s="512"/>
      <c r="F11" s="512"/>
      <c r="G11" s="512"/>
      <c r="H11" s="512"/>
      <c r="I11" s="512"/>
      <c r="J11" s="512"/>
      <c r="K11" s="512"/>
      <c r="L11" s="15"/>
    </row>
    <row r="12" spans="1:12" s="14" customFormat="1" ht="116.45" customHeight="1" x14ac:dyDescent="0.25">
      <c r="C12" s="15"/>
      <c r="D12" s="15"/>
      <c r="E12" s="15"/>
      <c r="F12" s="4"/>
      <c r="G12" s="15"/>
      <c r="H12" s="15"/>
      <c r="I12" s="15"/>
      <c r="J12" s="15"/>
      <c r="K12" s="15"/>
      <c r="L12" s="15"/>
    </row>
    <row r="13" spans="1:12" s="14" customFormat="1" ht="27" customHeight="1" x14ac:dyDescent="0.25">
      <c r="C13" s="15"/>
      <c r="D13" s="15"/>
      <c r="E13" s="519" t="s">
        <v>91</v>
      </c>
      <c r="F13" s="519"/>
      <c r="G13" s="519"/>
      <c r="H13" s="519"/>
      <c r="I13" s="519"/>
      <c r="J13" s="35">
        <v>1</v>
      </c>
      <c r="K13" s="15"/>
      <c r="L13" s="15"/>
    </row>
    <row r="14" spans="1:12" ht="27" customHeight="1" x14ac:dyDescent="0.3">
      <c r="C14" s="7"/>
      <c r="D14" s="7"/>
      <c r="E14" s="513" t="s">
        <v>92</v>
      </c>
      <c r="F14" s="513"/>
      <c r="G14" s="513"/>
      <c r="H14" s="513"/>
      <c r="I14" s="513"/>
      <c r="J14" s="514">
        <v>0.3</v>
      </c>
      <c r="K14" s="7"/>
      <c r="L14" s="15"/>
    </row>
    <row r="15" spans="1:12" ht="27" customHeight="1" x14ac:dyDescent="0.3">
      <c r="C15" s="7"/>
      <c r="D15" s="7"/>
      <c r="E15" s="501" t="s">
        <v>93</v>
      </c>
      <c r="F15" s="501"/>
      <c r="G15" s="501"/>
      <c r="H15" s="501"/>
      <c r="I15" s="501"/>
      <c r="J15" s="515"/>
      <c r="K15" s="7"/>
      <c r="L15" s="15"/>
    </row>
    <row r="16" spans="1:12" ht="27" customHeight="1" x14ac:dyDescent="0.3">
      <c r="C16" s="7"/>
      <c r="D16" s="7"/>
      <c r="E16" s="501" t="s">
        <v>94</v>
      </c>
      <c r="F16" s="501"/>
      <c r="G16" s="501"/>
      <c r="H16" s="501"/>
      <c r="I16" s="501"/>
      <c r="J16" s="515"/>
      <c r="K16" s="7"/>
      <c r="L16" s="15"/>
    </row>
    <row r="17" spans="3:12" ht="27" customHeight="1" x14ac:dyDescent="0.3">
      <c r="C17" s="7"/>
      <c r="D17" s="7"/>
      <c r="E17" s="501" t="s">
        <v>95</v>
      </c>
      <c r="F17" s="501"/>
      <c r="G17" s="501"/>
      <c r="H17" s="501"/>
      <c r="I17" s="501"/>
      <c r="J17" s="516"/>
      <c r="K17" s="7"/>
      <c r="L17" s="7"/>
    </row>
    <row r="18" spans="3:12" ht="27" customHeight="1" x14ac:dyDescent="0.3">
      <c r="C18" s="7"/>
      <c r="D18" s="7"/>
      <c r="E18" s="513" t="s">
        <v>96</v>
      </c>
      <c r="F18" s="513"/>
      <c r="G18" s="513"/>
      <c r="H18" s="513"/>
      <c r="I18" s="513"/>
      <c r="J18" s="514">
        <v>0.2</v>
      </c>
      <c r="K18" s="7"/>
      <c r="L18" s="7"/>
    </row>
    <row r="19" spans="3:12" ht="27" customHeight="1" x14ac:dyDescent="0.3">
      <c r="C19" s="7"/>
      <c r="D19" s="7"/>
      <c r="E19" s="517"/>
      <c r="F19" s="517"/>
      <c r="G19" s="517"/>
      <c r="H19" s="517"/>
      <c r="I19" s="517"/>
      <c r="J19" s="515"/>
      <c r="K19" s="7"/>
      <c r="L19" s="7"/>
    </row>
    <row r="20" spans="3:12" ht="27" customHeight="1" x14ac:dyDescent="0.3">
      <c r="C20" s="7"/>
      <c r="D20" s="7"/>
      <c r="E20" s="517"/>
      <c r="F20" s="517"/>
      <c r="G20" s="517"/>
      <c r="H20" s="517"/>
      <c r="I20" s="517"/>
      <c r="J20" s="515"/>
      <c r="K20" s="7"/>
      <c r="L20" s="7"/>
    </row>
    <row r="21" spans="3:12" ht="27" customHeight="1" x14ac:dyDescent="0.3">
      <c r="C21" s="7"/>
      <c r="D21" s="7"/>
      <c r="E21" s="517"/>
      <c r="F21" s="517"/>
      <c r="G21" s="517"/>
      <c r="H21" s="517"/>
      <c r="I21" s="517"/>
      <c r="J21" s="515"/>
      <c r="K21" s="7"/>
      <c r="L21" s="15"/>
    </row>
    <row r="22" spans="3:12" ht="27" customHeight="1" x14ac:dyDescent="0.3">
      <c r="C22" s="7"/>
      <c r="D22" s="7"/>
      <c r="E22" s="517"/>
      <c r="F22" s="517"/>
      <c r="G22" s="517"/>
      <c r="H22" s="517"/>
      <c r="I22" s="517"/>
      <c r="J22" s="516"/>
      <c r="K22" s="7"/>
      <c r="L22" s="15"/>
    </row>
    <row r="23" spans="3:12" ht="27" customHeight="1" x14ac:dyDescent="0.3">
      <c r="C23" s="7"/>
      <c r="D23" s="7"/>
      <c r="E23" s="513" t="s">
        <v>97</v>
      </c>
      <c r="F23" s="513"/>
      <c r="G23" s="513"/>
      <c r="H23" s="513"/>
      <c r="I23" s="513"/>
      <c r="J23" s="514">
        <v>0.3</v>
      </c>
      <c r="K23" s="7"/>
      <c r="L23" s="15"/>
    </row>
    <row r="24" spans="3:12" ht="27" customHeight="1" x14ac:dyDescent="0.3">
      <c r="C24" s="7"/>
      <c r="D24" s="7"/>
      <c r="E24" s="517"/>
      <c r="F24" s="517"/>
      <c r="G24" s="517"/>
      <c r="H24" s="517"/>
      <c r="I24" s="517"/>
      <c r="J24" s="515"/>
      <c r="K24" s="7"/>
      <c r="L24" s="7"/>
    </row>
    <row r="25" spans="3:12" ht="27" customHeight="1" x14ac:dyDescent="0.3">
      <c r="C25" s="7"/>
      <c r="D25" s="7"/>
      <c r="E25" s="517"/>
      <c r="F25" s="517"/>
      <c r="G25" s="517"/>
      <c r="H25" s="517"/>
      <c r="I25" s="517"/>
      <c r="J25" s="515"/>
      <c r="K25" s="7"/>
      <c r="L25" s="7"/>
    </row>
    <row r="26" spans="3:12" ht="27" customHeight="1" x14ac:dyDescent="0.3">
      <c r="C26" s="7"/>
      <c r="D26" s="7"/>
      <c r="E26" s="517"/>
      <c r="F26" s="517"/>
      <c r="G26" s="517"/>
      <c r="H26" s="517"/>
      <c r="I26" s="517"/>
      <c r="J26" s="515"/>
      <c r="K26" s="7"/>
      <c r="L26" s="7"/>
    </row>
    <row r="27" spans="3:12" ht="27" customHeight="1" x14ac:dyDescent="0.3">
      <c r="C27" s="7"/>
      <c r="D27" s="7"/>
      <c r="E27" s="517"/>
      <c r="F27" s="517"/>
      <c r="G27" s="517"/>
      <c r="H27" s="517"/>
      <c r="I27" s="517"/>
      <c r="J27" s="516"/>
      <c r="K27" s="7"/>
      <c r="L27" s="7"/>
    </row>
    <row r="28" spans="3:12" ht="27" customHeight="1" x14ac:dyDescent="0.3">
      <c r="C28" s="7"/>
      <c r="D28" s="7"/>
      <c r="E28" s="513" t="s">
        <v>98</v>
      </c>
      <c r="F28" s="513"/>
      <c r="G28" s="513"/>
      <c r="H28" s="513"/>
      <c r="I28" s="513"/>
      <c r="J28" s="514">
        <v>0.2</v>
      </c>
      <c r="K28" s="7"/>
      <c r="L28" s="7"/>
    </row>
    <row r="29" spans="3:12" ht="27" customHeight="1" x14ac:dyDescent="0.3">
      <c r="C29" s="7"/>
      <c r="D29" s="7"/>
      <c r="E29" s="501" t="s">
        <v>62</v>
      </c>
      <c r="F29" s="501"/>
      <c r="G29" s="501"/>
      <c r="H29" s="501"/>
      <c r="I29" s="501"/>
      <c r="J29" s="515"/>
      <c r="K29" s="7"/>
      <c r="L29" s="7"/>
    </row>
    <row r="30" spans="3:12" ht="27" customHeight="1" x14ac:dyDescent="0.3">
      <c r="C30" s="7"/>
      <c r="D30" s="7"/>
      <c r="E30" s="501" t="s">
        <v>65</v>
      </c>
      <c r="F30" s="501"/>
      <c r="G30" s="501"/>
      <c r="H30" s="501"/>
      <c r="I30" s="501"/>
      <c r="J30" s="515"/>
      <c r="K30" s="7"/>
      <c r="L30" s="7"/>
    </row>
    <row r="31" spans="3:12" ht="27" customHeight="1" x14ac:dyDescent="0.3">
      <c r="C31" s="7"/>
      <c r="D31" s="7"/>
      <c r="E31" s="501" t="s">
        <v>67</v>
      </c>
      <c r="F31" s="501"/>
      <c r="G31" s="501"/>
      <c r="H31" s="501"/>
      <c r="I31" s="501"/>
      <c r="J31" s="515"/>
      <c r="K31" s="7"/>
      <c r="L31" s="7"/>
    </row>
    <row r="32" spans="3:12" ht="27" customHeight="1" x14ac:dyDescent="0.3">
      <c r="C32" s="7"/>
      <c r="D32" s="7"/>
      <c r="E32" s="501" t="s">
        <v>70</v>
      </c>
      <c r="F32" s="501"/>
      <c r="G32" s="501"/>
      <c r="H32" s="501"/>
      <c r="I32" s="501"/>
      <c r="J32" s="516"/>
      <c r="K32" s="7"/>
      <c r="L32" s="7"/>
    </row>
    <row r="33" spans="3:12" ht="17.45" customHeight="1" x14ac:dyDescent="0.3">
      <c r="C33" s="7"/>
      <c r="D33" s="7"/>
      <c r="E33" s="7"/>
      <c r="F33" s="7"/>
      <c r="G33" s="7"/>
      <c r="H33" s="7"/>
      <c r="I33" s="7"/>
      <c r="J33" s="7"/>
      <c r="K33" s="7"/>
      <c r="L33" s="7"/>
    </row>
    <row r="34" spans="3:12" ht="14.45" customHeight="1" x14ac:dyDescent="0.3">
      <c r="C34" s="7"/>
      <c r="D34" s="7"/>
      <c r="E34" s="7"/>
      <c r="F34" s="7"/>
      <c r="G34" s="7"/>
      <c r="H34" s="7"/>
      <c r="I34" s="7"/>
      <c r="J34" s="7"/>
      <c r="K34" s="7"/>
      <c r="L34" s="7"/>
    </row>
    <row r="35" spans="3:12" ht="14.45" customHeight="1" x14ac:dyDescent="0.3">
      <c r="C35" s="7"/>
      <c r="D35" s="7"/>
      <c r="E35" s="7"/>
      <c r="F35" s="7"/>
      <c r="G35" s="7"/>
      <c r="H35" s="7"/>
      <c r="I35" s="7"/>
      <c r="J35" s="7"/>
      <c r="K35" s="7"/>
      <c r="L35" s="7"/>
    </row>
    <row r="36" spans="3:12" s="14" customFormat="1" ht="30.95" customHeight="1" x14ac:dyDescent="0.3">
      <c r="C36" s="7"/>
      <c r="D36" s="15"/>
      <c r="E36" s="502" t="s">
        <v>99</v>
      </c>
      <c r="F36" s="502"/>
      <c r="G36" s="502"/>
      <c r="H36" s="502"/>
      <c r="I36" s="503">
        <v>45329</v>
      </c>
      <c r="J36" s="504"/>
      <c r="K36" s="7"/>
      <c r="L36" s="15"/>
    </row>
    <row r="37" spans="3:12" s="14" customFormat="1" ht="23.45" customHeight="1" x14ac:dyDescent="0.3">
      <c r="C37" s="7"/>
      <c r="D37" s="15"/>
      <c r="E37" s="502" t="s">
        <v>100</v>
      </c>
      <c r="F37" s="502"/>
      <c r="G37" s="502"/>
      <c r="H37" s="502"/>
      <c r="I37" s="503" t="s">
        <v>101</v>
      </c>
      <c r="J37" s="504"/>
      <c r="K37" s="7"/>
      <c r="L37" s="15"/>
    </row>
    <row r="38" spans="3:12" s="14" customFormat="1" ht="20.100000000000001" customHeight="1" x14ac:dyDescent="0.3">
      <c r="C38" s="7"/>
      <c r="D38" s="15"/>
      <c r="E38" s="502" t="s">
        <v>102</v>
      </c>
      <c r="F38" s="502"/>
      <c r="G38" s="502"/>
      <c r="H38" s="502"/>
      <c r="I38" s="503">
        <v>45369</v>
      </c>
      <c r="J38" s="504"/>
      <c r="K38" s="7"/>
      <c r="L38" s="15"/>
    </row>
    <row r="39" spans="3:12" s="14" customFormat="1" ht="23.45" customHeight="1" x14ac:dyDescent="0.3">
      <c r="C39" s="7"/>
      <c r="D39" s="15"/>
      <c r="E39" s="502" t="s">
        <v>103</v>
      </c>
      <c r="F39" s="502"/>
      <c r="G39" s="502"/>
      <c r="H39" s="502"/>
      <c r="I39" s="503" t="s">
        <v>104</v>
      </c>
      <c r="J39" s="504"/>
      <c r="K39" s="7"/>
      <c r="L39" s="15"/>
    </row>
    <row r="40" spans="3:12" s="14" customFormat="1" ht="45.6" customHeight="1" x14ac:dyDescent="0.3">
      <c r="C40" s="7"/>
      <c r="D40" s="4"/>
      <c r="E40" s="4"/>
      <c r="F40" s="23"/>
      <c r="G40" s="23"/>
      <c r="H40" s="23"/>
      <c r="I40" s="23"/>
      <c r="J40" s="7"/>
      <c r="K40" s="7"/>
      <c r="L40" s="15"/>
    </row>
    <row r="41" spans="3:12" s="14" customFormat="1" ht="20.100000000000001" customHeight="1" x14ac:dyDescent="0.4">
      <c r="C41" s="7"/>
      <c r="D41" s="53" t="s">
        <v>105</v>
      </c>
      <c r="E41" s="15"/>
      <c r="F41" s="15"/>
      <c r="G41" s="15"/>
      <c r="H41" s="15"/>
      <c r="I41" s="15"/>
      <c r="J41" s="7"/>
      <c r="K41" s="7"/>
      <c r="L41" s="15"/>
    </row>
    <row r="42" spans="3:12" s="14" customFormat="1" ht="54.95" customHeight="1" x14ac:dyDescent="0.3">
      <c r="C42" s="7"/>
      <c r="D42" s="460" t="s">
        <v>7</v>
      </c>
      <c r="E42" s="460"/>
      <c r="F42" s="505" t="s">
        <v>106</v>
      </c>
      <c r="G42" s="505"/>
      <c r="H42" s="505"/>
      <c r="I42" s="505"/>
      <c r="J42" s="505" t="s">
        <v>107</v>
      </c>
      <c r="K42" s="505"/>
      <c r="L42" s="15"/>
    </row>
    <row r="43" spans="3:12" s="14" customFormat="1" ht="97.5" customHeight="1" x14ac:dyDescent="0.3">
      <c r="C43" s="7"/>
      <c r="D43" s="489" t="str">
        <f>CONCATENATE("Meeting 1 - ", TEXT(I37,"dd/mm/yyyy"))</f>
        <v>Meeting 1 - 15/02/2024</v>
      </c>
      <c r="E43" s="72" t="s">
        <v>9</v>
      </c>
      <c r="F43" s="492" t="s">
        <v>108</v>
      </c>
      <c r="G43" s="492"/>
      <c r="H43" s="492"/>
      <c r="I43" s="493">
        <v>8</v>
      </c>
      <c r="J43" s="494" t="s">
        <v>109</v>
      </c>
      <c r="K43" s="495"/>
      <c r="L43" s="15"/>
    </row>
    <row r="44" spans="3:12" s="14" customFormat="1" ht="79.5" customHeight="1" x14ac:dyDescent="0.25">
      <c r="C44" s="15"/>
      <c r="D44" s="490"/>
      <c r="E44" s="39" t="s">
        <v>10</v>
      </c>
      <c r="F44" s="484" t="s">
        <v>110</v>
      </c>
      <c r="G44" s="484"/>
      <c r="H44" s="484"/>
      <c r="I44" s="485"/>
      <c r="J44" s="482"/>
      <c r="K44" s="483"/>
      <c r="L44" s="15"/>
    </row>
    <row r="45" spans="3:12" s="14" customFormat="1" ht="105" customHeight="1" x14ac:dyDescent="0.25">
      <c r="C45" s="15"/>
      <c r="D45" s="490"/>
      <c r="E45" s="71" t="s">
        <v>11</v>
      </c>
      <c r="F45" s="507" t="s">
        <v>111</v>
      </c>
      <c r="G45" s="507"/>
      <c r="H45" s="507"/>
      <c r="I45" s="40">
        <v>9</v>
      </c>
      <c r="J45" s="485" t="s">
        <v>112</v>
      </c>
      <c r="K45" s="486"/>
      <c r="L45" s="15"/>
    </row>
    <row r="46" spans="3:12" s="14" customFormat="1" ht="27.95" customHeight="1" x14ac:dyDescent="0.25">
      <c r="C46" s="15"/>
      <c r="D46" s="506"/>
      <c r="E46" s="74" t="s">
        <v>12</v>
      </c>
      <c r="F46" s="499">
        <f>AVERAGE(I43:I45)</f>
        <v>8.5</v>
      </c>
      <c r="G46" s="499"/>
      <c r="H46" s="499"/>
      <c r="I46" s="499"/>
      <c r="J46" s="499"/>
      <c r="K46" s="500"/>
      <c r="L46" s="15"/>
    </row>
    <row r="47" spans="3:12" s="14" customFormat="1" ht="74.25" customHeight="1" x14ac:dyDescent="0.25">
      <c r="C47" s="15"/>
      <c r="D47" s="496" t="str">
        <f>CONCATENATE("Meeting 2 - ", TEXT(I38,"dd/mm/yyyy"))</f>
        <v>Meeting 2 - 18/03/2024</v>
      </c>
      <c r="E47" s="72" t="s">
        <v>9</v>
      </c>
      <c r="F47" s="492" t="s">
        <v>113</v>
      </c>
      <c r="G47" s="492"/>
      <c r="H47" s="492"/>
      <c r="I47" s="493">
        <v>9</v>
      </c>
      <c r="J47" s="494" t="s">
        <v>114</v>
      </c>
      <c r="K47" s="495"/>
      <c r="L47" s="15"/>
    </row>
    <row r="48" spans="3:12" s="14" customFormat="1" ht="74.25" customHeight="1" x14ac:dyDescent="0.25">
      <c r="C48" s="15"/>
      <c r="D48" s="497"/>
      <c r="E48" s="39" t="s">
        <v>10</v>
      </c>
      <c r="F48" s="484" t="s">
        <v>115</v>
      </c>
      <c r="G48" s="484"/>
      <c r="H48" s="484"/>
      <c r="I48" s="485"/>
      <c r="J48" s="482" t="s">
        <v>116</v>
      </c>
      <c r="K48" s="483"/>
      <c r="L48" s="15"/>
    </row>
    <row r="49" spans="3:12" s="14" customFormat="1" ht="105" customHeight="1" x14ac:dyDescent="0.25">
      <c r="C49" s="15"/>
      <c r="D49" s="497"/>
      <c r="E49" s="71" t="s">
        <v>11</v>
      </c>
      <c r="F49" s="484" t="s">
        <v>117</v>
      </c>
      <c r="G49" s="484"/>
      <c r="H49" s="484"/>
      <c r="I49" s="40">
        <v>9</v>
      </c>
      <c r="J49" s="485"/>
      <c r="K49" s="486"/>
      <c r="L49" s="15"/>
    </row>
    <row r="50" spans="3:12" s="14" customFormat="1" ht="27.95" customHeight="1" x14ac:dyDescent="0.25">
      <c r="C50" s="15"/>
      <c r="D50" s="498"/>
      <c r="E50" s="74" t="s">
        <v>12</v>
      </c>
      <c r="F50" s="499">
        <f>AVERAGE(I47:I49)</f>
        <v>9</v>
      </c>
      <c r="G50" s="499"/>
      <c r="H50" s="499"/>
      <c r="I50" s="499"/>
      <c r="J50" s="499"/>
      <c r="K50" s="500"/>
      <c r="L50" s="15"/>
    </row>
    <row r="51" spans="3:12" s="14" customFormat="1" ht="45.75" customHeight="1" x14ac:dyDescent="0.25">
      <c r="C51" s="21"/>
      <c r="D51" s="489" t="str">
        <f>CONCATENATE("Meeting 3 - ", TEXT(I39,"dd/mm/yyyy"))</f>
        <v>Meeting 3 - 15/04/2024</v>
      </c>
      <c r="E51" s="72" t="s">
        <v>9</v>
      </c>
      <c r="F51" s="492"/>
      <c r="G51" s="492"/>
      <c r="H51" s="492"/>
      <c r="I51" s="493">
        <v>0</v>
      </c>
      <c r="J51" s="494"/>
      <c r="K51" s="495"/>
      <c r="L51" s="15"/>
    </row>
    <row r="52" spans="3:12" s="14" customFormat="1" ht="45.75" customHeight="1" x14ac:dyDescent="0.25">
      <c r="C52" s="15"/>
      <c r="D52" s="490"/>
      <c r="E52" s="39" t="s">
        <v>10</v>
      </c>
      <c r="F52" s="484"/>
      <c r="G52" s="484"/>
      <c r="H52" s="484"/>
      <c r="I52" s="485"/>
      <c r="J52" s="482"/>
      <c r="K52" s="483"/>
      <c r="L52" s="15"/>
    </row>
    <row r="53" spans="3:12" s="14" customFormat="1" ht="111" customHeight="1" x14ac:dyDescent="0.25">
      <c r="C53" s="15"/>
      <c r="D53" s="490"/>
      <c r="E53" s="71" t="s">
        <v>11</v>
      </c>
      <c r="F53" s="484"/>
      <c r="G53" s="484"/>
      <c r="H53" s="484"/>
      <c r="I53" s="40"/>
      <c r="J53" s="485"/>
      <c r="K53" s="486"/>
      <c r="L53" s="15"/>
    </row>
    <row r="54" spans="3:12" s="14" customFormat="1" ht="27.95" customHeight="1" x14ac:dyDescent="0.25">
      <c r="C54" s="15"/>
      <c r="D54" s="491"/>
      <c r="E54" s="73" t="s">
        <v>12</v>
      </c>
      <c r="F54" s="487">
        <f>AVERAGE(I51:I53)</f>
        <v>0</v>
      </c>
      <c r="G54" s="487"/>
      <c r="H54" s="487"/>
      <c r="I54" s="487"/>
      <c r="J54" s="487"/>
      <c r="K54" s="488"/>
      <c r="L54" s="15"/>
    </row>
    <row r="55" spans="3:12" s="14" customFormat="1" ht="20.100000000000001" customHeight="1" x14ac:dyDescent="0.3">
      <c r="C55" s="15"/>
      <c r="D55" s="15"/>
      <c r="E55" s="15"/>
      <c r="F55" s="15"/>
      <c r="G55" s="15"/>
      <c r="H55" s="15"/>
      <c r="I55" s="15"/>
      <c r="J55" s="15"/>
      <c r="K55" s="15"/>
      <c r="L55" s="7"/>
    </row>
    <row r="56" spans="3:12" s="14" customFormat="1" ht="20.100000000000001" customHeight="1" x14ac:dyDescent="0.3">
      <c r="C56" s="15"/>
      <c r="D56" s="15"/>
      <c r="E56" s="15"/>
      <c r="F56" s="15"/>
      <c r="G56" s="15"/>
      <c r="H56" s="15"/>
      <c r="I56" s="15"/>
      <c r="J56" s="15"/>
      <c r="K56" s="15"/>
      <c r="L56" s="7"/>
    </row>
    <row r="57" spans="3:12" s="14" customFormat="1" ht="20.100000000000001" customHeight="1" x14ac:dyDescent="0.3">
      <c r="C57" s="15"/>
      <c r="D57" s="15"/>
      <c r="E57" s="15"/>
      <c r="F57" s="15"/>
      <c r="G57" s="15"/>
      <c r="H57" s="15"/>
      <c r="I57" s="15"/>
      <c r="J57" s="15"/>
      <c r="K57" s="15"/>
      <c r="L57" s="7"/>
    </row>
    <row r="58" spans="3:12" s="14" customFormat="1" ht="33" customHeight="1" x14ac:dyDescent="0.3">
      <c r="C58" s="21"/>
      <c r="D58" s="457" t="s">
        <v>118</v>
      </c>
      <c r="E58" s="457"/>
      <c r="F58" s="457"/>
      <c r="G58" s="457"/>
      <c r="H58" s="457"/>
      <c r="I58" s="457"/>
      <c r="J58" s="457"/>
      <c r="K58" s="457"/>
      <c r="L58" s="7"/>
    </row>
    <row r="59" spans="3:12" s="14" customFormat="1" ht="50.1" customHeight="1" x14ac:dyDescent="0.3">
      <c r="C59" s="21"/>
      <c r="D59" s="460" t="s">
        <v>119</v>
      </c>
      <c r="E59" s="460"/>
      <c r="F59" s="460"/>
      <c r="G59" s="460"/>
      <c r="H59" s="460"/>
      <c r="I59" s="460"/>
      <c r="J59" s="460"/>
      <c r="K59" s="460"/>
      <c r="L59" s="7"/>
    </row>
    <row r="60" spans="3:12" s="14" customFormat="1" ht="16.5" customHeight="1" x14ac:dyDescent="0.3">
      <c r="C60" s="7"/>
      <c r="D60" s="24"/>
      <c r="E60" s="24"/>
      <c r="F60" s="24"/>
      <c r="G60" s="1"/>
      <c r="H60" s="1"/>
      <c r="I60" s="1"/>
      <c r="J60" s="1"/>
      <c r="K60" s="25"/>
      <c r="L60" s="7"/>
    </row>
    <row r="61" spans="3:12" s="14" customFormat="1" ht="48" customHeight="1" x14ac:dyDescent="0.3">
      <c r="C61" s="7"/>
      <c r="D61" s="474" t="s">
        <v>120</v>
      </c>
      <c r="E61" s="475"/>
      <c r="F61" s="476" t="s">
        <v>121</v>
      </c>
      <c r="G61" s="477"/>
      <c r="H61" s="477"/>
      <c r="I61" s="477"/>
      <c r="J61" s="477"/>
      <c r="K61" s="478"/>
      <c r="L61" s="7"/>
    </row>
    <row r="62" spans="3:12" s="14" customFormat="1" ht="18.95" customHeight="1" x14ac:dyDescent="0.3">
      <c r="C62" s="7"/>
      <c r="D62" s="462" t="str">
        <f>CONCATENATE("Meeting 1 - ", TEXT($I$37,"dd/mm/yyyy"))</f>
        <v>Meeting 1 - 15/02/2024</v>
      </c>
      <c r="E62" s="463"/>
      <c r="F62" s="32"/>
      <c r="G62" s="466" t="s">
        <v>106</v>
      </c>
      <c r="H62" s="467"/>
      <c r="I62" s="466" t="s">
        <v>122</v>
      </c>
      <c r="J62" s="468"/>
      <c r="K62" s="467"/>
      <c r="L62" s="7"/>
    </row>
    <row r="63" spans="3:12" s="14" customFormat="1" ht="163.5" customHeight="1" x14ac:dyDescent="0.3">
      <c r="C63" s="7"/>
      <c r="D63" s="464"/>
      <c r="E63" s="465"/>
      <c r="F63" s="37">
        <v>0.7</v>
      </c>
      <c r="G63" s="470" t="s">
        <v>123</v>
      </c>
      <c r="H63" s="470"/>
      <c r="I63" s="470" t="s">
        <v>124</v>
      </c>
      <c r="J63" s="470"/>
      <c r="K63" s="470"/>
      <c r="L63" s="7"/>
    </row>
    <row r="64" spans="3:12" s="14" customFormat="1" ht="18" customHeight="1" x14ac:dyDescent="0.3">
      <c r="C64" s="7"/>
      <c r="D64" s="462" t="str">
        <f>CONCATENATE("Meeting 2 - ", TEXT($I$38,"dd/mm/yyyy"))</f>
        <v>Meeting 2 - 18/03/2024</v>
      </c>
      <c r="E64" s="463"/>
      <c r="F64" s="32"/>
      <c r="G64" s="466" t="s">
        <v>106</v>
      </c>
      <c r="H64" s="467"/>
      <c r="I64" s="466" t="s">
        <v>125</v>
      </c>
      <c r="J64" s="468"/>
      <c r="K64" s="467"/>
      <c r="L64" s="7"/>
    </row>
    <row r="65" spans="3:12" s="14" customFormat="1" ht="87" customHeight="1" x14ac:dyDescent="0.3">
      <c r="C65" s="7"/>
      <c r="D65" s="464"/>
      <c r="E65" s="465"/>
      <c r="F65" s="37">
        <v>0.8</v>
      </c>
      <c r="G65" s="470" t="s">
        <v>126</v>
      </c>
      <c r="H65" s="470"/>
      <c r="I65" s="470" t="s">
        <v>127</v>
      </c>
      <c r="J65" s="470"/>
      <c r="K65" s="470"/>
      <c r="L65" s="7"/>
    </row>
    <row r="66" spans="3:12" s="14" customFormat="1" ht="18" customHeight="1" x14ac:dyDescent="0.3">
      <c r="C66" s="7"/>
      <c r="D66" s="462" t="str">
        <f>CONCATENATE("Meeting 3 - ", TEXT($I$39,"dd/mm/yyyy"))</f>
        <v>Meeting 3 - 15/04/2024</v>
      </c>
      <c r="E66" s="463"/>
      <c r="F66" s="32"/>
      <c r="G66" s="466" t="s">
        <v>106</v>
      </c>
      <c r="H66" s="467"/>
      <c r="I66" s="466" t="s">
        <v>107</v>
      </c>
      <c r="J66" s="468"/>
      <c r="K66" s="467"/>
      <c r="L66" s="7"/>
    </row>
    <row r="67" spans="3:12" s="14" customFormat="1" ht="48" customHeight="1" x14ac:dyDescent="0.3">
      <c r="C67" s="7"/>
      <c r="D67" s="464"/>
      <c r="E67" s="465"/>
      <c r="F67" s="37">
        <v>0</v>
      </c>
      <c r="G67" s="470"/>
      <c r="H67" s="470"/>
      <c r="I67" s="470"/>
      <c r="J67" s="470"/>
      <c r="K67" s="470"/>
      <c r="L67" s="7"/>
    </row>
    <row r="68" spans="3:12" s="14" customFormat="1" ht="16.5" customHeight="1" x14ac:dyDescent="0.3">
      <c r="C68" s="7"/>
      <c r="D68" s="24"/>
      <c r="E68" s="24"/>
      <c r="F68" s="24"/>
      <c r="G68" s="1"/>
      <c r="H68" s="1"/>
      <c r="I68" s="1"/>
      <c r="J68" s="1"/>
      <c r="K68" s="25"/>
      <c r="L68" s="7"/>
    </row>
    <row r="69" spans="3:12" s="14" customFormat="1" ht="60.6" customHeight="1" x14ac:dyDescent="0.3">
      <c r="C69" s="7"/>
      <c r="D69" s="474" t="s">
        <v>128</v>
      </c>
      <c r="E69" s="475"/>
      <c r="F69" s="476" t="s">
        <v>129</v>
      </c>
      <c r="G69" s="477"/>
      <c r="H69" s="477"/>
      <c r="I69" s="477"/>
      <c r="J69" s="477"/>
      <c r="K69" s="478"/>
      <c r="L69" s="7"/>
    </row>
    <row r="70" spans="3:12" s="14" customFormat="1" ht="20.25" x14ac:dyDescent="0.3">
      <c r="C70" s="7"/>
      <c r="D70" s="462" t="str">
        <f>CONCATENATE("Meeting 1 - ", TEXT($I$37,"dd/mm/yyyy"))</f>
        <v>Meeting 1 - 15/02/2024</v>
      </c>
      <c r="E70" s="463"/>
      <c r="F70" s="32"/>
      <c r="G70" s="466" t="s">
        <v>106</v>
      </c>
      <c r="H70" s="467"/>
      <c r="I70" s="466" t="s">
        <v>107</v>
      </c>
      <c r="J70" s="468"/>
      <c r="K70" s="467"/>
      <c r="L70" s="7"/>
    </row>
    <row r="71" spans="3:12" s="14" customFormat="1" ht="72.599999999999994" customHeight="1" x14ac:dyDescent="0.3">
      <c r="C71" s="7"/>
      <c r="D71" s="464"/>
      <c r="E71" s="465"/>
      <c r="F71" s="37">
        <v>0.9</v>
      </c>
      <c r="G71" s="470" t="s">
        <v>130</v>
      </c>
      <c r="H71" s="470"/>
      <c r="I71" s="470" t="s">
        <v>131</v>
      </c>
      <c r="J71" s="470"/>
      <c r="K71" s="470"/>
      <c r="L71" s="7"/>
    </row>
    <row r="72" spans="3:12" s="14" customFormat="1" ht="21" customHeight="1" x14ac:dyDescent="0.3">
      <c r="C72" s="7"/>
      <c r="D72" s="462" t="str">
        <f>CONCATENATE("Meeting 2 - ", TEXT($I$38,"dd/mm/yyyy"))</f>
        <v>Meeting 2 - 18/03/2024</v>
      </c>
      <c r="E72" s="463"/>
      <c r="F72" s="32"/>
      <c r="G72" s="466" t="s">
        <v>106</v>
      </c>
      <c r="H72" s="467"/>
      <c r="I72" s="466" t="s">
        <v>107</v>
      </c>
      <c r="J72" s="468"/>
      <c r="K72" s="467"/>
      <c r="L72" s="7"/>
    </row>
    <row r="73" spans="3:12" s="14" customFormat="1" ht="48" customHeight="1" x14ac:dyDescent="0.3">
      <c r="C73" s="7"/>
      <c r="D73" s="464"/>
      <c r="E73" s="465"/>
      <c r="F73" s="37">
        <v>0.95</v>
      </c>
      <c r="G73" s="470" t="s">
        <v>132</v>
      </c>
      <c r="H73" s="470"/>
      <c r="I73" s="470" t="s">
        <v>133</v>
      </c>
      <c r="J73" s="470"/>
      <c r="K73" s="470"/>
      <c r="L73" s="7"/>
    </row>
    <row r="74" spans="3:12" s="14" customFormat="1" ht="21" customHeight="1" x14ac:dyDescent="0.3">
      <c r="C74" s="7"/>
      <c r="D74" s="462" t="str">
        <f>CONCATENATE("Meeting 3 - ", TEXT($I$39,"dd/mm/yyyy"))</f>
        <v>Meeting 3 - 15/04/2024</v>
      </c>
      <c r="E74" s="463"/>
      <c r="F74" s="32"/>
      <c r="G74" s="466" t="s">
        <v>106</v>
      </c>
      <c r="H74" s="467"/>
      <c r="I74" s="466" t="s">
        <v>107</v>
      </c>
      <c r="J74" s="468"/>
      <c r="K74" s="467"/>
      <c r="L74" s="7"/>
    </row>
    <row r="75" spans="3:12" s="14" customFormat="1" ht="48" customHeight="1" x14ac:dyDescent="0.3">
      <c r="C75" s="7"/>
      <c r="D75" s="464"/>
      <c r="E75" s="465"/>
      <c r="F75" s="37">
        <v>0</v>
      </c>
      <c r="G75" s="480"/>
      <c r="H75" s="481"/>
      <c r="I75" s="470"/>
      <c r="J75" s="470"/>
      <c r="K75" s="470"/>
      <c r="L75" s="7"/>
    </row>
    <row r="76" spans="3:12" s="14" customFormat="1" ht="14.1" customHeight="1" x14ac:dyDescent="0.3">
      <c r="C76" s="21"/>
      <c r="D76" s="8"/>
      <c r="E76" s="8"/>
      <c r="F76" s="26"/>
      <c r="G76" s="26"/>
      <c r="H76" s="26"/>
      <c r="I76" s="26"/>
      <c r="J76" s="26"/>
      <c r="K76" s="27"/>
      <c r="L76" s="7"/>
    </row>
    <row r="77" spans="3:12" s="14" customFormat="1" ht="66.95" customHeight="1" x14ac:dyDescent="0.3">
      <c r="C77" s="21"/>
      <c r="D77" s="474" t="s">
        <v>134</v>
      </c>
      <c r="E77" s="475"/>
      <c r="F77" s="476" t="s">
        <v>135</v>
      </c>
      <c r="G77" s="477"/>
      <c r="H77" s="477"/>
      <c r="I77" s="477"/>
      <c r="J77" s="477"/>
      <c r="K77" s="478"/>
      <c r="L77" s="7"/>
    </row>
    <row r="78" spans="3:12" s="14" customFormat="1" ht="17.45" customHeight="1" x14ac:dyDescent="0.3">
      <c r="C78" s="21"/>
      <c r="D78" s="462" t="str">
        <f>CONCATENATE("Meeting 1 - ", TEXT($I$37,"dd/mm/yyyy"))</f>
        <v>Meeting 1 - 15/02/2024</v>
      </c>
      <c r="E78" s="463"/>
      <c r="F78" s="32"/>
      <c r="G78" s="466" t="s">
        <v>106</v>
      </c>
      <c r="H78" s="467"/>
      <c r="I78" s="466" t="s">
        <v>107</v>
      </c>
      <c r="J78" s="468"/>
      <c r="K78" s="467"/>
      <c r="L78" s="7"/>
    </row>
    <row r="79" spans="3:12" s="14" customFormat="1" ht="48.6" customHeight="1" x14ac:dyDescent="0.3">
      <c r="C79" s="21"/>
      <c r="D79" s="464"/>
      <c r="E79" s="465"/>
      <c r="F79" s="37">
        <v>0.2</v>
      </c>
      <c r="G79" s="470" t="s">
        <v>136</v>
      </c>
      <c r="H79" s="470"/>
      <c r="I79" s="470"/>
      <c r="J79" s="470"/>
      <c r="K79" s="470"/>
      <c r="L79" s="7"/>
    </row>
    <row r="80" spans="3:12" s="14" customFormat="1" ht="17.45" customHeight="1" x14ac:dyDescent="0.3">
      <c r="C80" s="7"/>
      <c r="D80" s="462" t="str">
        <f>CONCATENATE("Meeting 2 - ", TEXT($I$38,"dd/mm/yyyy"))</f>
        <v>Meeting 2 - 18/03/2024</v>
      </c>
      <c r="E80" s="463"/>
      <c r="F80" s="32"/>
      <c r="G80" s="466" t="s">
        <v>106</v>
      </c>
      <c r="H80" s="467"/>
      <c r="I80" s="466" t="s">
        <v>107</v>
      </c>
      <c r="J80" s="468"/>
      <c r="K80" s="467"/>
      <c r="L80" s="15"/>
    </row>
    <row r="81" spans="3:12" s="14" customFormat="1" ht="48" customHeight="1" x14ac:dyDescent="0.3">
      <c r="C81" s="7"/>
      <c r="D81" s="464"/>
      <c r="E81" s="465"/>
      <c r="F81" s="37">
        <v>0.6</v>
      </c>
      <c r="G81" s="470" t="s">
        <v>137</v>
      </c>
      <c r="H81" s="470"/>
      <c r="I81" s="470" t="s">
        <v>138</v>
      </c>
      <c r="J81" s="470"/>
      <c r="K81" s="470"/>
      <c r="L81" s="15"/>
    </row>
    <row r="82" spans="3:12" s="14" customFormat="1" ht="24" customHeight="1" x14ac:dyDescent="0.3">
      <c r="C82" s="7"/>
      <c r="D82" s="462" t="str">
        <f>CONCATENATE("Meeting 3 - ", TEXT($I$39,"dd/mm/yyyy"))</f>
        <v>Meeting 3 - 15/04/2024</v>
      </c>
      <c r="E82" s="463"/>
      <c r="F82" s="32"/>
      <c r="G82" s="466" t="s">
        <v>106</v>
      </c>
      <c r="H82" s="467"/>
      <c r="I82" s="466" t="s">
        <v>107</v>
      </c>
      <c r="J82" s="468"/>
      <c r="K82" s="467"/>
      <c r="L82" s="15"/>
    </row>
    <row r="83" spans="3:12" s="14" customFormat="1" ht="48" customHeight="1" x14ac:dyDescent="0.3">
      <c r="C83" s="7"/>
      <c r="D83" s="464"/>
      <c r="E83" s="465"/>
      <c r="F83" s="37">
        <v>0</v>
      </c>
      <c r="G83" s="480"/>
      <c r="H83" s="481"/>
      <c r="I83" s="470"/>
      <c r="J83" s="470"/>
      <c r="K83" s="470"/>
      <c r="L83" s="15"/>
    </row>
    <row r="84" spans="3:12" s="14" customFormat="1" ht="12.6" customHeight="1" x14ac:dyDescent="0.3">
      <c r="C84" s="7"/>
      <c r="D84" s="24"/>
      <c r="E84" s="24"/>
      <c r="F84" s="24"/>
      <c r="G84" s="1"/>
      <c r="H84" s="1"/>
      <c r="I84" s="1"/>
      <c r="J84" s="1"/>
      <c r="K84" s="25"/>
      <c r="L84" s="15"/>
    </row>
    <row r="85" spans="3:12" s="14" customFormat="1" ht="63.6" customHeight="1" x14ac:dyDescent="0.3">
      <c r="C85" s="7"/>
      <c r="D85" s="474" t="s">
        <v>139</v>
      </c>
      <c r="E85" s="475"/>
      <c r="F85" s="476"/>
      <c r="G85" s="477"/>
      <c r="H85" s="477"/>
      <c r="I85" s="477"/>
      <c r="J85" s="477"/>
      <c r="K85" s="478"/>
      <c r="L85" s="15"/>
    </row>
    <row r="86" spans="3:12" s="14" customFormat="1" ht="24.75" customHeight="1" x14ac:dyDescent="0.3">
      <c r="C86" s="7"/>
      <c r="D86" s="462" t="str">
        <f>CONCATENATE("Meeting 1 - ", TEXT($I$37,"dd/mm/yyyy"))</f>
        <v>Meeting 1 - 15/02/2024</v>
      </c>
      <c r="E86" s="463"/>
      <c r="F86" s="32"/>
      <c r="G86" s="479" t="s">
        <v>106</v>
      </c>
      <c r="H86" s="479"/>
      <c r="I86" s="466" t="s">
        <v>107</v>
      </c>
      <c r="J86" s="468"/>
      <c r="K86" s="467"/>
      <c r="L86" s="15"/>
    </row>
    <row r="87" spans="3:12" s="14" customFormat="1" ht="75" customHeight="1" x14ac:dyDescent="0.3">
      <c r="C87" s="7"/>
      <c r="D87" s="464"/>
      <c r="E87" s="465"/>
      <c r="F87" s="37">
        <v>0</v>
      </c>
      <c r="G87" s="469"/>
      <c r="H87" s="469"/>
      <c r="I87" s="470"/>
      <c r="J87" s="470"/>
      <c r="K87" s="470"/>
      <c r="L87" s="15"/>
    </row>
    <row r="88" spans="3:12" s="14" customFormat="1" ht="20.25" x14ac:dyDescent="0.3">
      <c r="C88" s="7"/>
      <c r="D88" s="462" t="str">
        <f>CONCATENATE("Meeting 2 - ", TEXT($I$38,"dd/mm/yyyy"))</f>
        <v>Meeting 2 - 18/03/2024</v>
      </c>
      <c r="E88" s="463"/>
      <c r="F88" s="36"/>
      <c r="G88" s="479" t="s">
        <v>106</v>
      </c>
      <c r="H88" s="479"/>
      <c r="I88" s="466" t="s">
        <v>107</v>
      </c>
      <c r="J88" s="468"/>
      <c r="K88" s="467"/>
      <c r="L88" s="15"/>
    </row>
    <row r="89" spans="3:12" s="14" customFormat="1" ht="48" customHeight="1" x14ac:dyDescent="0.3">
      <c r="C89" s="7"/>
      <c r="D89" s="464"/>
      <c r="E89" s="465"/>
      <c r="F89" s="37">
        <v>0</v>
      </c>
      <c r="G89" s="469"/>
      <c r="H89" s="469"/>
      <c r="I89" s="469"/>
      <c r="J89" s="469"/>
      <c r="K89" s="469"/>
      <c r="L89" s="15"/>
    </row>
    <row r="90" spans="3:12" s="14" customFormat="1" ht="20.25" x14ac:dyDescent="0.3">
      <c r="C90" s="7"/>
      <c r="D90" s="462" t="str">
        <f>CONCATENATE("Meeting 3 - ", TEXT($I$39,"dd/mm/yyyy"))</f>
        <v>Meeting 3 - 15/04/2024</v>
      </c>
      <c r="E90" s="463"/>
      <c r="F90" s="36"/>
      <c r="G90" s="479" t="s">
        <v>106</v>
      </c>
      <c r="H90" s="479"/>
      <c r="I90" s="466" t="s">
        <v>107</v>
      </c>
      <c r="J90" s="468"/>
      <c r="K90" s="467"/>
      <c r="L90" s="15"/>
    </row>
    <row r="91" spans="3:12" s="14" customFormat="1" ht="48" customHeight="1" x14ac:dyDescent="0.3">
      <c r="C91" s="7"/>
      <c r="D91" s="464"/>
      <c r="E91" s="465"/>
      <c r="F91" s="37">
        <v>0</v>
      </c>
      <c r="G91" s="469"/>
      <c r="H91" s="469"/>
      <c r="I91" s="469"/>
      <c r="J91" s="469"/>
      <c r="K91" s="469"/>
      <c r="L91" s="15"/>
    </row>
    <row r="92" spans="3:12" s="14" customFormat="1" ht="14.1" customHeight="1" x14ac:dyDescent="0.3">
      <c r="C92" s="7"/>
      <c r="D92" s="24"/>
      <c r="E92" s="24"/>
      <c r="F92" s="24"/>
      <c r="G92" s="1"/>
      <c r="H92" s="1"/>
      <c r="I92" s="1"/>
      <c r="J92" s="1"/>
      <c r="K92" s="2"/>
      <c r="L92" s="15"/>
    </row>
    <row r="93" spans="3:12" s="14" customFormat="1" ht="58.5" customHeight="1" x14ac:dyDescent="0.3">
      <c r="C93" s="7"/>
      <c r="D93" s="474" t="s">
        <v>140</v>
      </c>
      <c r="E93" s="475"/>
      <c r="F93" s="476"/>
      <c r="G93" s="477"/>
      <c r="H93" s="477"/>
      <c r="I93" s="477"/>
      <c r="J93" s="477"/>
      <c r="K93" s="478"/>
      <c r="L93" s="15"/>
    </row>
    <row r="94" spans="3:12" s="14" customFormat="1" ht="20.25" x14ac:dyDescent="0.3">
      <c r="C94" s="7"/>
      <c r="D94" s="462" t="str">
        <f>CONCATENATE("Meeting 1 - ", TEXT($I$37,"dd/mm/yyyy"))</f>
        <v>Meeting 1 - 15/02/2024</v>
      </c>
      <c r="E94" s="463"/>
      <c r="F94" s="32"/>
      <c r="G94" s="466" t="s">
        <v>106</v>
      </c>
      <c r="H94" s="467"/>
      <c r="I94" s="466" t="s">
        <v>107</v>
      </c>
      <c r="J94" s="468"/>
      <c r="K94" s="467"/>
      <c r="L94" s="15"/>
    </row>
    <row r="95" spans="3:12" s="14" customFormat="1" ht="105" customHeight="1" x14ac:dyDescent="0.3">
      <c r="C95" s="7"/>
      <c r="D95" s="464"/>
      <c r="E95" s="465"/>
      <c r="F95" s="37">
        <v>0</v>
      </c>
      <c r="G95" s="469"/>
      <c r="H95" s="469"/>
      <c r="I95" s="470"/>
      <c r="J95" s="470"/>
      <c r="K95" s="470"/>
      <c r="L95" s="15"/>
    </row>
    <row r="96" spans="3:12" s="14" customFormat="1" ht="20.25" x14ac:dyDescent="0.3">
      <c r="C96" s="7"/>
      <c r="D96" s="462" t="str">
        <f>CONCATENATE("Meeting 2 - ", TEXT($I$38,"dd/mm/yyyy"))</f>
        <v>Meeting 2 - 18/03/2024</v>
      </c>
      <c r="E96" s="463"/>
      <c r="F96" s="32"/>
      <c r="G96" s="466" t="s">
        <v>106</v>
      </c>
      <c r="H96" s="467"/>
      <c r="I96" s="466" t="s">
        <v>107</v>
      </c>
      <c r="J96" s="468"/>
      <c r="K96" s="467"/>
      <c r="L96" s="15"/>
    </row>
    <row r="97" spans="3:12" s="14" customFormat="1" ht="48" customHeight="1" x14ac:dyDescent="0.3">
      <c r="C97" s="7"/>
      <c r="D97" s="464"/>
      <c r="E97" s="465"/>
      <c r="F97" s="37">
        <v>0</v>
      </c>
      <c r="G97" s="469"/>
      <c r="H97" s="469"/>
      <c r="I97" s="470"/>
      <c r="J97" s="470"/>
      <c r="K97" s="470"/>
      <c r="L97" s="15"/>
    </row>
    <row r="98" spans="3:12" s="14" customFormat="1" ht="20.25" x14ac:dyDescent="0.3">
      <c r="C98" s="7"/>
      <c r="D98" s="462" t="str">
        <f>CONCATENATE("Meeting 3 - ", TEXT($I$39,"dd/mm/yyyy"))</f>
        <v>Meeting 3 - 15/04/2024</v>
      </c>
      <c r="E98" s="463"/>
      <c r="F98" s="32"/>
      <c r="G98" s="466" t="s">
        <v>106</v>
      </c>
      <c r="H98" s="467"/>
      <c r="I98" s="466" t="s">
        <v>107</v>
      </c>
      <c r="J98" s="468"/>
      <c r="K98" s="467"/>
      <c r="L98" s="15"/>
    </row>
    <row r="99" spans="3:12" s="14" customFormat="1" ht="48" customHeight="1" x14ac:dyDescent="0.3">
      <c r="C99" s="7"/>
      <c r="D99" s="464"/>
      <c r="E99" s="465"/>
      <c r="F99" s="37">
        <v>0</v>
      </c>
      <c r="G99" s="471"/>
      <c r="H99" s="472"/>
      <c r="I99" s="470"/>
      <c r="J99" s="470"/>
      <c r="K99" s="470"/>
      <c r="L99" s="15"/>
    </row>
    <row r="100" spans="3:12" s="14" customFormat="1" ht="14.1" customHeight="1" x14ac:dyDescent="0.3">
      <c r="C100" s="7"/>
      <c r="D100" s="24"/>
      <c r="E100" s="24"/>
      <c r="F100" s="24"/>
      <c r="G100" s="1"/>
      <c r="H100" s="1"/>
      <c r="I100" s="1"/>
      <c r="J100" s="1"/>
      <c r="K100" s="2"/>
      <c r="L100" s="15"/>
    </row>
    <row r="101" spans="3:12" s="14" customFormat="1" ht="48" customHeight="1" x14ac:dyDescent="0.3">
      <c r="C101" s="7"/>
      <c r="D101" s="474" t="s">
        <v>141</v>
      </c>
      <c r="E101" s="475"/>
      <c r="F101" s="476"/>
      <c r="G101" s="477"/>
      <c r="H101" s="477"/>
      <c r="I101" s="477"/>
      <c r="J101" s="477"/>
      <c r="K101" s="478"/>
      <c r="L101" s="15"/>
    </row>
    <row r="102" spans="3:12" s="14" customFormat="1" ht="20.25" x14ac:dyDescent="0.3">
      <c r="C102" s="7"/>
      <c r="D102" s="462" t="str">
        <f>CONCATENATE("Meeting 1 - ", TEXT($I$37,"dd/mm/yyyy"))</f>
        <v>Meeting 1 - 15/02/2024</v>
      </c>
      <c r="E102" s="463"/>
      <c r="F102" s="32"/>
      <c r="G102" s="466" t="s">
        <v>106</v>
      </c>
      <c r="H102" s="467"/>
      <c r="I102" s="466" t="s">
        <v>107</v>
      </c>
      <c r="J102" s="468"/>
      <c r="K102" s="467"/>
      <c r="L102" s="15"/>
    </row>
    <row r="103" spans="3:12" s="14" customFormat="1" ht="48" customHeight="1" x14ac:dyDescent="0.3">
      <c r="C103" s="7"/>
      <c r="D103" s="464"/>
      <c r="E103" s="465"/>
      <c r="F103" s="37">
        <v>0</v>
      </c>
      <c r="G103" s="469"/>
      <c r="H103" s="469"/>
      <c r="I103" s="470"/>
      <c r="J103" s="470"/>
      <c r="K103" s="470"/>
      <c r="L103" s="15"/>
    </row>
    <row r="104" spans="3:12" s="14" customFormat="1" ht="20.25" x14ac:dyDescent="0.3">
      <c r="C104" s="7"/>
      <c r="D104" s="462" t="str">
        <f>CONCATENATE("Meeting 2 - ", TEXT($I$38,"dd/mm/yyyy"))</f>
        <v>Meeting 2 - 18/03/2024</v>
      </c>
      <c r="E104" s="463"/>
      <c r="F104" s="32"/>
      <c r="G104" s="466" t="s">
        <v>106</v>
      </c>
      <c r="H104" s="467"/>
      <c r="I104" s="466" t="s">
        <v>107</v>
      </c>
      <c r="J104" s="468"/>
      <c r="K104" s="467"/>
      <c r="L104" s="15"/>
    </row>
    <row r="105" spans="3:12" s="14" customFormat="1" ht="48" customHeight="1" x14ac:dyDescent="0.3">
      <c r="C105" s="7"/>
      <c r="D105" s="464"/>
      <c r="E105" s="465"/>
      <c r="F105" s="37">
        <v>0</v>
      </c>
      <c r="G105" s="469"/>
      <c r="H105" s="469"/>
      <c r="I105" s="470"/>
      <c r="J105" s="470"/>
      <c r="K105" s="470"/>
      <c r="L105" s="15"/>
    </row>
    <row r="106" spans="3:12" s="14" customFormat="1" ht="20.25" x14ac:dyDescent="0.3">
      <c r="C106" s="7"/>
      <c r="D106" s="462" t="str">
        <f>CONCATENATE("Meeting 3 - ", TEXT($I$39,"dd/mm/yyyy"))</f>
        <v>Meeting 3 - 15/04/2024</v>
      </c>
      <c r="E106" s="463"/>
      <c r="F106" s="32"/>
      <c r="G106" s="466" t="s">
        <v>106</v>
      </c>
      <c r="H106" s="467"/>
      <c r="I106" s="466" t="s">
        <v>107</v>
      </c>
      <c r="J106" s="468"/>
      <c r="K106" s="467"/>
      <c r="L106" s="15"/>
    </row>
    <row r="107" spans="3:12" s="14" customFormat="1" ht="48" customHeight="1" x14ac:dyDescent="0.3">
      <c r="C107" s="7"/>
      <c r="D107" s="464"/>
      <c r="E107" s="465"/>
      <c r="F107" s="37">
        <v>0</v>
      </c>
      <c r="G107" s="471"/>
      <c r="H107" s="472"/>
      <c r="I107" s="470"/>
      <c r="J107" s="470"/>
      <c r="K107" s="470"/>
      <c r="L107" s="15"/>
    </row>
    <row r="108" spans="3:12" s="14" customFormat="1" ht="14.1" customHeight="1" x14ac:dyDescent="0.3">
      <c r="C108" s="7"/>
      <c r="D108" s="24"/>
      <c r="E108" s="24"/>
      <c r="F108" s="24"/>
      <c r="G108" s="1"/>
      <c r="H108" s="1"/>
      <c r="I108" s="1"/>
      <c r="J108" s="1"/>
      <c r="K108" s="2"/>
      <c r="L108" s="15"/>
    </row>
    <row r="109" spans="3:12" s="14" customFormat="1" ht="48" customHeight="1" x14ac:dyDescent="0.3">
      <c r="C109" s="7"/>
      <c r="D109" s="474" t="s">
        <v>142</v>
      </c>
      <c r="E109" s="475"/>
      <c r="F109" s="476"/>
      <c r="G109" s="477"/>
      <c r="H109" s="477"/>
      <c r="I109" s="477"/>
      <c r="J109" s="477"/>
      <c r="K109" s="478"/>
      <c r="L109" s="15"/>
    </row>
    <row r="110" spans="3:12" s="14" customFormat="1" ht="20.25" x14ac:dyDescent="0.3">
      <c r="C110" s="7"/>
      <c r="D110" s="462" t="str">
        <f>CONCATENATE("Meeting 1 - ", TEXT($I$37,"dd/mm/yyyy"))</f>
        <v>Meeting 1 - 15/02/2024</v>
      </c>
      <c r="E110" s="463"/>
      <c r="F110" s="32"/>
      <c r="G110" s="466" t="s">
        <v>106</v>
      </c>
      <c r="H110" s="467"/>
      <c r="I110" s="466" t="s">
        <v>107</v>
      </c>
      <c r="J110" s="468"/>
      <c r="K110" s="467"/>
      <c r="L110" s="15"/>
    </row>
    <row r="111" spans="3:12" s="14" customFormat="1" ht="48" customHeight="1" x14ac:dyDescent="0.3">
      <c r="C111" s="7"/>
      <c r="D111" s="464"/>
      <c r="E111" s="465"/>
      <c r="F111" s="37"/>
      <c r="G111" s="469"/>
      <c r="H111" s="469"/>
      <c r="I111" s="470"/>
      <c r="J111" s="470"/>
      <c r="K111" s="470"/>
      <c r="L111" s="15"/>
    </row>
    <row r="112" spans="3:12" s="14" customFormat="1" ht="20.25" x14ac:dyDescent="0.3">
      <c r="C112" s="7"/>
      <c r="D112" s="462" t="str">
        <f>CONCATENATE("Meeting 2 - ", TEXT($I$38,"dd/mm/yyyy"))</f>
        <v>Meeting 2 - 18/03/2024</v>
      </c>
      <c r="E112" s="463"/>
      <c r="F112" s="32"/>
      <c r="G112" s="466" t="s">
        <v>106</v>
      </c>
      <c r="H112" s="467"/>
      <c r="I112" s="466" t="s">
        <v>107</v>
      </c>
      <c r="J112" s="468"/>
      <c r="K112" s="467"/>
      <c r="L112" s="15"/>
    </row>
    <row r="113" spans="1:111" s="14" customFormat="1" ht="48" customHeight="1" x14ac:dyDescent="0.3">
      <c r="C113" s="7"/>
      <c r="D113" s="464"/>
      <c r="E113" s="465"/>
      <c r="F113" s="37">
        <v>0</v>
      </c>
      <c r="G113" s="469"/>
      <c r="H113" s="469"/>
      <c r="I113" s="470"/>
      <c r="J113" s="470"/>
      <c r="K113" s="470"/>
      <c r="L113" s="15"/>
    </row>
    <row r="114" spans="1:111" s="14" customFormat="1" ht="20.25" x14ac:dyDescent="0.3">
      <c r="C114" s="7"/>
      <c r="D114" s="462" t="str">
        <f>CONCATENATE("Meeting 3 - ", TEXT($I$39,"dd/mm/yyyy"))</f>
        <v>Meeting 3 - 15/04/2024</v>
      </c>
      <c r="E114" s="463"/>
      <c r="F114" s="32"/>
      <c r="G114" s="466" t="s">
        <v>106</v>
      </c>
      <c r="H114" s="467"/>
      <c r="I114" s="466" t="s">
        <v>107</v>
      </c>
      <c r="J114" s="468"/>
      <c r="K114" s="467"/>
      <c r="L114" s="15"/>
    </row>
    <row r="115" spans="1:111" s="14" customFormat="1" ht="48" customHeight="1" x14ac:dyDescent="0.3">
      <c r="C115" s="7"/>
      <c r="D115" s="464"/>
      <c r="E115" s="465"/>
      <c r="F115" s="37">
        <v>0</v>
      </c>
      <c r="G115" s="471"/>
      <c r="H115" s="472"/>
      <c r="I115" s="470"/>
      <c r="J115" s="470"/>
      <c r="K115" s="470"/>
      <c r="L115" s="15"/>
    </row>
    <row r="116" spans="1:111" s="14" customFormat="1" ht="20.25" x14ac:dyDescent="0.3">
      <c r="C116" s="7"/>
      <c r="D116" s="24"/>
      <c r="E116" s="24"/>
      <c r="F116" s="24"/>
      <c r="G116" s="1"/>
      <c r="H116" s="1"/>
      <c r="I116" s="1"/>
      <c r="J116" s="1"/>
      <c r="K116" s="2"/>
      <c r="L116" s="15"/>
    </row>
    <row r="117" spans="1:111" ht="29.45" customHeight="1" x14ac:dyDescent="0.3">
      <c r="C117" s="7"/>
      <c r="D117" s="7"/>
      <c r="E117" s="7"/>
      <c r="F117" s="7"/>
      <c r="G117" s="7"/>
      <c r="H117" s="7"/>
      <c r="I117" s="7"/>
      <c r="J117" s="7"/>
      <c r="K117" s="7"/>
      <c r="L117" s="7"/>
    </row>
    <row r="118" spans="1:111" ht="29.45" customHeight="1" x14ac:dyDescent="0.3">
      <c r="C118" s="7"/>
      <c r="D118" s="7"/>
      <c r="E118" s="7"/>
      <c r="F118" s="7"/>
      <c r="G118" s="7"/>
      <c r="H118" s="7"/>
      <c r="I118" s="7"/>
      <c r="J118" s="7"/>
      <c r="K118" s="7"/>
      <c r="L118" s="7"/>
    </row>
    <row r="119" spans="1:111" ht="21.95" customHeight="1" x14ac:dyDescent="0.4">
      <c r="C119" s="7"/>
      <c r="D119" s="28" t="s">
        <v>143</v>
      </c>
      <c r="E119" s="13"/>
      <c r="F119" s="7"/>
      <c r="G119" s="7"/>
      <c r="H119" s="7"/>
      <c r="I119" s="7"/>
      <c r="J119" s="7"/>
      <c r="K119" s="7"/>
      <c r="L119" s="7"/>
    </row>
    <row r="120" spans="1:111" ht="38.450000000000003" customHeight="1" x14ac:dyDescent="0.3">
      <c r="C120" s="7"/>
      <c r="D120" s="460" t="s">
        <v>144</v>
      </c>
      <c r="E120" s="460"/>
      <c r="F120" s="460"/>
      <c r="G120" s="460"/>
      <c r="H120" s="460"/>
      <c r="I120" s="460"/>
      <c r="J120" s="460"/>
      <c r="K120" s="460"/>
      <c r="L120" s="7"/>
    </row>
    <row r="121" spans="1:111" s="58" customFormat="1" ht="38.450000000000003" customHeight="1" x14ac:dyDescent="0.3">
      <c r="A121" s="22"/>
      <c r="B121" s="22"/>
      <c r="C121" s="7"/>
      <c r="D121" s="460" t="s">
        <v>35</v>
      </c>
      <c r="E121" s="460"/>
      <c r="F121" s="461" t="s">
        <v>36</v>
      </c>
      <c r="G121" s="461"/>
      <c r="H121" s="4"/>
      <c r="I121" s="4"/>
      <c r="J121" s="4"/>
      <c r="K121" s="4"/>
      <c r="L121" s="9"/>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row>
    <row r="122" spans="1:111" s="59" customFormat="1" ht="74.25" customHeight="1" x14ac:dyDescent="0.35">
      <c r="A122" s="60"/>
      <c r="B122" s="60"/>
      <c r="C122" s="42"/>
      <c r="D122" s="57"/>
      <c r="E122" s="438" t="s">
        <v>37</v>
      </c>
      <c r="F122" s="438"/>
      <c r="G122" s="438"/>
      <c r="H122" s="438"/>
      <c r="I122" s="438"/>
      <c r="J122" s="438"/>
      <c r="K122" s="439"/>
      <c r="L122" s="44"/>
    </row>
    <row r="123" spans="1:111" s="59" customFormat="1" ht="91.5" customHeight="1" x14ac:dyDescent="0.35">
      <c r="A123" s="60"/>
      <c r="B123" s="60"/>
      <c r="C123" s="42"/>
      <c r="D123" s="56" t="s">
        <v>38</v>
      </c>
      <c r="E123" s="437" t="s">
        <v>145</v>
      </c>
      <c r="F123" s="437"/>
      <c r="G123" s="437"/>
      <c r="H123" s="437"/>
      <c r="I123" s="437"/>
      <c r="J123" s="437"/>
      <c r="K123" s="437"/>
      <c r="L123" s="44"/>
    </row>
    <row r="124" spans="1:111" s="60" customFormat="1" ht="53.45" customHeight="1" x14ac:dyDescent="0.35">
      <c r="C124" s="42"/>
      <c r="D124" s="352" t="s">
        <v>40</v>
      </c>
      <c r="E124" s="436" t="s">
        <v>41</v>
      </c>
      <c r="F124" s="436"/>
      <c r="G124" s="70" t="s">
        <v>42</v>
      </c>
      <c r="H124" s="70" t="s">
        <v>43</v>
      </c>
      <c r="I124" s="436" t="s">
        <v>44</v>
      </c>
      <c r="J124" s="436"/>
      <c r="K124" s="70" t="s">
        <v>45</v>
      </c>
      <c r="L124" s="43"/>
      <c r="N124" s="61"/>
    </row>
    <row r="125" spans="1:111" s="60" customFormat="1" ht="131.1" customHeight="1" x14ac:dyDescent="0.35">
      <c r="C125" s="42"/>
      <c r="D125" s="352"/>
      <c r="E125" s="473" t="s">
        <v>146</v>
      </c>
      <c r="F125" s="473"/>
      <c r="G125" s="230" t="s">
        <v>147</v>
      </c>
      <c r="H125" s="231" t="s">
        <v>148</v>
      </c>
      <c r="I125" s="473" t="s">
        <v>149</v>
      </c>
      <c r="J125" s="473"/>
      <c r="K125" s="231" t="s">
        <v>150</v>
      </c>
      <c r="L125" s="43"/>
      <c r="N125" s="518" t="b">
        <f>IF(K125="Fails to meet objective", 4, IF(K125="Partially meets objective", 3, IF(K125="Meets expectations", 2, IF(K125="Exceeds expectations", 1,IF(K125="To be done", "")))))</f>
        <v>0</v>
      </c>
    </row>
    <row r="126" spans="1:111" s="60" customFormat="1" ht="53.45" customHeight="1" x14ac:dyDescent="0.35">
      <c r="C126" s="42"/>
      <c r="D126" s="352"/>
      <c r="E126" s="442" t="s">
        <v>106</v>
      </c>
      <c r="F126" s="442"/>
      <c r="G126" s="442"/>
      <c r="H126" s="442"/>
      <c r="I126" s="442"/>
      <c r="J126" s="442"/>
      <c r="K126" s="442"/>
      <c r="L126" s="43"/>
      <c r="N126" s="518"/>
    </row>
    <row r="127" spans="1:111" s="60" customFormat="1" ht="33.6" customHeight="1" x14ac:dyDescent="0.35">
      <c r="C127" s="42"/>
      <c r="D127" s="352"/>
      <c r="E127" s="55" t="s">
        <v>51</v>
      </c>
      <c r="F127" s="443" t="s">
        <v>52</v>
      </c>
      <c r="G127" s="443"/>
      <c r="H127" s="443"/>
      <c r="I127" s="443"/>
      <c r="J127" s="443"/>
      <c r="K127" s="443"/>
      <c r="L127" s="43"/>
      <c r="N127" s="518"/>
    </row>
    <row r="128" spans="1:111" s="60" customFormat="1" ht="135.94999999999999" customHeight="1" x14ac:dyDescent="0.35">
      <c r="C128" s="42"/>
      <c r="D128" s="56" t="str">
        <f>CONCATENATE("Meeting 1 - ", TEXT($I$37,"dd/mm/yyyy"))</f>
        <v>Meeting 1 - 15/02/2024</v>
      </c>
      <c r="E128" s="215"/>
      <c r="F128" s="435"/>
      <c r="G128" s="435"/>
      <c r="H128" s="435"/>
      <c r="I128" s="435"/>
      <c r="J128" s="435"/>
      <c r="K128" s="435"/>
      <c r="L128" s="43"/>
      <c r="N128" s="518"/>
    </row>
    <row r="129" spans="1:14" s="60" customFormat="1" ht="135.94999999999999" customHeight="1" x14ac:dyDescent="0.35">
      <c r="C129" s="42"/>
      <c r="D129" s="56" t="str">
        <f>CONCATENATE("Meeting 2 - ", TEXT($I$38,"dd/mm/yyyy"))</f>
        <v>Meeting 2 - 18/03/2024</v>
      </c>
      <c r="E129" s="215">
        <v>0.8</v>
      </c>
      <c r="F129" s="435" t="s">
        <v>151</v>
      </c>
      <c r="G129" s="435"/>
      <c r="H129" s="435"/>
      <c r="I129" s="435"/>
      <c r="J129" s="435"/>
      <c r="K129" s="435"/>
      <c r="L129" s="43"/>
      <c r="N129" s="518"/>
    </row>
    <row r="130" spans="1:14" s="60" customFormat="1" ht="135.94999999999999" customHeight="1" x14ac:dyDescent="0.35">
      <c r="C130" s="42"/>
      <c r="D130" s="56" t="str">
        <f>CONCATENATE("Meeting 3 - ", TEXT($I$39,"dd/mm/yyyy"))</f>
        <v>Meeting 3 - 15/04/2024</v>
      </c>
      <c r="E130" s="215"/>
      <c r="F130" s="435"/>
      <c r="G130" s="435"/>
      <c r="H130" s="435"/>
      <c r="I130" s="435"/>
      <c r="J130" s="435"/>
      <c r="K130" s="435"/>
      <c r="L130" s="43"/>
      <c r="N130" s="518"/>
    </row>
    <row r="131" spans="1:14" s="60" customFormat="1" ht="53.45" customHeight="1" x14ac:dyDescent="0.35">
      <c r="C131" s="42"/>
      <c r="D131" s="352"/>
      <c r="E131" s="442" t="s">
        <v>107</v>
      </c>
      <c r="F131" s="442"/>
      <c r="G131" s="442"/>
      <c r="H131" s="442"/>
      <c r="I131" s="442"/>
      <c r="J131" s="442"/>
      <c r="K131" s="442"/>
      <c r="L131" s="43"/>
      <c r="N131" s="518"/>
    </row>
    <row r="132" spans="1:14" s="60" customFormat="1" ht="35.1" customHeight="1" x14ac:dyDescent="0.35">
      <c r="C132" s="42"/>
      <c r="D132" s="352"/>
      <c r="E132" s="55" t="s">
        <v>51</v>
      </c>
      <c r="F132" s="443" t="s">
        <v>52</v>
      </c>
      <c r="G132" s="443"/>
      <c r="H132" s="443"/>
      <c r="I132" s="443"/>
      <c r="J132" s="443"/>
      <c r="K132" s="443"/>
      <c r="L132" s="43"/>
      <c r="N132" s="518"/>
    </row>
    <row r="133" spans="1:14" s="60" customFormat="1" ht="135.94999999999999" customHeight="1" x14ac:dyDescent="0.35">
      <c r="C133" s="42"/>
      <c r="D133" s="56" t="str">
        <f>CONCATENATE("Meeting 1 - ", TEXT($I$37,"dd/mm/yyyy"))</f>
        <v>Meeting 1 - 15/02/2024</v>
      </c>
      <c r="E133" s="215"/>
      <c r="F133" s="435" t="s">
        <v>152</v>
      </c>
      <c r="G133" s="435"/>
      <c r="H133" s="435"/>
      <c r="I133" s="435"/>
      <c r="J133" s="435"/>
      <c r="K133" s="435"/>
      <c r="L133" s="43"/>
      <c r="N133" s="518"/>
    </row>
    <row r="134" spans="1:14" s="60" customFormat="1" ht="135.94999999999999" customHeight="1" x14ac:dyDescent="0.35">
      <c r="C134" s="42"/>
      <c r="D134" s="56" t="str">
        <f>CONCATENATE("Meeting 2 - ", TEXT($I$38,"dd/mm/yyyy"))</f>
        <v>Meeting 2 - 18/03/2024</v>
      </c>
      <c r="E134" s="215">
        <v>0.8</v>
      </c>
      <c r="F134" s="435" t="s">
        <v>153</v>
      </c>
      <c r="G134" s="435"/>
      <c r="H134" s="435"/>
      <c r="I134" s="435"/>
      <c r="J134" s="435"/>
      <c r="K134" s="435"/>
      <c r="L134" s="43"/>
      <c r="N134" s="518"/>
    </row>
    <row r="135" spans="1:14" s="60" customFormat="1" ht="135.94999999999999" customHeight="1" x14ac:dyDescent="0.35">
      <c r="C135" s="42"/>
      <c r="D135" s="56" t="str">
        <f>CONCATENATE("Meeting 3 - ", TEXT($I$39,"dd/mm/yyyy"))</f>
        <v>Meeting 3 - 15/04/2024</v>
      </c>
      <c r="E135" s="215"/>
      <c r="F135" s="435"/>
      <c r="G135" s="435"/>
      <c r="H135" s="435"/>
      <c r="I135" s="435"/>
      <c r="J135" s="435"/>
      <c r="K135" s="435"/>
      <c r="L135" s="43"/>
      <c r="N135" s="61"/>
    </row>
    <row r="136" spans="1:14" s="59" customFormat="1" ht="74.25" customHeight="1" x14ac:dyDescent="0.35">
      <c r="A136" s="60"/>
      <c r="B136" s="60"/>
      <c r="C136" s="42"/>
      <c r="D136" s="57"/>
      <c r="E136" s="438" t="s">
        <v>53</v>
      </c>
      <c r="F136" s="438"/>
      <c r="G136" s="438"/>
      <c r="H136" s="438"/>
      <c r="I136" s="438"/>
      <c r="J136" s="438"/>
      <c r="K136" s="439"/>
      <c r="L136" s="44"/>
    </row>
    <row r="137" spans="1:14" s="59" customFormat="1" ht="91.5" customHeight="1" x14ac:dyDescent="0.35">
      <c r="A137" s="60"/>
      <c r="B137" s="60"/>
      <c r="C137" s="42"/>
      <c r="D137" s="56" t="s">
        <v>38</v>
      </c>
      <c r="E137" s="437" t="s">
        <v>154</v>
      </c>
      <c r="F137" s="437"/>
      <c r="G137" s="437"/>
      <c r="H137" s="437"/>
      <c r="I137" s="437"/>
      <c r="J137" s="437"/>
      <c r="K137" s="437"/>
      <c r="L137" s="44"/>
    </row>
    <row r="138" spans="1:14" s="60" customFormat="1" ht="53.45" customHeight="1" x14ac:dyDescent="0.35">
      <c r="C138" s="42"/>
      <c r="D138" s="352" t="s">
        <v>40</v>
      </c>
      <c r="E138" s="436" t="s">
        <v>41</v>
      </c>
      <c r="F138" s="436"/>
      <c r="G138" s="70" t="s">
        <v>42</v>
      </c>
      <c r="H138" s="70" t="s">
        <v>43</v>
      </c>
      <c r="I138" s="436" t="s">
        <v>44</v>
      </c>
      <c r="J138" s="436"/>
      <c r="K138" s="70" t="s">
        <v>45</v>
      </c>
      <c r="L138" s="43"/>
      <c r="N138" s="61"/>
    </row>
    <row r="139" spans="1:14" s="60" customFormat="1" ht="131.1" customHeight="1" x14ac:dyDescent="0.35">
      <c r="C139" s="42"/>
      <c r="D139" s="352"/>
      <c r="E139" s="520" t="s">
        <v>155</v>
      </c>
      <c r="F139" s="521"/>
      <c r="G139" s="143" t="s">
        <v>156</v>
      </c>
      <c r="H139" s="228" t="s">
        <v>157</v>
      </c>
      <c r="I139" s="435" t="s">
        <v>158</v>
      </c>
      <c r="J139" s="435"/>
      <c r="K139" s="228" t="s">
        <v>104</v>
      </c>
      <c r="L139" s="43"/>
      <c r="N139" s="518" t="b">
        <f>IF(K139="Fails to meet objective", 4, IF(K139="Partially meets objective", 3, IF(K139="Meets expectations", 2, IF(K139="Exceeds expectations", 1,IF(K139="To be done", "")))))</f>
        <v>0</v>
      </c>
    </row>
    <row r="140" spans="1:14" s="60" customFormat="1" ht="53.45" customHeight="1" x14ac:dyDescent="0.35">
      <c r="C140" s="42"/>
      <c r="D140" s="352"/>
      <c r="E140" s="442" t="s">
        <v>106</v>
      </c>
      <c r="F140" s="442"/>
      <c r="G140" s="442"/>
      <c r="H140" s="442"/>
      <c r="I140" s="442"/>
      <c r="J140" s="442"/>
      <c r="K140" s="442"/>
      <c r="L140" s="43"/>
      <c r="N140" s="518"/>
    </row>
    <row r="141" spans="1:14" s="60" customFormat="1" ht="33.6" customHeight="1" x14ac:dyDescent="0.35">
      <c r="C141" s="42"/>
      <c r="D141" s="352"/>
      <c r="E141" s="55" t="s">
        <v>51</v>
      </c>
      <c r="F141" s="443" t="s">
        <v>52</v>
      </c>
      <c r="G141" s="443"/>
      <c r="H141" s="443"/>
      <c r="I141" s="443"/>
      <c r="J141" s="443"/>
      <c r="K141" s="443"/>
      <c r="L141" s="43"/>
      <c r="N141" s="518"/>
    </row>
    <row r="142" spans="1:14" s="60" customFormat="1" ht="135.94999999999999" customHeight="1" x14ac:dyDescent="0.35">
      <c r="C142" s="42"/>
      <c r="D142" s="56" t="str">
        <f>CONCATENATE("Meeting 1 - ", TEXT($I$37,"dd/mm/yyyy"))</f>
        <v>Meeting 1 - 15/02/2024</v>
      </c>
      <c r="E142" s="215"/>
      <c r="F142" s="441"/>
      <c r="G142" s="441"/>
      <c r="H142" s="441"/>
      <c r="I142" s="441"/>
      <c r="J142" s="441"/>
      <c r="K142" s="441"/>
      <c r="L142" s="43"/>
      <c r="N142" s="518"/>
    </row>
    <row r="143" spans="1:14" s="60" customFormat="1" ht="135.94999999999999" customHeight="1" x14ac:dyDescent="0.35">
      <c r="C143" s="42"/>
      <c r="D143" s="56" t="str">
        <f>CONCATENATE("Meeting 2 - ", TEXT($I$38,"dd/mm/yyyy"))</f>
        <v>Meeting 2 - 18/03/2024</v>
      </c>
      <c r="E143" s="215">
        <v>1</v>
      </c>
      <c r="F143" s="441" t="s">
        <v>159</v>
      </c>
      <c r="G143" s="441"/>
      <c r="H143" s="441"/>
      <c r="I143" s="441"/>
      <c r="J143" s="441"/>
      <c r="K143" s="441"/>
      <c r="L143" s="43"/>
      <c r="N143" s="518"/>
    </row>
    <row r="144" spans="1:14" s="60" customFormat="1" ht="135.94999999999999" customHeight="1" x14ac:dyDescent="0.35">
      <c r="C144" s="42"/>
      <c r="D144" s="56" t="str">
        <f>CONCATENATE("Meeting 3 - ", TEXT($I$39,"dd/mm/yyyy"))</f>
        <v>Meeting 3 - 15/04/2024</v>
      </c>
      <c r="E144" s="215"/>
      <c r="F144" s="429"/>
      <c r="G144" s="430"/>
      <c r="H144" s="430"/>
      <c r="I144" s="430"/>
      <c r="J144" s="430"/>
      <c r="K144" s="431"/>
      <c r="L144" s="43"/>
      <c r="N144" s="518"/>
    </row>
    <row r="145" spans="1:14" s="60" customFormat="1" ht="53.45" customHeight="1" x14ac:dyDescent="0.35">
      <c r="C145" s="42"/>
      <c r="D145" s="352"/>
      <c r="E145" s="442" t="s">
        <v>107</v>
      </c>
      <c r="F145" s="442"/>
      <c r="G145" s="442"/>
      <c r="H145" s="442"/>
      <c r="I145" s="442"/>
      <c r="J145" s="442"/>
      <c r="K145" s="442"/>
      <c r="L145" s="43"/>
      <c r="N145" s="518"/>
    </row>
    <row r="146" spans="1:14" s="60" customFormat="1" ht="35.1" customHeight="1" x14ac:dyDescent="0.35">
      <c r="C146" s="42"/>
      <c r="D146" s="352"/>
      <c r="E146" s="55" t="s">
        <v>51</v>
      </c>
      <c r="F146" s="443" t="s">
        <v>52</v>
      </c>
      <c r="G146" s="443"/>
      <c r="H146" s="443"/>
      <c r="I146" s="443"/>
      <c r="J146" s="443"/>
      <c r="K146" s="443"/>
      <c r="L146" s="43"/>
      <c r="N146" s="518"/>
    </row>
    <row r="147" spans="1:14" s="60" customFormat="1" ht="135.94999999999999" customHeight="1" x14ac:dyDescent="0.35">
      <c r="C147" s="42"/>
      <c r="D147" s="56" t="str">
        <f>CONCATENATE("Meeting 1 - ", TEXT($I$37,"dd/mm/yyyy"))</f>
        <v>Meeting 1 - 15/02/2024</v>
      </c>
      <c r="E147" s="215"/>
      <c r="F147" s="441"/>
      <c r="G147" s="441"/>
      <c r="H147" s="441"/>
      <c r="I147" s="441"/>
      <c r="J147" s="441"/>
      <c r="K147" s="441"/>
      <c r="L147" s="43"/>
      <c r="N147" s="518"/>
    </row>
    <row r="148" spans="1:14" s="60" customFormat="1" ht="135.94999999999999" customHeight="1" x14ac:dyDescent="0.35">
      <c r="C148" s="42"/>
      <c r="D148" s="56" t="str">
        <f>CONCATENATE("Meeting 2 - ", TEXT($I$38,"dd/mm/yyyy"))</f>
        <v>Meeting 2 - 18/03/2024</v>
      </c>
      <c r="E148" s="215">
        <v>1</v>
      </c>
      <c r="F148" s="441" t="s">
        <v>160</v>
      </c>
      <c r="G148" s="441"/>
      <c r="H148" s="441"/>
      <c r="I148" s="441"/>
      <c r="J148" s="441"/>
      <c r="K148" s="441"/>
      <c r="L148" s="43"/>
      <c r="N148" s="518"/>
    </row>
    <row r="149" spans="1:14" s="60" customFormat="1" ht="135.94999999999999" customHeight="1" x14ac:dyDescent="0.35">
      <c r="C149" s="42"/>
      <c r="D149" s="56" t="str">
        <f>CONCATENATE("Meeting 3 - ", TEXT($I$39,"dd/mm/yyyy"))</f>
        <v>Meeting 3 - 15/04/2024</v>
      </c>
      <c r="E149" s="215"/>
      <c r="F149" s="429"/>
      <c r="G149" s="430"/>
      <c r="H149" s="430"/>
      <c r="I149" s="430"/>
      <c r="J149" s="430"/>
      <c r="K149" s="431"/>
      <c r="L149" s="43"/>
      <c r="N149" s="61"/>
    </row>
    <row r="150" spans="1:14" s="59" customFormat="1" ht="74.25" customHeight="1" x14ac:dyDescent="0.35">
      <c r="A150" s="60"/>
      <c r="B150" s="60"/>
      <c r="C150" s="42"/>
      <c r="D150" s="57"/>
      <c r="E150" s="438" t="s">
        <v>54</v>
      </c>
      <c r="F150" s="438"/>
      <c r="G150" s="438"/>
      <c r="H150" s="438"/>
      <c r="I150" s="438"/>
      <c r="J150" s="438"/>
      <c r="K150" s="439"/>
      <c r="L150" s="44"/>
    </row>
    <row r="151" spans="1:14" s="59" customFormat="1" ht="91.5" customHeight="1" x14ac:dyDescent="0.35">
      <c r="A151" s="60"/>
      <c r="B151" s="60"/>
      <c r="C151" s="42"/>
      <c r="D151" s="56" t="s">
        <v>38</v>
      </c>
      <c r="E151" s="437" t="s">
        <v>161</v>
      </c>
      <c r="F151" s="437"/>
      <c r="G151" s="437"/>
      <c r="H151" s="437"/>
      <c r="I151" s="437"/>
      <c r="J151" s="437"/>
      <c r="K151" s="437"/>
      <c r="L151" s="44"/>
    </row>
    <row r="152" spans="1:14" s="60" customFormat="1" ht="53.45" customHeight="1" x14ac:dyDescent="0.35">
      <c r="C152" s="42"/>
      <c r="D152" s="352" t="s">
        <v>40</v>
      </c>
      <c r="E152" s="436" t="s">
        <v>41</v>
      </c>
      <c r="F152" s="436"/>
      <c r="G152" s="70" t="s">
        <v>42</v>
      </c>
      <c r="H152" s="70" t="s">
        <v>43</v>
      </c>
      <c r="I152" s="436" t="s">
        <v>44</v>
      </c>
      <c r="J152" s="436"/>
      <c r="K152" s="70" t="s">
        <v>45</v>
      </c>
      <c r="L152" s="43"/>
      <c r="N152" s="61"/>
    </row>
    <row r="153" spans="1:14" s="60" customFormat="1" ht="131.1" customHeight="1" x14ac:dyDescent="0.35">
      <c r="C153" s="42"/>
      <c r="D153" s="352"/>
      <c r="E153" s="435" t="s">
        <v>162</v>
      </c>
      <c r="F153" s="440"/>
      <c r="G153" s="143" t="s">
        <v>163</v>
      </c>
      <c r="H153" s="228" t="s">
        <v>164</v>
      </c>
      <c r="I153" s="440" t="s">
        <v>165</v>
      </c>
      <c r="J153" s="440"/>
      <c r="K153" s="229" t="s">
        <v>104</v>
      </c>
      <c r="L153" s="43"/>
      <c r="N153" s="518" t="b">
        <f>IF(K153="Fails to meet objective", 4, IF(K153="Partially meets objective", 3, IF(K153="Meets expectations", 2, IF(K153="Exceeds expectations", 1,IF(K153="To be done", "")))))</f>
        <v>0</v>
      </c>
    </row>
    <row r="154" spans="1:14" s="60" customFormat="1" ht="53.45" customHeight="1" x14ac:dyDescent="0.35">
      <c r="C154" s="42"/>
      <c r="D154" s="352"/>
      <c r="E154" s="442" t="s">
        <v>106</v>
      </c>
      <c r="F154" s="442"/>
      <c r="G154" s="442"/>
      <c r="H154" s="442"/>
      <c r="I154" s="442"/>
      <c r="J154" s="442"/>
      <c r="K154" s="442"/>
      <c r="L154" s="43"/>
      <c r="N154" s="518"/>
    </row>
    <row r="155" spans="1:14" s="60" customFormat="1" ht="33.6" customHeight="1" x14ac:dyDescent="0.35">
      <c r="C155" s="42"/>
      <c r="D155" s="352"/>
      <c r="E155" s="55" t="s">
        <v>51</v>
      </c>
      <c r="F155" s="443" t="s">
        <v>52</v>
      </c>
      <c r="G155" s="443"/>
      <c r="H155" s="443"/>
      <c r="I155" s="443"/>
      <c r="J155" s="443"/>
      <c r="K155" s="443"/>
      <c r="L155" s="43"/>
      <c r="N155" s="518"/>
    </row>
    <row r="156" spans="1:14" s="60" customFormat="1" ht="135.94999999999999" customHeight="1" x14ac:dyDescent="0.35">
      <c r="C156" s="42"/>
      <c r="D156" s="56" t="str">
        <f>CONCATENATE("Meeting 1 - ", TEXT($I$37,"dd/mm/yyyy"))</f>
        <v>Meeting 1 - 15/02/2024</v>
      </c>
      <c r="E156" s="215"/>
      <c r="F156" s="441"/>
      <c r="G156" s="441"/>
      <c r="H156" s="441"/>
      <c r="I156" s="441"/>
      <c r="J156" s="441"/>
      <c r="K156" s="441"/>
      <c r="L156" s="43"/>
      <c r="N156" s="518"/>
    </row>
    <row r="157" spans="1:14" s="60" customFormat="1" ht="135.94999999999999" customHeight="1" x14ac:dyDescent="0.35">
      <c r="C157" s="42"/>
      <c r="D157" s="56" t="str">
        <f>CONCATENATE("Meeting 2 - ", TEXT($I$38,"dd/mm/yyyy"))</f>
        <v>Meeting 2 - 18/03/2024</v>
      </c>
      <c r="E157" s="215">
        <v>1</v>
      </c>
      <c r="F157" s="441" t="s">
        <v>166</v>
      </c>
      <c r="G157" s="441"/>
      <c r="H157" s="441"/>
      <c r="I157" s="441"/>
      <c r="J157" s="441"/>
      <c r="K157" s="441"/>
      <c r="L157" s="43"/>
      <c r="N157" s="518"/>
    </row>
    <row r="158" spans="1:14" s="60" customFormat="1" ht="135.94999999999999" customHeight="1" x14ac:dyDescent="0.35">
      <c r="C158" s="42"/>
      <c r="D158" s="56" t="str">
        <f>CONCATENATE("Meeting 3 - ", TEXT($I$39,"dd/mm/yyyy"))</f>
        <v>Meeting 3 - 15/04/2024</v>
      </c>
      <c r="E158" s="215"/>
      <c r="F158" s="429"/>
      <c r="G158" s="430"/>
      <c r="H158" s="430"/>
      <c r="I158" s="430"/>
      <c r="J158" s="430"/>
      <c r="K158" s="431"/>
      <c r="L158" s="43"/>
      <c r="N158" s="518"/>
    </row>
    <row r="159" spans="1:14" s="60" customFormat="1" ht="53.45" customHeight="1" x14ac:dyDescent="0.35">
      <c r="C159" s="42"/>
      <c r="D159" s="352"/>
      <c r="E159" s="442" t="s">
        <v>107</v>
      </c>
      <c r="F159" s="442"/>
      <c r="G159" s="442"/>
      <c r="H159" s="442"/>
      <c r="I159" s="442"/>
      <c r="J159" s="442"/>
      <c r="K159" s="442"/>
      <c r="L159" s="43"/>
      <c r="N159" s="518"/>
    </row>
    <row r="160" spans="1:14" s="60" customFormat="1" ht="35.1" customHeight="1" x14ac:dyDescent="0.35">
      <c r="C160" s="42"/>
      <c r="D160" s="352"/>
      <c r="E160" s="55" t="s">
        <v>51</v>
      </c>
      <c r="F160" s="443" t="s">
        <v>52</v>
      </c>
      <c r="G160" s="443"/>
      <c r="H160" s="443"/>
      <c r="I160" s="443"/>
      <c r="J160" s="443"/>
      <c r="K160" s="443"/>
      <c r="L160" s="43"/>
      <c r="N160" s="518"/>
    </row>
    <row r="161" spans="1:14" s="60" customFormat="1" ht="135.94999999999999" customHeight="1" x14ac:dyDescent="0.35">
      <c r="C161" s="42"/>
      <c r="D161" s="56" t="str">
        <f>CONCATENATE("Meeting 1 - ", TEXT($I$37,"dd/mm/yyyy"))</f>
        <v>Meeting 1 - 15/02/2024</v>
      </c>
      <c r="E161" s="215"/>
      <c r="F161" s="441" t="s">
        <v>167</v>
      </c>
      <c r="G161" s="441"/>
      <c r="H161" s="441"/>
      <c r="I161" s="441"/>
      <c r="J161" s="441"/>
      <c r="K161" s="441"/>
      <c r="L161" s="43"/>
      <c r="N161" s="518"/>
    </row>
    <row r="162" spans="1:14" s="60" customFormat="1" ht="135.94999999999999" customHeight="1" x14ac:dyDescent="0.35">
      <c r="C162" s="42"/>
      <c r="D162" s="56" t="str">
        <f>CONCATENATE("Meeting 2 - ", TEXT($I$38,"dd/mm/yyyy"))</f>
        <v>Meeting 2 - 18/03/2024</v>
      </c>
      <c r="E162" s="215">
        <v>1</v>
      </c>
      <c r="F162" s="441" t="s">
        <v>168</v>
      </c>
      <c r="G162" s="441"/>
      <c r="H162" s="441"/>
      <c r="I162" s="441"/>
      <c r="J162" s="441"/>
      <c r="K162" s="441"/>
      <c r="L162" s="43"/>
      <c r="N162" s="518"/>
    </row>
    <row r="163" spans="1:14" s="60" customFormat="1" ht="135.94999999999999" customHeight="1" x14ac:dyDescent="0.35">
      <c r="C163" s="42"/>
      <c r="D163" s="56" t="str">
        <f>CONCATENATE("Meeting 3 - ", TEXT($I$39,"dd/mm/yyyy"))</f>
        <v>Meeting 3 - 15/04/2024</v>
      </c>
      <c r="E163" s="215"/>
      <c r="F163" s="429"/>
      <c r="G163" s="430"/>
      <c r="H163" s="430"/>
      <c r="I163" s="430"/>
      <c r="J163" s="430"/>
      <c r="K163" s="431"/>
      <c r="L163" s="43"/>
      <c r="N163" s="61"/>
    </row>
    <row r="164" spans="1:14" s="59" customFormat="1" ht="74.25" customHeight="1" x14ac:dyDescent="0.35">
      <c r="A164" s="60"/>
      <c r="B164" s="60"/>
      <c r="C164" s="42"/>
      <c r="D164" s="57"/>
      <c r="E164" s="438" t="s">
        <v>55</v>
      </c>
      <c r="F164" s="438"/>
      <c r="G164" s="438"/>
      <c r="H164" s="438"/>
      <c r="I164" s="438"/>
      <c r="J164" s="438"/>
      <c r="K164" s="439"/>
      <c r="L164" s="44"/>
    </row>
    <row r="165" spans="1:14" s="59" customFormat="1" ht="91.5" customHeight="1" x14ac:dyDescent="0.35">
      <c r="A165" s="60"/>
      <c r="B165" s="60"/>
      <c r="C165" s="42"/>
      <c r="D165" s="56" t="s">
        <v>38</v>
      </c>
      <c r="E165" s="437" t="s">
        <v>169</v>
      </c>
      <c r="F165" s="437"/>
      <c r="G165" s="437"/>
      <c r="H165" s="437"/>
      <c r="I165" s="437"/>
      <c r="J165" s="437"/>
      <c r="K165" s="437"/>
      <c r="L165" s="44"/>
    </row>
    <row r="166" spans="1:14" s="60" customFormat="1" ht="53.45" customHeight="1" x14ac:dyDescent="0.35">
      <c r="C166" s="42"/>
      <c r="D166" s="352" t="s">
        <v>40</v>
      </c>
      <c r="E166" s="436" t="s">
        <v>41</v>
      </c>
      <c r="F166" s="436"/>
      <c r="G166" s="70" t="s">
        <v>42</v>
      </c>
      <c r="H166" s="70" t="s">
        <v>43</v>
      </c>
      <c r="I166" s="436" t="s">
        <v>44</v>
      </c>
      <c r="J166" s="436"/>
      <c r="K166" s="70" t="s">
        <v>45</v>
      </c>
      <c r="L166" s="43"/>
      <c r="N166" s="61"/>
    </row>
    <row r="167" spans="1:14" s="60" customFormat="1" ht="131.1" customHeight="1" x14ac:dyDescent="0.35">
      <c r="C167" s="42"/>
      <c r="D167" s="352"/>
      <c r="E167" s="435" t="s">
        <v>170</v>
      </c>
      <c r="F167" s="435"/>
      <c r="G167" s="143" t="s">
        <v>171</v>
      </c>
      <c r="H167" s="228" t="s">
        <v>172</v>
      </c>
      <c r="I167" s="435" t="s">
        <v>173</v>
      </c>
      <c r="J167" s="435"/>
      <c r="K167" s="232">
        <v>45397</v>
      </c>
      <c r="L167" s="43"/>
      <c r="N167" s="518" t="b">
        <f>IF(K167="Fails to meet objective", 4, IF(K167="Partially meets objective", 3, IF(K167="Meets expectations", 2, IF(K167="Exceeds expectations", 1,IF(K167="To be done", "")))))</f>
        <v>0</v>
      </c>
    </row>
    <row r="168" spans="1:14" s="60" customFormat="1" ht="53.45" customHeight="1" x14ac:dyDescent="0.35">
      <c r="C168" s="42"/>
      <c r="D168" s="352"/>
      <c r="E168" s="442" t="s">
        <v>106</v>
      </c>
      <c r="F168" s="442"/>
      <c r="G168" s="442"/>
      <c r="H168" s="442"/>
      <c r="I168" s="442"/>
      <c r="J168" s="442"/>
      <c r="K168" s="442"/>
      <c r="L168" s="43"/>
      <c r="N168" s="518"/>
    </row>
    <row r="169" spans="1:14" s="60" customFormat="1" ht="33.6" customHeight="1" x14ac:dyDescent="0.35">
      <c r="C169" s="42"/>
      <c r="D169" s="352"/>
      <c r="E169" s="55" t="s">
        <v>51</v>
      </c>
      <c r="F169" s="443" t="s">
        <v>52</v>
      </c>
      <c r="G169" s="443"/>
      <c r="H169" s="443"/>
      <c r="I169" s="443"/>
      <c r="J169" s="443"/>
      <c r="K169" s="443"/>
      <c r="L169" s="43"/>
      <c r="N169" s="518"/>
    </row>
    <row r="170" spans="1:14" s="60" customFormat="1" ht="135.94999999999999" customHeight="1" x14ac:dyDescent="0.35">
      <c r="C170" s="42"/>
      <c r="D170" s="56" t="str">
        <f>CONCATENATE("Meeting 1 - ", TEXT($I$37,"dd/mm/yyyy"))</f>
        <v>Meeting 1 - 15/02/2024</v>
      </c>
      <c r="E170" s="215"/>
      <c r="F170" s="440"/>
      <c r="G170" s="440"/>
      <c r="H170" s="440"/>
      <c r="I170" s="440"/>
      <c r="J170" s="440"/>
      <c r="K170" s="440"/>
      <c r="L170" s="43"/>
      <c r="N170" s="518"/>
    </row>
    <row r="171" spans="1:14" s="60" customFormat="1" ht="135.94999999999999" customHeight="1" x14ac:dyDescent="0.35">
      <c r="C171" s="42"/>
      <c r="D171" s="56" t="str">
        <f>CONCATENATE("Meeting 2 - ", TEXT($I$38,"dd/mm/yyyy"))</f>
        <v>Meeting 2 - 18/03/2024</v>
      </c>
      <c r="E171" s="215">
        <v>0.6</v>
      </c>
      <c r="F171" s="440" t="s">
        <v>174</v>
      </c>
      <c r="G171" s="440"/>
      <c r="H171" s="440"/>
      <c r="I171" s="440"/>
      <c r="J171" s="440"/>
      <c r="K171" s="440"/>
      <c r="L171" s="43"/>
      <c r="N171" s="518"/>
    </row>
    <row r="172" spans="1:14" s="60" customFormat="1" ht="135.94999999999999" customHeight="1" x14ac:dyDescent="0.35">
      <c r="C172" s="42"/>
      <c r="D172" s="56" t="str">
        <f>CONCATENATE("Meeting 3 - ", TEXT($I$39,"dd/mm/yyyy"))</f>
        <v>Meeting 3 - 15/04/2024</v>
      </c>
      <c r="E172" s="215"/>
      <c r="F172" s="432"/>
      <c r="G172" s="433"/>
      <c r="H172" s="433"/>
      <c r="I172" s="433"/>
      <c r="J172" s="433"/>
      <c r="K172" s="434"/>
      <c r="L172" s="43"/>
      <c r="N172" s="518"/>
    </row>
    <row r="173" spans="1:14" s="60" customFormat="1" ht="53.45" customHeight="1" x14ac:dyDescent="0.35">
      <c r="C173" s="42"/>
      <c r="D173" s="352"/>
      <c r="E173" s="442" t="s">
        <v>107</v>
      </c>
      <c r="F173" s="442"/>
      <c r="G173" s="442"/>
      <c r="H173" s="442"/>
      <c r="I173" s="442"/>
      <c r="J173" s="442"/>
      <c r="K173" s="442"/>
      <c r="L173" s="43"/>
      <c r="N173" s="518"/>
    </row>
    <row r="174" spans="1:14" s="60" customFormat="1" ht="35.1" customHeight="1" x14ac:dyDescent="0.35">
      <c r="C174" s="42"/>
      <c r="D174" s="352"/>
      <c r="E174" s="55" t="s">
        <v>51</v>
      </c>
      <c r="F174" s="443" t="s">
        <v>52</v>
      </c>
      <c r="G174" s="443"/>
      <c r="H174" s="443"/>
      <c r="I174" s="443"/>
      <c r="J174" s="443"/>
      <c r="K174" s="443"/>
      <c r="L174" s="43"/>
      <c r="N174" s="518"/>
    </row>
    <row r="175" spans="1:14" s="60" customFormat="1" ht="135.94999999999999" customHeight="1" x14ac:dyDescent="0.35">
      <c r="C175" s="42"/>
      <c r="D175" s="56" t="str">
        <f>CONCATENATE("Meeting 1 - ", TEXT($I$37,"dd/mm/yyyy"))</f>
        <v>Meeting 1 - 15/02/2024</v>
      </c>
      <c r="E175" s="215"/>
      <c r="F175" s="440"/>
      <c r="G175" s="440"/>
      <c r="H175" s="440"/>
      <c r="I175" s="440"/>
      <c r="J175" s="440"/>
      <c r="K175" s="440"/>
      <c r="L175" s="43"/>
      <c r="N175" s="518"/>
    </row>
    <row r="176" spans="1:14" s="60" customFormat="1" ht="135.94999999999999" customHeight="1" x14ac:dyDescent="0.35">
      <c r="C176" s="42"/>
      <c r="D176" s="56" t="str">
        <f>CONCATENATE("Meeting 2 - ", TEXT($I$38,"dd/mm/yyyy"))</f>
        <v>Meeting 2 - 18/03/2024</v>
      </c>
      <c r="E176" s="215">
        <v>0.4</v>
      </c>
      <c r="F176" s="435" t="s">
        <v>175</v>
      </c>
      <c r="G176" s="435"/>
      <c r="H176" s="435"/>
      <c r="I176" s="435"/>
      <c r="J176" s="435"/>
      <c r="K176" s="435"/>
      <c r="L176" s="43"/>
      <c r="N176" s="518"/>
    </row>
    <row r="177" spans="1:14" s="60" customFormat="1" ht="135.94999999999999" customHeight="1" x14ac:dyDescent="0.35">
      <c r="C177" s="42"/>
      <c r="D177" s="56" t="str">
        <f>CONCATENATE("Meeting 3 - ", TEXT($I$39,"dd/mm/yyyy"))</f>
        <v>Meeting 3 - 15/04/2024</v>
      </c>
      <c r="E177" s="215"/>
      <c r="F177" s="435"/>
      <c r="G177" s="435"/>
      <c r="H177" s="435"/>
      <c r="I177" s="435"/>
      <c r="J177" s="435"/>
      <c r="K177" s="435"/>
      <c r="L177" s="43"/>
      <c r="N177" s="61"/>
    </row>
    <row r="178" spans="1:14" s="59" customFormat="1" ht="74.25" customHeight="1" x14ac:dyDescent="0.35">
      <c r="A178" s="60"/>
      <c r="B178" s="60"/>
      <c r="C178" s="42"/>
      <c r="D178" s="57"/>
      <c r="E178" s="438" t="s">
        <v>56</v>
      </c>
      <c r="F178" s="438"/>
      <c r="G178" s="438"/>
      <c r="H178" s="438"/>
      <c r="I178" s="438"/>
      <c r="J178" s="438"/>
      <c r="K178" s="439"/>
      <c r="L178" s="44"/>
    </row>
    <row r="179" spans="1:14" s="59" customFormat="1" ht="91.5" customHeight="1" x14ac:dyDescent="0.35">
      <c r="A179" s="60"/>
      <c r="B179" s="60"/>
      <c r="C179" s="42"/>
      <c r="D179" s="56" t="s">
        <v>38</v>
      </c>
      <c r="E179" s="437"/>
      <c r="F179" s="437"/>
      <c r="G179" s="437"/>
      <c r="H179" s="437"/>
      <c r="I179" s="437"/>
      <c r="J179" s="437"/>
      <c r="K179" s="437"/>
      <c r="L179" s="44"/>
    </row>
    <row r="180" spans="1:14" s="60" customFormat="1" ht="53.45" customHeight="1" x14ac:dyDescent="0.35">
      <c r="C180" s="42"/>
      <c r="D180" s="352" t="s">
        <v>40</v>
      </c>
      <c r="E180" s="436" t="s">
        <v>41</v>
      </c>
      <c r="F180" s="436"/>
      <c r="G180" s="70" t="s">
        <v>42</v>
      </c>
      <c r="H180" s="70" t="s">
        <v>43</v>
      </c>
      <c r="I180" s="436" t="s">
        <v>44</v>
      </c>
      <c r="J180" s="436"/>
      <c r="K180" s="70" t="s">
        <v>45</v>
      </c>
      <c r="L180" s="43"/>
      <c r="N180" s="61"/>
    </row>
    <row r="181" spans="1:14" s="60" customFormat="1" ht="131.1" customHeight="1" x14ac:dyDescent="0.35">
      <c r="C181" s="42"/>
      <c r="D181" s="352"/>
      <c r="E181" s="437"/>
      <c r="F181" s="437"/>
      <c r="G181" s="214"/>
      <c r="H181" s="54"/>
      <c r="I181" s="441"/>
      <c r="J181" s="441"/>
      <c r="K181" s="54"/>
      <c r="L181" s="43"/>
      <c r="N181" s="518" t="b">
        <f>IF(K181="Fails to meet objective", 4, IF(K181="Partially meets objective", 3, IF(K181="Meets expectations", 2, IF(K181="Exceeds expectations", 1,IF(K181="To be done", "")))))</f>
        <v>0</v>
      </c>
    </row>
    <row r="182" spans="1:14" s="60" customFormat="1" ht="53.45" customHeight="1" x14ac:dyDescent="0.35">
      <c r="C182" s="42"/>
      <c r="D182" s="352"/>
      <c r="E182" s="442" t="s">
        <v>106</v>
      </c>
      <c r="F182" s="442"/>
      <c r="G182" s="442"/>
      <c r="H182" s="442"/>
      <c r="I182" s="442"/>
      <c r="J182" s="442"/>
      <c r="K182" s="442"/>
      <c r="L182" s="43"/>
      <c r="N182" s="518"/>
    </row>
    <row r="183" spans="1:14" s="60" customFormat="1" ht="33.6" customHeight="1" x14ac:dyDescent="0.35">
      <c r="C183" s="42"/>
      <c r="D183" s="352"/>
      <c r="E183" s="55" t="s">
        <v>51</v>
      </c>
      <c r="F183" s="443" t="s">
        <v>52</v>
      </c>
      <c r="G183" s="443"/>
      <c r="H183" s="443"/>
      <c r="I183" s="443"/>
      <c r="J183" s="443"/>
      <c r="K183" s="443"/>
      <c r="L183" s="43"/>
      <c r="N183" s="518"/>
    </row>
    <row r="184" spans="1:14" s="60" customFormat="1" ht="135.94999999999999" customHeight="1" x14ac:dyDescent="0.35">
      <c r="C184" s="42"/>
      <c r="D184" s="56" t="str">
        <f>CONCATENATE("Meeting 1 - ", TEXT($I$37,"dd/mm/yyyy"))</f>
        <v>Meeting 1 - 15/02/2024</v>
      </c>
      <c r="E184" s="215"/>
      <c r="F184" s="441"/>
      <c r="G184" s="441"/>
      <c r="H184" s="441"/>
      <c r="I184" s="441"/>
      <c r="J184" s="441"/>
      <c r="K184" s="441"/>
      <c r="L184" s="43"/>
      <c r="N184" s="518"/>
    </row>
    <row r="185" spans="1:14" s="60" customFormat="1" ht="135.94999999999999" customHeight="1" x14ac:dyDescent="0.35">
      <c r="C185" s="42"/>
      <c r="D185" s="56" t="str">
        <f>CONCATENATE("Meeting 2 - ", TEXT($I$38,"dd/mm/yyyy"))</f>
        <v>Meeting 2 - 18/03/2024</v>
      </c>
      <c r="E185" s="215"/>
      <c r="F185" s="441"/>
      <c r="G185" s="441"/>
      <c r="H185" s="441"/>
      <c r="I185" s="441"/>
      <c r="J185" s="441"/>
      <c r="K185" s="441"/>
      <c r="L185" s="43"/>
      <c r="N185" s="518"/>
    </row>
    <row r="186" spans="1:14" s="60" customFormat="1" ht="135.94999999999999" customHeight="1" x14ac:dyDescent="0.35">
      <c r="C186" s="42"/>
      <c r="D186" s="56" t="str">
        <f>CONCATENATE("Meeting 3 - ", TEXT($I$39,"dd/mm/yyyy"))</f>
        <v>Meeting 3 - 15/04/2024</v>
      </c>
      <c r="E186" s="215"/>
      <c r="F186" s="429"/>
      <c r="G186" s="430"/>
      <c r="H186" s="430"/>
      <c r="I186" s="430"/>
      <c r="J186" s="430"/>
      <c r="K186" s="431"/>
      <c r="L186" s="43"/>
      <c r="N186" s="518"/>
    </row>
    <row r="187" spans="1:14" s="60" customFormat="1" ht="53.45" customHeight="1" x14ac:dyDescent="0.35">
      <c r="C187" s="42"/>
      <c r="D187" s="352"/>
      <c r="E187" s="442" t="s">
        <v>107</v>
      </c>
      <c r="F187" s="442"/>
      <c r="G187" s="442"/>
      <c r="H187" s="442"/>
      <c r="I187" s="442"/>
      <c r="J187" s="442"/>
      <c r="K187" s="442"/>
      <c r="L187" s="43"/>
      <c r="N187" s="518"/>
    </row>
    <row r="188" spans="1:14" s="60" customFormat="1" ht="35.1" customHeight="1" x14ac:dyDescent="0.35">
      <c r="C188" s="42"/>
      <c r="D188" s="352"/>
      <c r="E188" s="55" t="s">
        <v>51</v>
      </c>
      <c r="F188" s="443" t="s">
        <v>52</v>
      </c>
      <c r="G188" s="443"/>
      <c r="H188" s="443"/>
      <c r="I188" s="443"/>
      <c r="J188" s="443"/>
      <c r="K188" s="443"/>
      <c r="L188" s="43"/>
      <c r="N188" s="518"/>
    </row>
    <row r="189" spans="1:14" s="60" customFormat="1" ht="135.94999999999999" customHeight="1" x14ac:dyDescent="0.35">
      <c r="C189" s="42"/>
      <c r="D189" s="56" t="str">
        <f>CONCATENATE("Meeting 1 - ", TEXT($I$37,"dd/mm/yyyy"))</f>
        <v>Meeting 1 - 15/02/2024</v>
      </c>
      <c r="E189" s="215"/>
      <c r="F189" s="441"/>
      <c r="G189" s="441"/>
      <c r="H189" s="441"/>
      <c r="I189" s="441"/>
      <c r="J189" s="441"/>
      <c r="K189" s="441"/>
      <c r="L189" s="43"/>
      <c r="N189" s="518"/>
    </row>
    <row r="190" spans="1:14" s="60" customFormat="1" ht="135.94999999999999" customHeight="1" x14ac:dyDescent="0.35">
      <c r="C190" s="42"/>
      <c r="D190" s="56" t="str">
        <f>CONCATENATE("Meeting 2 - ", TEXT($I$38,"dd/mm/yyyy"))</f>
        <v>Meeting 2 - 18/03/2024</v>
      </c>
      <c r="E190" s="215"/>
      <c r="F190" s="441"/>
      <c r="G190" s="441"/>
      <c r="H190" s="441"/>
      <c r="I190" s="441"/>
      <c r="J190" s="441"/>
      <c r="K190" s="441"/>
      <c r="L190" s="43"/>
      <c r="N190" s="518"/>
    </row>
    <row r="191" spans="1:14" s="60" customFormat="1" ht="135.94999999999999" customHeight="1" x14ac:dyDescent="0.35">
      <c r="C191" s="42"/>
      <c r="D191" s="56" t="str">
        <f>CONCATENATE("Meeting 3 - ", TEXT($I$39,"dd/mm/yyyy"))</f>
        <v>Meeting 3 - 15/04/2024</v>
      </c>
      <c r="E191" s="215"/>
      <c r="F191" s="429"/>
      <c r="G191" s="430"/>
      <c r="H191" s="430"/>
      <c r="I191" s="430"/>
      <c r="J191" s="430"/>
      <c r="K191" s="431"/>
      <c r="L191" s="43"/>
      <c r="N191" s="61"/>
    </row>
    <row r="192" spans="1:14" s="60" customFormat="1" ht="60.6" customHeight="1" x14ac:dyDescent="0.35">
      <c r="C192" s="42"/>
      <c r="D192" s="67" t="s">
        <v>57</v>
      </c>
      <c r="E192" s="66" t="e">
        <f>AVERAGEIF((F141,F129,F117,F105,F93),"&lt;&gt;0")</f>
        <v>#VALUE!</v>
      </c>
      <c r="F192" s="48"/>
      <c r="G192" s="48"/>
      <c r="H192" s="48"/>
      <c r="I192" s="48"/>
      <c r="J192" s="48"/>
      <c r="K192" s="68"/>
      <c r="L192" s="47"/>
      <c r="N192" s="61"/>
    </row>
    <row r="193" spans="3:14" s="60" customFormat="1" ht="23.25" customHeight="1" x14ac:dyDescent="0.35">
      <c r="C193" s="42"/>
      <c r="D193" s="42"/>
      <c r="E193" s="48"/>
      <c r="F193" s="48"/>
      <c r="G193" s="49"/>
      <c r="H193" s="50"/>
      <c r="I193" s="50"/>
      <c r="J193" s="50"/>
      <c r="K193" s="51" t="e">
        <f>IF(E192&gt;1, "1", IF(E192=1, "1", IF(E192&gt;=0.75, "2", IF(E192&gt;=0.5, "3", IF(E192&gt;0, "4", IF(E192=0, "0"))))))</f>
        <v>#VALUE!</v>
      </c>
      <c r="L193" s="46"/>
      <c r="N193" s="61"/>
    </row>
    <row r="194" spans="3:14" ht="15" customHeight="1" x14ac:dyDescent="0.35">
      <c r="C194" s="42"/>
      <c r="D194" s="24"/>
      <c r="E194" s="24"/>
      <c r="F194" s="24"/>
      <c r="G194" s="1"/>
      <c r="H194" s="1"/>
      <c r="I194" s="1"/>
      <c r="J194" s="33"/>
      <c r="K194" s="69"/>
      <c r="L194" s="15"/>
    </row>
    <row r="195" spans="3:14" ht="15" customHeight="1" x14ac:dyDescent="0.3">
      <c r="C195" s="7"/>
      <c r="D195" s="24"/>
      <c r="E195" s="24"/>
      <c r="F195" s="24"/>
      <c r="G195" s="1"/>
      <c r="H195" s="1"/>
      <c r="I195" s="1"/>
      <c r="J195" s="33"/>
      <c r="K195" s="33"/>
      <c r="L195" s="15"/>
    </row>
    <row r="196" spans="3:14" ht="15" customHeight="1" x14ac:dyDescent="0.3">
      <c r="C196" s="7"/>
      <c r="D196" s="24"/>
      <c r="E196" s="24"/>
      <c r="F196" s="24"/>
      <c r="G196" s="1"/>
      <c r="H196" s="1"/>
      <c r="I196" s="1"/>
      <c r="J196" s="33"/>
      <c r="K196" s="34"/>
      <c r="L196" s="15"/>
    </row>
    <row r="197" spans="3:14" ht="15" customHeight="1" x14ac:dyDescent="0.3">
      <c r="C197" s="7"/>
      <c r="D197" s="24"/>
      <c r="E197" s="24"/>
      <c r="F197" s="24"/>
      <c r="G197" s="1"/>
      <c r="H197" s="1"/>
      <c r="I197" s="1"/>
      <c r="J197" s="33"/>
      <c r="K197" s="33"/>
      <c r="L197" s="15"/>
    </row>
    <row r="198" spans="3:14" ht="26.45" customHeight="1" x14ac:dyDescent="0.3">
      <c r="C198" s="7"/>
      <c r="D198" s="457" t="s">
        <v>176</v>
      </c>
      <c r="E198" s="457"/>
      <c r="F198" s="15"/>
      <c r="G198" s="15"/>
      <c r="H198" s="7"/>
      <c r="I198" s="7"/>
      <c r="J198" s="7"/>
      <c r="K198" s="7"/>
      <c r="L198" s="7"/>
    </row>
    <row r="199" spans="3:14" ht="42.6" customHeight="1" x14ac:dyDescent="0.3">
      <c r="C199" s="7"/>
      <c r="D199" s="458" t="s">
        <v>59</v>
      </c>
      <c r="E199" s="458"/>
      <c r="F199" s="458"/>
      <c r="G199" s="458"/>
      <c r="H199" s="458"/>
      <c r="I199" s="458"/>
      <c r="J199" s="458"/>
      <c r="K199" s="458"/>
      <c r="L199" s="7"/>
    </row>
    <row r="200" spans="3:14" ht="45.6" customHeight="1" x14ac:dyDescent="0.3">
      <c r="C200" s="7"/>
      <c r="D200" s="459" t="s">
        <v>61</v>
      </c>
      <c r="E200" s="459"/>
      <c r="F200" s="459"/>
      <c r="G200" s="459"/>
      <c r="H200" s="459"/>
      <c r="I200" s="459"/>
      <c r="J200" s="5" t="s">
        <v>177</v>
      </c>
      <c r="K200" s="6" t="s">
        <v>178</v>
      </c>
      <c r="L200" s="7"/>
    </row>
    <row r="201" spans="3:14" ht="135" customHeight="1" x14ac:dyDescent="0.3">
      <c r="C201" s="7"/>
      <c r="D201" s="29" t="s">
        <v>62</v>
      </c>
      <c r="E201" s="445" t="s">
        <v>63</v>
      </c>
      <c r="F201" s="445"/>
      <c r="G201" s="445"/>
      <c r="H201" s="445"/>
      <c r="I201" s="445"/>
      <c r="J201" s="445"/>
      <c r="K201" s="445"/>
      <c r="L201" s="7"/>
    </row>
    <row r="202" spans="3:14" ht="29.45" customHeight="1" x14ac:dyDescent="0.3">
      <c r="C202" s="7"/>
      <c r="D202" s="444" t="str">
        <f>CONCATENATE("Meeting 1 - ", TEXT(I37,"dd/mm/yyyy"))</f>
        <v>Meeting 1 - 15/02/2024</v>
      </c>
      <c r="E202" s="32"/>
      <c r="F202" s="446" t="s">
        <v>106</v>
      </c>
      <c r="G202" s="447"/>
      <c r="H202" s="448"/>
      <c r="I202" s="446" t="s">
        <v>107</v>
      </c>
      <c r="J202" s="447"/>
      <c r="K202" s="448"/>
      <c r="L202" s="7"/>
    </row>
    <row r="203" spans="3:14" ht="60.6" customHeight="1" x14ac:dyDescent="0.3">
      <c r="C203" s="7"/>
      <c r="D203" s="444"/>
      <c r="E203" s="38">
        <v>0</v>
      </c>
      <c r="F203" s="449"/>
      <c r="G203" s="450"/>
      <c r="H203" s="451"/>
      <c r="I203" s="452"/>
      <c r="J203" s="453"/>
      <c r="K203" s="454"/>
      <c r="L203" s="7"/>
    </row>
    <row r="204" spans="3:14" ht="29.45" customHeight="1" x14ac:dyDescent="0.3">
      <c r="C204" s="7"/>
      <c r="D204" s="444" t="str">
        <f>CONCATENATE("Meeting 2 - ", TEXT(I38,"dd/mm/yyyy"))</f>
        <v>Meeting 2 - 18/03/2024</v>
      </c>
      <c r="E204" s="32"/>
      <c r="F204" s="446" t="s">
        <v>106</v>
      </c>
      <c r="G204" s="447"/>
      <c r="H204" s="448"/>
      <c r="I204" s="446" t="s">
        <v>107</v>
      </c>
      <c r="J204" s="447"/>
      <c r="K204" s="448"/>
      <c r="L204" s="7"/>
    </row>
    <row r="205" spans="3:14" ht="41.45" customHeight="1" x14ac:dyDescent="0.3">
      <c r="C205" s="7"/>
      <c r="D205" s="444"/>
      <c r="E205" s="38">
        <v>0.95</v>
      </c>
      <c r="F205" s="449" t="s">
        <v>179</v>
      </c>
      <c r="G205" s="450"/>
      <c r="H205" s="451"/>
      <c r="I205" s="452" t="s">
        <v>180</v>
      </c>
      <c r="J205" s="453"/>
      <c r="K205" s="454"/>
      <c r="L205" s="7"/>
    </row>
    <row r="206" spans="3:14" ht="29.45" customHeight="1" x14ac:dyDescent="0.3">
      <c r="C206" s="7"/>
      <c r="D206" s="444" t="str">
        <f>CONCATENATE("Meeting 3 - ", TEXT(I39,"dd/mm/yyyy"))</f>
        <v>Meeting 3 - 15/04/2024</v>
      </c>
      <c r="E206" s="32"/>
      <c r="F206" s="446" t="s">
        <v>106</v>
      </c>
      <c r="G206" s="447"/>
      <c r="H206" s="448"/>
      <c r="I206" s="446" t="s">
        <v>107</v>
      </c>
      <c r="J206" s="447"/>
      <c r="K206" s="448"/>
      <c r="L206" s="7"/>
    </row>
    <row r="207" spans="3:14" ht="41.45" customHeight="1" x14ac:dyDescent="0.3">
      <c r="C207" s="7"/>
      <c r="D207" s="444"/>
      <c r="E207" s="38"/>
      <c r="F207" s="449"/>
      <c r="G207" s="450"/>
      <c r="H207" s="451"/>
      <c r="I207" s="452"/>
      <c r="J207" s="453"/>
      <c r="K207" s="454"/>
      <c r="L207" s="7"/>
    </row>
    <row r="208" spans="3:14" ht="129" customHeight="1" x14ac:dyDescent="0.3">
      <c r="C208" s="7"/>
      <c r="D208" s="29" t="s">
        <v>65</v>
      </c>
      <c r="E208" s="445" t="s">
        <v>66</v>
      </c>
      <c r="F208" s="445"/>
      <c r="G208" s="445"/>
      <c r="H208" s="445"/>
      <c r="I208" s="445"/>
      <c r="J208" s="445"/>
      <c r="K208" s="445"/>
      <c r="L208" s="7"/>
    </row>
    <row r="209" spans="3:12" ht="29.45" customHeight="1" x14ac:dyDescent="0.3">
      <c r="C209" s="7"/>
      <c r="D209" s="444" t="str">
        <f>CONCATENATE("Meeting 1 - ", TEXT(I37,"dd/mm/yyyy"))</f>
        <v>Meeting 1 - 15/02/2024</v>
      </c>
      <c r="E209" s="32"/>
      <c r="F209" s="446" t="s">
        <v>106</v>
      </c>
      <c r="G209" s="447"/>
      <c r="H209" s="448"/>
      <c r="I209" s="446" t="s">
        <v>107</v>
      </c>
      <c r="J209" s="447"/>
      <c r="K209" s="448"/>
      <c r="L209" s="7"/>
    </row>
    <row r="210" spans="3:12" ht="75" customHeight="1" x14ac:dyDescent="0.3">
      <c r="C210" s="7"/>
      <c r="D210" s="444"/>
      <c r="E210" s="38">
        <v>0</v>
      </c>
      <c r="F210" s="449"/>
      <c r="G210" s="450"/>
      <c r="H210" s="451"/>
      <c r="I210" s="452"/>
      <c r="J210" s="453"/>
      <c r="K210" s="454"/>
      <c r="L210" s="7"/>
    </row>
    <row r="211" spans="3:12" ht="29.45" customHeight="1" x14ac:dyDescent="0.3">
      <c r="C211" s="7"/>
      <c r="D211" s="455" t="str">
        <f>CONCATENATE("Meeting 2 - ", TEXT(I38,"dd/mm/yyyy"))</f>
        <v>Meeting 2 - 18/03/2024</v>
      </c>
      <c r="E211" s="32"/>
      <c r="F211" s="446" t="s">
        <v>106</v>
      </c>
      <c r="G211" s="447"/>
      <c r="H211" s="448"/>
      <c r="I211" s="446" t="s">
        <v>107</v>
      </c>
      <c r="J211" s="447"/>
      <c r="K211" s="448"/>
      <c r="L211" s="7"/>
    </row>
    <row r="212" spans="3:12" ht="74.099999999999994" customHeight="1" x14ac:dyDescent="0.3">
      <c r="C212" s="7"/>
      <c r="D212" s="456"/>
      <c r="E212" s="38">
        <v>0.8</v>
      </c>
      <c r="F212" s="449" t="s">
        <v>181</v>
      </c>
      <c r="G212" s="450"/>
      <c r="H212" s="451"/>
      <c r="I212" s="452" t="s">
        <v>182</v>
      </c>
      <c r="J212" s="453"/>
      <c r="K212" s="454"/>
      <c r="L212" s="7"/>
    </row>
    <row r="213" spans="3:12" ht="29.45" customHeight="1" x14ac:dyDescent="0.3">
      <c r="C213" s="7"/>
      <c r="D213" s="444" t="str">
        <f>CONCATENATE("Meeting 3 - ", TEXT(I39,"dd/mm/yyyy"))</f>
        <v>Meeting 3 - 15/04/2024</v>
      </c>
      <c r="E213" s="32"/>
      <c r="F213" s="446" t="s">
        <v>106</v>
      </c>
      <c r="G213" s="447"/>
      <c r="H213" s="448"/>
      <c r="I213" s="446" t="s">
        <v>107</v>
      </c>
      <c r="J213" s="447"/>
      <c r="K213" s="448"/>
      <c r="L213" s="7"/>
    </row>
    <row r="214" spans="3:12" ht="41.45" customHeight="1" x14ac:dyDescent="0.3">
      <c r="C214" s="7"/>
      <c r="D214" s="444"/>
      <c r="E214" s="38"/>
      <c r="F214" s="449"/>
      <c r="G214" s="450"/>
      <c r="H214" s="451"/>
      <c r="I214" s="452"/>
      <c r="J214" s="453"/>
      <c r="K214" s="454"/>
      <c r="L214" s="7"/>
    </row>
    <row r="215" spans="3:12" ht="159.6" customHeight="1" x14ac:dyDescent="0.3">
      <c r="C215" s="7"/>
      <c r="D215" s="29" t="s">
        <v>67</v>
      </c>
      <c r="E215" s="445" t="s">
        <v>68</v>
      </c>
      <c r="F215" s="445"/>
      <c r="G215" s="445"/>
      <c r="H215" s="445"/>
      <c r="I215" s="445"/>
      <c r="J215" s="445"/>
      <c r="K215" s="445"/>
      <c r="L215" s="7"/>
    </row>
    <row r="216" spans="3:12" ht="29.45" customHeight="1" x14ac:dyDescent="0.3">
      <c r="C216" s="7"/>
      <c r="D216" s="444" t="str">
        <f>CONCATENATE("Meeting 1 - ", TEXT(I37,"dd/mm/yyyy"))</f>
        <v>Meeting 1 - 15/02/2024</v>
      </c>
      <c r="E216" s="32"/>
      <c r="F216" s="446" t="s">
        <v>106</v>
      </c>
      <c r="G216" s="447"/>
      <c r="H216" s="448"/>
      <c r="I216" s="446" t="s">
        <v>107</v>
      </c>
      <c r="J216" s="447"/>
      <c r="K216" s="448"/>
      <c r="L216" s="7"/>
    </row>
    <row r="217" spans="3:12" ht="103.5" customHeight="1" x14ac:dyDescent="0.3">
      <c r="C217" s="7"/>
      <c r="D217" s="444"/>
      <c r="E217" s="38">
        <v>0</v>
      </c>
      <c r="F217" s="449"/>
      <c r="G217" s="450"/>
      <c r="H217" s="451"/>
      <c r="I217" s="452"/>
      <c r="J217" s="453"/>
      <c r="K217" s="454"/>
      <c r="L217" s="7"/>
    </row>
    <row r="218" spans="3:12" ht="29.45" customHeight="1" x14ac:dyDescent="0.3">
      <c r="C218" s="7"/>
      <c r="D218" s="444" t="str">
        <f>CONCATENATE("Meeting 2 - ", TEXT(I38,"dd/mm/yyyy"))</f>
        <v>Meeting 2 - 18/03/2024</v>
      </c>
      <c r="E218" s="32"/>
      <c r="F218" s="446" t="s">
        <v>106</v>
      </c>
      <c r="G218" s="447"/>
      <c r="H218" s="448"/>
      <c r="I218" s="446" t="s">
        <v>107</v>
      </c>
      <c r="J218" s="447"/>
      <c r="K218" s="448"/>
      <c r="L218" s="7"/>
    </row>
    <row r="219" spans="3:12" ht="69.95" customHeight="1" x14ac:dyDescent="0.3">
      <c r="C219" s="7"/>
      <c r="D219" s="444"/>
      <c r="E219" s="38">
        <v>0.9</v>
      </c>
      <c r="F219" s="449" t="s">
        <v>183</v>
      </c>
      <c r="G219" s="450"/>
      <c r="H219" s="451"/>
      <c r="I219" s="452" t="s">
        <v>184</v>
      </c>
      <c r="J219" s="453"/>
      <c r="K219" s="454"/>
      <c r="L219" s="7"/>
    </row>
    <row r="220" spans="3:12" ht="29.45" customHeight="1" x14ac:dyDescent="0.3">
      <c r="C220" s="7"/>
      <c r="D220" s="444" t="str">
        <f>CONCATENATE("Meeting 3 - ", TEXT(I39,"dd/mm/yyyy"))</f>
        <v>Meeting 3 - 15/04/2024</v>
      </c>
      <c r="E220" s="32"/>
      <c r="F220" s="446" t="s">
        <v>106</v>
      </c>
      <c r="G220" s="447"/>
      <c r="H220" s="448"/>
      <c r="I220" s="446" t="s">
        <v>107</v>
      </c>
      <c r="J220" s="447"/>
      <c r="K220" s="448"/>
      <c r="L220" s="7"/>
    </row>
    <row r="221" spans="3:12" ht="41.45" customHeight="1" x14ac:dyDescent="0.3">
      <c r="C221" s="7"/>
      <c r="D221" s="444"/>
      <c r="E221" s="38"/>
      <c r="F221" s="449"/>
      <c r="G221" s="450"/>
      <c r="H221" s="451"/>
      <c r="I221" s="452"/>
      <c r="J221" s="453"/>
      <c r="K221" s="454"/>
      <c r="L221" s="7"/>
    </row>
    <row r="222" spans="3:12" ht="133.5" customHeight="1" x14ac:dyDescent="0.3">
      <c r="C222" s="7"/>
      <c r="D222" s="29" t="s">
        <v>70</v>
      </c>
      <c r="E222" s="445" t="s">
        <v>185</v>
      </c>
      <c r="F222" s="445"/>
      <c r="G222" s="445"/>
      <c r="H222" s="445"/>
      <c r="I222" s="445"/>
      <c r="J222" s="445"/>
      <c r="K222" s="445"/>
      <c r="L222" s="7"/>
    </row>
    <row r="223" spans="3:12" ht="29.45" customHeight="1" x14ac:dyDescent="0.3">
      <c r="C223" s="7"/>
      <c r="D223" s="444" t="str">
        <f>CONCATENATE("Meeting 1 - ", TEXT(I37,"dd/mm/yyyy"))</f>
        <v>Meeting 1 - 15/02/2024</v>
      </c>
      <c r="E223" s="32"/>
      <c r="F223" s="446" t="s">
        <v>106</v>
      </c>
      <c r="G223" s="447"/>
      <c r="H223" s="448"/>
      <c r="I223" s="446" t="s">
        <v>107</v>
      </c>
      <c r="J223" s="447"/>
      <c r="K223" s="448"/>
      <c r="L223" s="7"/>
    </row>
    <row r="224" spans="3:12" ht="56.45" customHeight="1" x14ac:dyDescent="0.3">
      <c r="C224" s="7"/>
      <c r="D224" s="444"/>
      <c r="E224" s="38">
        <v>0</v>
      </c>
      <c r="F224" s="449"/>
      <c r="G224" s="450"/>
      <c r="H224" s="451"/>
      <c r="I224" s="452"/>
      <c r="J224" s="453"/>
      <c r="K224" s="454"/>
      <c r="L224" s="7"/>
    </row>
    <row r="225" spans="3:12" ht="29.45" customHeight="1" x14ac:dyDescent="0.3">
      <c r="C225" s="7"/>
      <c r="D225" s="444" t="str">
        <f>CONCATENATE("Meeting 2 - ", TEXT(I38,"dd/mm/yyyy"))</f>
        <v>Meeting 2 - 18/03/2024</v>
      </c>
      <c r="E225" s="32"/>
      <c r="F225" s="446" t="s">
        <v>106</v>
      </c>
      <c r="G225" s="447"/>
      <c r="H225" s="448"/>
      <c r="I225" s="446" t="s">
        <v>107</v>
      </c>
      <c r="J225" s="447"/>
      <c r="K225" s="448"/>
      <c r="L225" s="7"/>
    </row>
    <row r="226" spans="3:12" ht="84.6" customHeight="1" x14ac:dyDescent="0.3">
      <c r="C226" s="7"/>
      <c r="D226" s="444"/>
      <c r="E226" s="38">
        <v>0.85</v>
      </c>
      <c r="F226" s="449" t="s">
        <v>186</v>
      </c>
      <c r="G226" s="450"/>
      <c r="H226" s="451"/>
      <c r="I226" s="452" t="s">
        <v>187</v>
      </c>
      <c r="J226" s="453"/>
      <c r="K226" s="454"/>
      <c r="L226" s="7"/>
    </row>
    <row r="227" spans="3:12" ht="29.45" customHeight="1" x14ac:dyDescent="0.3">
      <c r="C227" s="7"/>
      <c r="D227" s="444" t="str">
        <f>CONCATENATE("Meeting 3 - ", TEXT(I39,"dd/mm/yyyy"))</f>
        <v>Meeting 3 - 15/04/2024</v>
      </c>
      <c r="E227" s="32"/>
      <c r="F227" s="446" t="s">
        <v>106</v>
      </c>
      <c r="G227" s="447"/>
      <c r="H227" s="448"/>
      <c r="I227" s="446" t="s">
        <v>107</v>
      </c>
      <c r="J227" s="447"/>
      <c r="K227" s="448"/>
      <c r="L227" s="7"/>
    </row>
    <row r="228" spans="3:12" ht="41.45" customHeight="1" x14ac:dyDescent="0.3">
      <c r="C228" s="7"/>
      <c r="D228" s="444"/>
      <c r="E228" s="38"/>
      <c r="F228" s="452"/>
      <c r="G228" s="453"/>
      <c r="H228" s="454"/>
      <c r="I228" s="452"/>
      <c r="J228" s="453"/>
      <c r="K228" s="454"/>
      <c r="L228" s="7"/>
    </row>
    <row r="229" spans="3:12" ht="15" customHeight="1" x14ac:dyDescent="0.3">
      <c r="C229" s="7"/>
      <c r="D229" s="7"/>
      <c r="E229" s="7"/>
      <c r="F229" s="7"/>
      <c r="G229" s="7"/>
      <c r="H229" s="7"/>
      <c r="I229" s="7"/>
      <c r="J229" s="7"/>
      <c r="K229" s="7"/>
      <c r="L229" s="15"/>
    </row>
    <row r="230" spans="3:12" ht="15" customHeight="1" x14ac:dyDescent="0.3">
      <c r="C230" s="7"/>
      <c r="D230" s="15"/>
      <c r="E230" s="15"/>
      <c r="F230" s="15"/>
      <c r="G230" s="15"/>
      <c r="H230" s="15"/>
      <c r="I230" s="15"/>
      <c r="J230" s="15"/>
      <c r="K230" s="15"/>
      <c r="L230" s="15"/>
    </row>
    <row r="231" spans="3:12" ht="15" customHeight="1" x14ac:dyDescent="0.3">
      <c r="C231" s="7"/>
      <c r="D231" s="7"/>
      <c r="E231" s="7"/>
      <c r="F231" s="7"/>
      <c r="G231" s="7"/>
      <c r="H231" s="7"/>
      <c r="I231" s="7"/>
      <c r="J231" s="7"/>
      <c r="K231" s="30">
        <f>AVERAGE(E203,E205,E207,E210,E212,E214,E217,E219,E221,E224,E226,E228)</f>
        <v>0.4375</v>
      </c>
      <c r="L231" s="31" t="str">
        <f>IF(K231&lt;0, "Rate between 0 and 100%", IF(K231&lt;25%,"D",IF(K231&lt;50%,"C",IF(K231&lt;75%,"B",IF(K231&lt;101%,"A","Rate between 0 and 100%")))))</f>
        <v>C</v>
      </c>
    </row>
    <row r="232" spans="3:12" ht="15" customHeight="1" x14ac:dyDescent="0.3">
      <c r="C232" s="7"/>
      <c r="D232" s="7"/>
      <c r="E232" s="7"/>
      <c r="F232" s="7"/>
      <c r="G232" s="7"/>
      <c r="H232" s="7"/>
      <c r="I232" s="7"/>
      <c r="J232" s="7"/>
      <c r="K232" s="30" t="e">
        <f t="shared" ref="K232:K234" si="0">AVERAGE(E204,E206,E208,E211,E213,E215,E218,E220,E222,E225,E227,E229)</f>
        <v>#DIV/0!</v>
      </c>
      <c r="L232" s="31" t="e">
        <f t="shared" ref="L232:L234" si="1">IF(K232&lt;0, "Rate between 0 and 100%", IF(K232&lt;25%,"D",IF(K232&lt;50%,"C",IF(K232&lt;75%,"B",IF(K232&lt;101%,"A","Rate between 0 and 100%")))))</f>
        <v>#DIV/0!</v>
      </c>
    </row>
    <row r="233" spans="3:12" ht="15" customHeight="1" x14ac:dyDescent="0.3">
      <c r="C233" s="7"/>
      <c r="D233" s="7"/>
      <c r="E233" s="7"/>
      <c r="F233" s="7"/>
      <c r="G233" s="7"/>
      <c r="H233" s="7"/>
      <c r="I233" s="7"/>
      <c r="J233" s="7"/>
      <c r="K233" s="30">
        <f t="shared" si="0"/>
        <v>0.875</v>
      </c>
      <c r="L233" s="31" t="str">
        <f t="shared" si="1"/>
        <v>A</v>
      </c>
    </row>
    <row r="234" spans="3:12" ht="15" customHeight="1" x14ac:dyDescent="0.3">
      <c r="C234" s="7"/>
      <c r="D234" s="7"/>
      <c r="E234" s="7"/>
      <c r="F234" s="7"/>
      <c r="G234" s="7"/>
      <c r="H234" s="7"/>
      <c r="I234" s="7"/>
      <c r="J234" s="7"/>
      <c r="K234" s="30">
        <f t="shared" si="0"/>
        <v>0</v>
      </c>
      <c r="L234" s="31" t="str">
        <f t="shared" si="1"/>
        <v>D</v>
      </c>
    </row>
  </sheetData>
  <sheetProtection algorithmName="SHA-512" hashValue="tvckZauOtAL37SnN4dUiwnATyAnuP3aGdRfJ6iPzkLfkcIco98YVMHD94m6NzZzyoRZHQ3gVPucu8bNp8iHhtA==" saltValue="Puatc5OH2rGVvELcNoJHwA==" spinCount="100000" sheet="1" formatCells="0" formatColumns="0" formatRows="0" insertColumns="0" insertRows="0"/>
  <mergeCells count="360">
    <mergeCell ref="F128:K128"/>
    <mergeCell ref="F129:K129"/>
    <mergeCell ref="E131:K131"/>
    <mergeCell ref="F132:K132"/>
    <mergeCell ref="I138:J138"/>
    <mergeCell ref="F133:K133"/>
    <mergeCell ref="F134:K134"/>
    <mergeCell ref="E137:K137"/>
    <mergeCell ref="E136:K136"/>
    <mergeCell ref="F135:K135"/>
    <mergeCell ref="D180:D181"/>
    <mergeCell ref="N181:N190"/>
    <mergeCell ref="D182:D183"/>
    <mergeCell ref="D187:D188"/>
    <mergeCell ref="E180:F180"/>
    <mergeCell ref="I180:J180"/>
    <mergeCell ref="E181:F181"/>
    <mergeCell ref="I181:J181"/>
    <mergeCell ref="N167:N176"/>
    <mergeCell ref="D168:D169"/>
    <mergeCell ref="D173:D174"/>
    <mergeCell ref="E167:F167"/>
    <mergeCell ref="I167:J167"/>
    <mergeCell ref="E168:K168"/>
    <mergeCell ref="F169:K169"/>
    <mergeCell ref="F170:K170"/>
    <mergeCell ref="F171:K171"/>
    <mergeCell ref="E173:K173"/>
    <mergeCell ref="F174:K174"/>
    <mergeCell ref="F175:K175"/>
    <mergeCell ref="F176:K176"/>
    <mergeCell ref="E179:K179"/>
    <mergeCell ref="E182:K182"/>
    <mergeCell ref="F183:K183"/>
    <mergeCell ref="N153:N162"/>
    <mergeCell ref="D154:D155"/>
    <mergeCell ref="D159:D160"/>
    <mergeCell ref="E154:K154"/>
    <mergeCell ref="F155:K155"/>
    <mergeCell ref="F156:K156"/>
    <mergeCell ref="F157:K157"/>
    <mergeCell ref="E159:K159"/>
    <mergeCell ref="F160:K160"/>
    <mergeCell ref="F161:K161"/>
    <mergeCell ref="D152:D153"/>
    <mergeCell ref="N139:N148"/>
    <mergeCell ref="D140:D141"/>
    <mergeCell ref="D145:D146"/>
    <mergeCell ref="E140:K140"/>
    <mergeCell ref="F141:K141"/>
    <mergeCell ref="F142:K142"/>
    <mergeCell ref="F143:K143"/>
    <mergeCell ref="E145:K145"/>
    <mergeCell ref="F146:K146"/>
    <mergeCell ref="F147:K147"/>
    <mergeCell ref="E139:F139"/>
    <mergeCell ref="I139:J139"/>
    <mergeCell ref="D138:D139"/>
    <mergeCell ref="E138:F138"/>
    <mergeCell ref="F148:K148"/>
    <mergeCell ref="F144:K144"/>
    <mergeCell ref="N125:N134"/>
    <mergeCell ref="D126:D127"/>
    <mergeCell ref="D131:D132"/>
    <mergeCell ref="F130:K130"/>
    <mergeCell ref="I124:J124"/>
    <mergeCell ref="I125:J125"/>
    <mergeCell ref="E13:I13"/>
    <mergeCell ref="E14:I14"/>
    <mergeCell ref="J14:J17"/>
    <mergeCell ref="E15:I15"/>
    <mergeCell ref="E16:I16"/>
    <mergeCell ref="E17:I17"/>
    <mergeCell ref="E36:H36"/>
    <mergeCell ref="I36:J36"/>
    <mergeCell ref="E37:H37"/>
    <mergeCell ref="I37:J37"/>
    <mergeCell ref="E38:H38"/>
    <mergeCell ref="I38:J38"/>
    <mergeCell ref="E28:I28"/>
    <mergeCell ref="J28:J32"/>
    <mergeCell ref="E29:I29"/>
    <mergeCell ref="E30:I30"/>
    <mergeCell ref="E31:I31"/>
    <mergeCell ref="E122:K122"/>
    <mergeCell ref="D2:G2"/>
    <mergeCell ref="D4:K4"/>
    <mergeCell ref="E5:K5"/>
    <mergeCell ref="E6:K6"/>
    <mergeCell ref="E7:K7"/>
    <mergeCell ref="D10:D11"/>
    <mergeCell ref="E10:K11"/>
    <mergeCell ref="E23:I23"/>
    <mergeCell ref="J23:J27"/>
    <mergeCell ref="E24:I24"/>
    <mergeCell ref="E25:I25"/>
    <mergeCell ref="E26:I26"/>
    <mergeCell ref="E27:I27"/>
    <mergeCell ref="E18:I18"/>
    <mergeCell ref="J18:J22"/>
    <mergeCell ref="E19:I19"/>
    <mergeCell ref="E20:I20"/>
    <mergeCell ref="E21:I21"/>
    <mergeCell ref="E22:I22"/>
    <mergeCell ref="E32:I32"/>
    <mergeCell ref="E39:H39"/>
    <mergeCell ref="I39:J39"/>
    <mergeCell ref="D42:E42"/>
    <mergeCell ref="F42:I42"/>
    <mergeCell ref="J42:K42"/>
    <mergeCell ref="D43:D46"/>
    <mergeCell ref="F43:H43"/>
    <mergeCell ref="I43:I44"/>
    <mergeCell ref="J43:K43"/>
    <mergeCell ref="F44:H44"/>
    <mergeCell ref="J44:K44"/>
    <mergeCell ref="F45:H45"/>
    <mergeCell ref="J45:K45"/>
    <mergeCell ref="F46:K46"/>
    <mergeCell ref="D47:D50"/>
    <mergeCell ref="F47:H47"/>
    <mergeCell ref="I47:I48"/>
    <mergeCell ref="J47:K47"/>
    <mergeCell ref="F48:H48"/>
    <mergeCell ref="J48:K48"/>
    <mergeCell ref="F49:H49"/>
    <mergeCell ref="J49:K49"/>
    <mergeCell ref="F50:K50"/>
    <mergeCell ref="D62:E63"/>
    <mergeCell ref="G62:H62"/>
    <mergeCell ref="I62:K62"/>
    <mergeCell ref="G63:H63"/>
    <mergeCell ref="I63:K63"/>
    <mergeCell ref="J52:K52"/>
    <mergeCell ref="F53:H53"/>
    <mergeCell ref="J53:K53"/>
    <mergeCell ref="F54:K54"/>
    <mergeCell ref="D58:K58"/>
    <mergeCell ref="D51:D54"/>
    <mergeCell ref="F51:H51"/>
    <mergeCell ref="I51:I52"/>
    <mergeCell ref="J51:K51"/>
    <mergeCell ref="F52:H52"/>
    <mergeCell ref="D59:K59"/>
    <mergeCell ref="D61:E61"/>
    <mergeCell ref="F61:K61"/>
    <mergeCell ref="D69:E69"/>
    <mergeCell ref="F69:K69"/>
    <mergeCell ref="D70:E71"/>
    <mergeCell ref="G70:H70"/>
    <mergeCell ref="I70:K70"/>
    <mergeCell ref="G71:H71"/>
    <mergeCell ref="I71:K71"/>
    <mergeCell ref="D64:E65"/>
    <mergeCell ref="G64:H64"/>
    <mergeCell ref="I64:K64"/>
    <mergeCell ref="G65:H65"/>
    <mergeCell ref="I65:K65"/>
    <mergeCell ref="D66:E67"/>
    <mergeCell ref="G66:H66"/>
    <mergeCell ref="I66:K66"/>
    <mergeCell ref="G67:H67"/>
    <mergeCell ref="I67:K67"/>
    <mergeCell ref="D77:E77"/>
    <mergeCell ref="F77:K77"/>
    <mergeCell ref="D78:E79"/>
    <mergeCell ref="G78:H78"/>
    <mergeCell ref="I78:K78"/>
    <mergeCell ref="G79:H79"/>
    <mergeCell ref="I79:K79"/>
    <mergeCell ref="D72:E73"/>
    <mergeCell ref="G72:H72"/>
    <mergeCell ref="I72:K72"/>
    <mergeCell ref="G73:H73"/>
    <mergeCell ref="I73:K73"/>
    <mergeCell ref="D74:E75"/>
    <mergeCell ref="G74:H74"/>
    <mergeCell ref="I74:K74"/>
    <mergeCell ref="G75:H75"/>
    <mergeCell ref="I75:K75"/>
    <mergeCell ref="D85:E85"/>
    <mergeCell ref="F85:K85"/>
    <mergeCell ref="D86:E87"/>
    <mergeCell ref="G86:H86"/>
    <mergeCell ref="I86:K86"/>
    <mergeCell ref="G87:H87"/>
    <mergeCell ref="I87:K87"/>
    <mergeCell ref="D80:E81"/>
    <mergeCell ref="G80:H80"/>
    <mergeCell ref="I80:K80"/>
    <mergeCell ref="G81:H81"/>
    <mergeCell ref="I81:K81"/>
    <mergeCell ref="D82:E83"/>
    <mergeCell ref="G82:H82"/>
    <mergeCell ref="I82:K82"/>
    <mergeCell ref="G83:H83"/>
    <mergeCell ref="I83:K83"/>
    <mergeCell ref="D93:E93"/>
    <mergeCell ref="F93:K93"/>
    <mergeCell ref="D94:E95"/>
    <mergeCell ref="G94:H94"/>
    <mergeCell ref="I94:K94"/>
    <mergeCell ref="G95:H95"/>
    <mergeCell ref="I95:K95"/>
    <mergeCell ref="D88:E89"/>
    <mergeCell ref="G88:H88"/>
    <mergeCell ref="I88:K88"/>
    <mergeCell ref="G89:H89"/>
    <mergeCell ref="I89:K89"/>
    <mergeCell ref="D90:E91"/>
    <mergeCell ref="G90:H90"/>
    <mergeCell ref="I90:K90"/>
    <mergeCell ref="G91:H91"/>
    <mergeCell ref="I91:K91"/>
    <mergeCell ref="D101:E101"/>
    <mergeCell ref="F101:K101"/>
    <mergeCell ref="D102:E103"/>
    <mergeCell ref="G102:H102"/>
    <mergeCell ref="I102:K102"/>
    <mergeCell ref="G103:H103"/>
    <mergeCell ref="I103:K103"/>
    <mergeCell ref="D96:E97"/>
    <mergeCell ref="G96:H96"/>
    <mergeCell ref="I96:K96"/>
    <mergeCell ref="G97:H97"/>
    <mergeCell ref="I97:K97"/>
    <mergeCell ref="D98:E99"/>
    <mergeCell ref="G98:H98"/>
    <mergeCell ref="I98:K98"/>
    <mergeCell ref="G99:H99"/>
    <mergeCell ref="I99:K99"/>
    <mergeCell ref="D109:E109"/>
    <mergeCell ref="F109:K109"/>
    <mergeCell ref="D110:E111"/>
    <mergeCell ref="G110:H110"/>
    <mergeCell ref="I110:K110"/>
    <mergeCell ref="G111:H111"/>
    <mergeCell ref="I111:K111"/>
    <mergeCell ref="D104:E105"/>
    <mergeCell ref="G104:H104"/>
    <mergeCell ref="I104:K104"/>
    <mergeCell ref="G105:H105"/>
    <mergeCell ref="I105:K105"/>
    <mergeCell ref="D106:E107"/>
    <mergeCell ref="G106:H106"/>
    <mergeCell ref="I106:K106"/>
    <mergeCell ref="G107:H107"/>
    <mergeCell ref="I107:K107"/>
    <mergeCell ref="D166:D167"/>
    <mergeCell ref="E165:K165"/>
    <mergeCell ref="E166:F166"/>
    <mergeCell ref="I166:J166"/>
    <mergeCell ref="E164:K164"/>
    <mergeCell ref="D120:K120"/>
    <mergeCell ref="D121:E121"/>
    <mergeCell ref="F121:G121"/>
    <mergeCell ref="D112:E113"/>
    <mergeCell ref="G112:H112"/>
    <mergeCell ref="I112:K112"/>
    <mergeCell ref="G113:H113"/>
    <mergeCell ref="I113:K113"/>
    <mergeCell ref="D114:E115"/>
    <mergeCell ref="G114:H114"/>
    <mergeCell ref="I114:K114"/>
    <mergeCell ref="G115:H115"/>
    <mergeCell ref="I115:K115"/>
    <mergeCell ref="D124:D125"/>
    <mergeCell ref="E124:F124"/>
    <mergeCell ref="E125:F125"/>
    <mergeCell ref="E123:K123"/>
    <mergeCell ref="E126:K126"/>
    <mergeCell ref="F127:K127"/>
    <mergeCell ref="D198:E198"/>
    <mergeCell ref="D199:K199"/>
    <mergeCell ref="D200:I200"/>
    <mergeCell ref="E201:K201"/>
    <mergeCell ref="D202:D203"/>
    <mergeCell ref="D204:D205"/>
    <mergeCell ref="D206:D207"/>
    <mergeCell ref="F202:H202"/>
    <mergeCell ref="I202:K202"/>
    <mergeCell ref="I203:K203"/>
    <mergeCell ref="F203:H203"/>
    <mergeCell ref="F204:H204"/>
    <mergeCell ref="I204:K204"/>
    <mergeCell ref="F205:H205"/>
    <mergeCell ref="I205:K205"/>
    <mergeCell ref="F206:H206"/>
    <mergeCell ref="I206:K206"/>
    <mergeCell ref="F207:H207"/>
    <mergeCell ref="I207:K207"/>
    <mergeCell ref="D213:D214"/>
    <mergeCell ref="E208:K208"/>
    <mergeCell ref="D209:D210"/>
    <mergeCell ref="D211:D212"/>
    <mergeCell ref="F210:H210"/>
    <mergeCell ref="I210:K210"/>
    <mergeCell ref="F211:H211"/>
    <mergeCell ref="I211:K211"/>
    <mergeCell ref="F212:H212"/>
    <mergeCell ref="I212:K212"/>
    <mergeCell ref="F213:H213"/>
    <mergeCell ref="F209:H209"/>
    <mergeCell ref="I209:K209"/>
    <mergeCell ref="I213:K213"/>
    <mergeCell ref="F214:H214"/>
    <mergeCell ref="I214:K214"/>
    <mergeCell ref="D220:D221"/>
    <mergeCell ref="E215:K215"/>
    <mergeCell ref="D216:D217"/>
    <mergeCell ref="D218:D219"/>
    <mergeCell ref="F219:H219"/>
    <mergeCell ref="I219:K219"/>
    <mergeCell ref="F220:H220"/>
    <mergeCell ref="I220:K220"/>
    <mergeCell ref="F221:H221"/>
    <mergeCell ref="I221:K221"/>
    <mergeCell ref="F216:H216"/>
    <mergeCell ref="I216:K216"/>
    <mergeCell ref="F217:H217"/>
    <mergeCell ref="I217:K217"/>
    <mergeCell ref="F218:H218"/>
    <mergeCell ref="I218:K218"/>
    <mergeCell ref="D227:D228"/>
    <mergeCell ref="E222:K222"/>
    <mergeCell ref="D223:D224"/>
    <mergeCell ref="D225:D226"/>
    <mergeCell ref="F223:H223"/>
    <mergeCell ref="I223:K223"/>
    <mergeCell ref="F224:H224"/>
    <mergeCell ref="I224:K224"/>
    <mergeCell ref="F225:H225"/>
    <mergeCell ref="I225:K225"/>
    <mergeCell ref="F226:H226"/>
    <mergeCell ref="I226:K226"/>
    <mergeCell ref="F227:H227"/>
    <mergeCell ref="I227:K227"/>
    <mergeCell ref="F228:H228"/>
    <mergeCell ref="I228:K228"/>
    <mergeCell ref="F149:K149"/>
    <mergeCell ref="F158:K158"/>
    <mergeCell ref="F163:K163"/>
    <mergeCell ref="F172:K172"/>
    <mergeCell ref="F177:K177"/>
    <mergeCell ref="F186:K186"/>
    <mergeCell ref="F191:K191"/>
    <mergeCell ref="E152:F152"/>
    <mergeCell ref="I152:J152"/>
    <mergeCell ref="E151:K151"/>
    <mergeCell ref="E150:K150"/>
    <mergeCell ref="E153:F153"/>
    <mergeCell ref="I153:J153"/>
    <mergeCell ref="F162:K162"/>
    <mergeCell ref="F184:K184"/>
    <mergeCell ref="F185:K185"/>
    <mergeCell ref="E187:K187"/>
    <mergeCell ref="F188:K188"/>
    <mergeCell ref="F189:K189"/>
    <mergeCell ref="F190:K190"/>
    <mergeCell ref="E178:K178"/>
  </mergeCells>
  <conditionalFormatting sqref="D41">
    <cfRule type="containsText" dxfId="2725" priority="168" operator="containsText" text="Start">
      <formula>NOT(ISERROR(SEARCH("Start",D41)))</formula>
    </cfRule>
    <cfRule type="containsText" dxfId="2724" priority="167" operator="containsText" text="Stop">
      <formula>NOT(ISERROR(SEARCH("Stop",D41)))</formula>
    </cfRule>
    <cfRule type="containsText" dxfId="2723" priority="166" operator="containsText" text="Continue">
      <formula>NOT(ISERROR(SEARCH("Continue",D41)))</formula>
    </cfRule>
  </conditionalFormatting>
  <conditionalFormatting sqref="D61:D62 D64 D66 D202 D204 D206">
    <cfRule type="containsText" dxfId="2722" priority="799" operator="containsText" text="Stop">
      <formula>NOT(ISERROR(SEARCH("Stop",D61)))</formula>
    </cfRule>
    <cfRule type="containsText" dxfId="2721" priority="800" operator="containsText" text="Start">
      <formula>NOT(ISERROR(SEARCH("Start",D61)))</formula>
    </cfRule>
    <cfRule type="containsText" dxfId="2720" priority="801" operator="containsText" text="N/A">
      <formula>NOT(ISERROR(SEARCH("N/A",D61)))</formula>
    </cfRule>
    <cfRule type="containsText" dxfId="2719" priority="802" operator="containsText" text="Exceeds">
      <formula>NOT(ISERROR(SEARCH("Exceeds",D61)))</formula>
    </cfRule>
    <cfRule type="containsText" dxfId="2718" priority="803" operator="containsText" text="Meets">
      <formula>NOT(ISERROR(SEARCH("Meets",D61)))</formula>
    </cfRule>
    <cfRule type="containsText" dxfId="2717" priority="804" operator="containsText" text="Under">
      <formula>NOT(ISERROR(SEARCH("Under",D61)))</formula>
    </cfRule>
    <cfRule type="containsText" dxfId="2716" priority="798" operator="containsText" text="Continue">
      <formula>NOT(ISERROR(SEARCH("Continue",D61)))</formula>
    </cfRule>
  </conditionalFormatting>
  <conditionalFormatting sqref="D69:D70 D72 D74">
    <cfRule type="containsText" dxfId="2715" priority="677" operator="containsText" text="Continue">
      <formula>NOT(ISERROR(SEARCH("Continue",D69)))</formula>
    </cfRule>
    <cfRule type="containsText" dxfId="2714" priority="678" operator="containsText" text="Stop">
      <formula>NOT(ISERROR(SEARCH("Stop",D69)))</formula>
    </cfRule>
    <cfRule type="containsText" dxfId="2713" priority="679" operator="containsText" text="Start">
      <formula>NOT(ISERROR(SEARCH("Start",D69)))</formula>
    </cfRule>
    <cfRule type="containsText" dxfId="2712" priority="680" operator="containsText" text="N/A">
      <formula>NOT(ISERROR(SEARCH("N/A",D69)))</formula>
    </cfRule>
    <cfRule type="containsText" dxfId="2711" priority="681" operator="containsText" text="Exceeds">
      <formula>NOT(ISERROR(SEARCH("Exceeds",D69)))</formula>
    </cfRule>
    <cfRule type="containsText" dxfId="2710" priority="682" operator="containsText" text="Meets">
      <formula>NOT(ISERROR(SEARCH("Meets",D69)))</formula>
    </cfRule>
    <cfRule type="containsText" dxfId="2709" priority="683" operator="containsText" text="Under">
      <formula>NOT(ISERROR(SEARCH("Under",D69)))</formula>
    </cfRule>
  </conditionalFormatting>
  <conditionalFormatting sqref="D77:D78 D80 D82">
    <cfRule type="containsText" dxfId="2708" priority="675" operator="containsText" text="Meets">
      <formula>NOT(ISERROR(SEARCH("Meets",D77)))</formula>
    </cfRule>
    <cfRule type="containsText" dxfId="2707" priority="674" operator="containsText" text="Exceeds">
      <formula>NOT(ISERROR(SEARCH("Exceeds",D77)))</formula>
    </cfRule>
    <cfRule type="containsText" dxfId="2706" priority="672" operator="containsText" text="Start">
      <formula>NOT(ISERROR(SEARCH("Start",D77)))</formula>
    </cfRule>
    <cfRule type="containsText" dxfId="2705" priority="671" operator="containsText" text="Stop">
      <formula>NOT(ISERROR(SEARCH("Stop",D77)))</formula>
    </cfRule>
    <cfRule type="containsText" dxfId="2704" priority="670" operator="containsText" text="Continue">
      <formula>NOT(ISERROR(SEARCH("Continue",D77)))</formula>
    </cfRule>
    <cfRule type="containsText" dxfId="2703" priority="673" operator="containsText" text="N/A">
      <formula>NOT(ISERROR(SEARCH("N/A",D77)))</formula>
    </cfRule>
    <cfRule type="containsText" dxfId="2702" priority="676" operator="containsText" text="Under">
      <formula>NOT(ISERROR(SEARCH("Under",D77)))</formula>
    </cfRule>
  </conditionalFormatting>
  <conditionalFormatting sqref="D85:D86 D88 D90">
    <cfRule type="containsText" dxfId="2701" priority="663" operator="containsText" text="Continue">
      <formula>NOT(ISERROR(SEARCH("Continue",D85)))</formula>
    </cfRule>
    <cfRule type="containsText" dxfId="2700" priority="669" operator="containsText" text="Under">
      <formula>NOT(ISERROR(SEARCH("Under",D85)))</formula>
    </cfRule>
    <cfRule type="containsText" dxfId="2699" priority="664" operator="containsText" text="Stop">
      <formula>NOT(ISERROR(SEARCH("Stop",D85)))</formula>
    </cfRule>
    <cfRule type="containsText" dxfId="2698" priority="668" operator="containsText" text="Meets">
      <formula>NOT(ISERROR(SEARCH("Meets",D85)))</formula>
    </cfRule>
    <cfRule type="containsText" dxfId="2697" priority="667" operator="containsText" text="Exceeds">
      <formula>NOT(ISERROR(SEARCH("Exceeds",D85)))</formula>
    </cfRule>
    <cfRule type="containsText" dxfId="2696" priority="666" operator="containsText" text="N/A">
      <formula>NOT(ISERROR(SEARCH("N/A",D85)))</formula>
    </cfRule>
    <cfRule type="containsText" dxfId="2695" priority="665" operator="containsText" text="Start">
      <formula>NOT(ISERROR(SEARCH("Start",D85)))</formula>
    </cfRule>
  </conditionalFormatting>
  <conditionalFormatting sqref="D93:D94 D96 D98">
    <cfRule type="containsText" dxfId="2694" priority="662" operator="containsText" text="Under">
      <formula>NOT(ISERROR(SEARCH("Under",D93)))</formula>
    </cfRule>
    <cfRule type="containsText" dxfId="2693" priority="661" operator="containsText" text="Meets">
      <formula>NOT(ISERROR(SEARCH("Meets",D93)))</formula>
    </cfRule>
    <cfRule type="containsText" dxfId="2692" priority="660" operator="containsText" text="Exceeds">
      <formula>NOT(ISERROR(SEARCH("Exceeds",D93)))</formula>
    </cfRule>
    <cfRule type="containsText" dxfId="2691" priority="659" operator="containsText" text="N/A">
      <formula>NOT(ISERROR(SEARCH("N/A",D93)))</formula>
    </cfRule>
    <cfRule type="containsText" dxfId="2690" priority="658" operator="containsText" text="Start">
      <formula>NOT(ISERROR(SEARCH("Start",D93)))</formula>
    </cfRule>
    <cfRule type="containsText" dxfId="2689" priority="657" operator="containsText" text="Stop">
      <formula>NOT(ISERROR(SEARCH("Stop",D93)))</formula>
    </cfRule>
    <cfRule type="containsText" dxfId="2688" priority="656" operator="containsText" text="Continue">
      <formula>NOT(ISERROR(SEARCH("Continue",D93)))</formula>
    </cfRule>
  </conditionalFormatting>
  <conditionalFormatting sqref="D101:D102 D104 D106">
    <cfRule type="containsText" dxfId="2687" priority="654" operator="containsText" text="Meets">
      <formula>NOT(ISERROR(SEARCH("Meets",D101)))</formula>
    </cfRule>
    <cfRule type="containsText" dxfId="2686" priority="655" operator="containsText" text="Under">
      <formula>NOT(ISERROR(SEARCH("Under",D101)))</formula>
    </cfRule>
    <cfRule type="containsText" dxfId="2685" priority="649" operator="containsText" text="Continue">
      <formula>NOT(ISERROR(SEARCH("Continue",D101)))</formula>
    </cfRule>
    <cfRule type="containsText" dxfId="2684" priority="650" operator="containsText" text="Stop">
      <formula>NOT(ISERROR(SEARCH("Stop",D101)))</formula>
    </cfRule>
    <cfRule type="containsText" dxfId="2683" priority="651" operator="containsText" text="Start">
      <formula>NOT(ISERROR(SEARCH("Start",D101)))</formula>
    </cfRule>
    <cfRule type="containsText" dxfId="2682" priority="653" operator="containsText" text="Exceeds">
      <formula>NOT(ISERROR(SEARCH("Exceeds",D101)))</formula>
    </cfRule>
    <cfRule type="containsText" dxfId="2681" priority="652" operator="containsText" text="N/A">
      <formula>NOT(ISERROR(SEARCH("N/A",D101)))</formula>
    </cfRule>
  </conditionalFormatting>
  <conditionalFormatting sqref="D109:D110 D112 D114">
    <cfRule type="containsText" dxfId="2680" priority="242" operator="containsText" text="Under">
      <formula>NOT(ISERROR(SEARCH("Under",D109)))</formula>
    </cfRule>
    <cfRule type="containsText" dxfId="2679" priority="241" operator="containsText" text="Meets">
      <formula>NOT(ISERROR(SEARCH("Meets",D109)))</formula>
    </cfRule>
    <cfRule type="containsText" dxfId="2678" priority="240" operator="containsText" text="Exceeds">
      <formula>NOT(ISERROR(SEARCH("Exceeds",D109)))</formula>
    </cfRule>
    <cfRule type="containsText" dxfId="2677" priority="239" operator="containsText" text="N/A">
      <formula>NOT(ISERROR(SEARCH("N/A",D109)))</formula>
    </cfRule>
    <cfRule type="containsText" dxfId="2676" priority="238" operator="containsText" text="Start">
      <formula>NOT(ISERROR(SEARCH("Start",D109)))</formula>
    </cfRule>
    <cfRule type="containsText" dxfId="2675" priority="237" operator="containsText" text="Stop">
      <formula>NOT(ISERROR(SEARCH("Stop",D109)))</formula>
    </cfRule>
    <cfRule type="containsText" dxfId="2674" priority="236" operator="containsText" text="Continue">
      <formula>NOT(ISERROR(SEARCH("Continue",D109)))</formula>
    </cfRule>
  </conditionalFormatting>
  <conditionalFormatting sqref="D209 D216 D223">
    <cfRule type="containsText" dxfId="2673" priority="704" operator="containsText" text="Under">
      <formula>NOT(ISERROR(SEARCH("Under",D209)))</formula>
    </cfRule>
    <cfRule type="containsText" dxfId="2672" priority="702" operator="containsText" text="Exceeds">
      <formula>NOT(ISERROR(SEARCH("Exceeds",D209)))</formula>
    </cfRule>
    <cfRule type="containsText" dxfId="2671" priority="698" operator="containsText" text="Continue">
      <formula>NOT(ISERROR(SEARCH("Continue",D209)))</formula>
    </cfRule>
    <cfRule type="containsText" dxfId="2670" priority="700" operator="containsText" text="Start">
      <formula>NOT(ISERROR(SEARCH("Start",D209)))</formula>
    </cfRule>
    <cfRule type="containsText" dxfId="2669" priority="699" operator="containsText" text="Stop">
      <formula>NOT(ISERROR(SEARCH("Stop",D209)))</formula>
    </cfRule>
    <cfRule type="containsText" dxfId="2668" priority="701" operator="containsText" text="N/A">
      <formula>NOT(ISERROR(SEARCH("N/A",D209)))</formula>
    </cfRule>
    <cfRule type="containsText" dxfId="2667" priority="703" operator="containsText" text="Meets">
      <formula>NOT(ISERROR(SEARCH("Meets",D209)))</formula>
    </cfRule>
  </conditionalFormatting>
  <conditionalFormatting sqref="D211 D218 D225">
    <cfRule type="containsText" dxfId="2666" priority="691" operator="containsText" text="Continue">
      <formula>NOT(ISERROR(SEARCH("Continue",D211)))</formula>
    </cfRule>
    <cfRule type="containsText" dxfId="2665" priority="692" operator="containsText" text="Stop">
      <formula>NOT(ISERROR(SEARCH("Stop",D211)))</formula>
    </cfRule>
    <cfRule type="containsText" dxfId="2664" priority="694" operator="containsText" text="N/A">
      <formula>NOT(ISERROR(SEARCH("N/A",D211)))</formula>
    </cfRule>
    <cfRule type="containsText" dxfId="2663" priority="695" operator="containsText" text="Exceeds">
      <formula>NOT(ISERROR(SEARCH("Exceeds",D211)))</formula>
    </cfRule>
    <cfRule type="containsText" dxfId="2662" priority="696" operator="containsText" text="Meets">
      <formula>NOT(ISERROR(SEARCH("Meets",D211)))</formula>
    </cfRule>
    <cfRule type="containsText" dxfId="2661" priority="697" operator="containsText" text="Under">
      <formula>NOT(ISERROR(SEARCH("Under",D211)))</formula>
    </cfRule>
    <cfRule type="containsText" dxfId="2660" priority="693" operator="containsText" text="Start">
      <formula>NOT(ISERROR(SEARCH("Start",D211)))</formula>
    </cfRule>
  </conditionalFormatting>
  <conditionalFormatting sqref="D213 D220 D227">
    <cfRule type="containsText" dxfId="2659" priority="687" operator="containsText" text="N/A">
      <formula>NOT(ISERROR(SEARCH("N/A",D213)))</formula>
    </cfRule>
    <cfRule type="containsText" dxfId="2658" priority="688" operator="containsText" text="Exceeds">
      <formula>NOT(ISERROR(SEARCH("Exceeds",D213)))</formula>
    </cfRule>
    <cfRule type="containsText" dxfId="2657" priority="686" operator="containsText" text="Start">
      <formula>NOT(ISERROR(SEARCH("Start",D213)))</formula>
    </cfRule>
    <cfRule type="containsText" dxfId="2656" priority="685" operator="containsText" text="Stop">
      <formula>NOT(ISERROR(SEARCH("Stop",D213)))</formula>
    </cfRule>
    <cfRule type="containsText" dxfId="2655" priority="684" operator="containsText" text="Continue">
      <formula>NOT(ISERROR(SEARCH("Continue",D213)))</formula>
    </cfRule>
    <cfRule type="containsText" dxfId="2654" priority="689" operator="containsText" text="Meets">
      <formula>NOT(ISERROR(SEARCH("Meets",D213)))</formula>
    </cfRule>
    <cfRule type="containsText" dxfId="2653" priority="690" operator="containsText" text="Under">
      <formula>NOT(ISERROR(SEARCH("Under",D213)))</formula>
    </cfRule>
  </conditionalFormatting>
  <conditionalFormatting sqref="D76:E76">
    <cfRule type="containsText" dxfId="2652" priority="743" operator="containsText" text="Stop">
      <formula>NOT(ISERROR(SEARCH("Stop",D76)))</formula>
    </cfRule>
    <cfRule type="containsText" dxfId="2651" priority="742" operator="containsText" text="Continue">
      <formula>NOT(ISERROR(SEARCH("Continue",D76)))</formula>
    </cfRule>
    <cfRule type="containsText" dxfId="2650" priority="748" operator="containsText" text="Under">
      <formula>NOT(ISERROR(SEARCH("Under",D76)))</formula>
    </cfRule>
    <cfRule type="containsText" dxfId="2649" priority="747" operator="containsText" text="Meets">
      <formula>NOT(ISERROR(SEARCH("Meets",D76)))</formula>
    </cfRule>
    <cfRule type="containsText" dxfId="2648" priority="746" operator="containsText" text="Exceeds">
      <formula>NOT(ISERROR(SEARCH("Exceeds",D76)))</formula>
    </cfRule>
    <cfRule type="containsText" dxfId="2647" priority="745" operator="containsText" text="N/A">
      <formula>NOT(ISERROR(SEARCH("N/A",D76)))</formula>
    </cfRule>
    <cfRule type="containsText" dxfId="2646" priority="744" operator="containsText" text="Start">
      <formula>NOT(ISERROR(SEARCH("Start",D76)))</formula>
    </cfRule>
  </conditionalFormatting>
  <conditionalFormatting sqref="E128:E129 E142:E143 E156:E157 E170:E171">
    <cfRule type="dataBar" priority="164">
      <dataBar>
        <cfvo type="num" val="0"/>
        <cfvo type="num" val="1"/>
        <color theme="0" tint="-0.249977111117893"/>
      </dataBar>
      <extLst>
        <ext xmlns:x14="http://schemas.microsoft.com/office/spreadsheetml/2009/9/main" uri="{B025F937-C7B1-47D3-B67F-A62EFF666E3E}">
          <x14:id>{F70083F1-3436-44E5-BFD6-096F4C0F06E7}</x14:id>
        </ext>
      </extLst>
    </cfRule>
  </conditionalFormatting>
  <conditionalFormatting sqref="E130 E144 E158 E172">
    <cfRule type="dataBar" priority="165">
      <dataBar>
        <cfvo type="num" val="0"/>
        <cfvo type="num" val="1"/>
        <color theme="0" tint="-0.249977111117893"/>
      </dataBar>
      <extLst>
        <ext xmlns:x14="http://schemas.microsoft.com/office/spreadsheetml/2009/9/main" uri="{B025F937-C7B1-47D3-B67F-A62EFF666E3E}">
          <x14:id>{70EF7904-A3CE-40CC-A222-93555F8CC8D9}</x14:id>
        </ext>
      </extLst>
    </cfRule>
  </conditionalFormatting>
  <conditionalFormatting sqref="E133:E134 E147:E148 E161:E162 E175:E176">
    <cfRule type="dataBar" priority="162">
      <dataBar>
        <cfvo type="num" val="0"/>
        <cfvo type="num" val="1"/>
        <color theme="0" tint="-0.249977111117893"/>
      </dataBar>
      <extLst>
        <ext xmlns:x14="http://schemas.microsoft.com/office/spreadsheetml/2009/9/main" uri="{B025F937-C7B1-47D3-B67F-A62EFF666E3E}">
          <x14:id>{77FF1469-D5E3-47F8-B06F-A13374B99CBF}</x14:id>
        </ext>
      </extLst>
    </cfRule>
  </conditionalFormatting>
  <conditionalFormatting sqref="E135 E149 E163 E177">
    <cfRule type="dataBar" priority="163">
      <dataBar>
        <cfvo type="num" val="0"/>
        <cfvo type="num" val="1"/>
        <color theme="0" tint="-0.249977111117893"/>
      </dataBar>
      <extLst>
        <ext xmlns:x14="http://schemas.microsoft.com/office/spreadsheetml/2009/9/main" uri="{B025F937-C7B1-47D3-B67F-A62EFF666E3E}">
          <x14:id>{55DC4919-FF5D-494D-B9DC-95DDF5467E31}</x14:id>
        </ext>
      </extLst>
    </cfRule>
  </conditionalFormatting>
  <conditionalFormatting sqref="E184:E185">
    <cfRule type="dataBar" priority="171">
      <dataBar>
        <cfvo type="num" val="0"/>
        <cfvo type="num" val="1"/>
        <color theme="0" tint="-0.249977111117893"/>
      </dataBar>
      <extLst>
        <ext xmlns:x14="http://schemas.microsoft.com/office/spreadsheetml/2009/9/main" uri="{B025F937-C7B1-47D3-B67F-A62EFF666E3E}">
          <x14:id>{693AAC3B-68B2-4FDB-85FE-65F88EDC4035}</x14:id>
        </ext>
      </extLst>
    </cfRule>
  </conditionalFormatting>
  <conditionalFormatting sqref="E186">
    <cfRule type="dataBar" priority="172">
      <dataBar>
        <cfvo type="num" val="0"/>
        <cfvo type="num" val="1"/>
        <color theme="0" tint="-0.249977111117893"/>
      </dataBar>
      <extLst>
        <ext xmlns:x14="http://schemas.microsoft.com/office/spreadsheetml/2009/9/main" uri="{B025F937-C7B1-47D3-B67F-A62EFF666E3E}">
          <x14:id>{81C9341C-43F4-445E-B34A-81D5FB4D906A}</x14:id>
        </ext>
      </extLst>
    </cfRule>
  </conditionalFormatting>
  <conditionalFormatting sqref="E189:E190">
    <cfRule type="dataBar" priority="169">
      <dataBar>
        <cfvo type="num" val="0"/>
        <cfvo type="num" val="1"/>
        <color theme="0" tint="-0.249977111117893"/>
      </dataBar>
      <extLst>
        <ext xmlns:x14="http://schemas.microsoft.com/office/spreadsheetml/2009/9/main" uri="{B025F937-C7B1-47D3-B67F-A62EFF666E3E}">
          <x14:id>{D73D4CB1-A33E-4B5F-8C4C-906880309A3E}</x14:id>
        </ext>
      </extLst>
    </cfRule>
  </conditionalFormatting>
  <conditionalFormatting sqref="E191:E192">
    <cfRule type="dataBar" priority="170">
      <dataBar>
        <cfvo type="num" val="0"/>
        <cfvo type="num" val="1"/>
        <color theme="0" tint="-0.249977111117893"/>
      </dataBar>
      <extLst>
        <ext xmlns:x14="http://schemas.microsoft.com/office/spreadsheetml/2009/9/main" uri="{B025F937-C7B1-47D3-B67F-A62EFF666E3E}">
          <x14:id>{D4E3C735-1D8A-460F-BBD3-287AA79A535D}</x14:id>
        </ext>
      </extLst>
    </cfRule>
  </conditionalFormatting>
  <conditionalFormatting sqref="E203 E205 E207">
    <cfRule type="dataBar" priority="763">
      <dataBar>
        <cfvo type="num" val="0"/>
        <cfvo type="num" val="1"/>
        <color theme="0" tint="-0.249977111117893"/>
      </dataBar>
      <extLst>
        <ext xmlns:x14="http://schemas.microsoft.com/office/spreadsheetml/2009/9/main" uri="{B025F937-C7B1-47D3-B67F-A62EFF666E3E}">
          <x14:id>{AD16439C-223C-4D20-8503-E44C4315325B}</x14:id>
        </ext>
      </extLst>
    </cfRule>
  </conditionalFormatting>
  <conditionalFormatting sqref="E203">
    <cfRule type="containsText" dxfId="2645" priority="764" operator="containsText" text="Continue">
      <formula>NOT(ISERROR(SEARCH("Continue",E203)))</formula>
    </cfRule>
    <cfRule type="containsText" dxfId="2644" priority="765" operator="containsText" text="Stop">
      <formula>NOT(ISERROR(SEARCH("Stop",E203)))</formula>
    </cfRule>
    <cfRule type="dataBar" priority="771">
      <dataBar>
        <cfvo type="num" val="0"/>
        <cfvo type="num" val="1"/>
        <color rgb="FF63C384"/>
      </dataBar>
      <extLst>
        <ext xmlns:x14="http://schemas.microsoft.com/office/spreadsheetml/2009/9/main" uri="{B025F937-C7B1-47D3-B67F-A62EFF666E3E}">
          <x14:id>{8797000B-AB5C-43F3-A5F6-54650ABA73A1}</x14:id>
        </ext>
      </extLst>
    </cfRule>
    <cfRule type="containsText" dxfId="2643" priority="766" operator="containsText" text="Start">
      <formula>NOT(ISERROR(SEARCH("Start",E203)))</formula>
    </cfRule>
    <cfRule type="containsText" dxfId="2642" priority="770" operator="containsText" text="Under">
      <formula>NOT(ISERROR(SEARCH("Under",E203)))</formula>
    </cfRule>
    <cfRule type="containsText" dxfId="2641" priority="767" operator="containsText" text="N/A">
      <formula>NOT(ISERROR(SEARCH("N/A",E203)))</formula>
    </cfRule>
    <cfRule type="containsText" dxfId="2640" priority="769" operator="containsText" text="Meets">
      <formula>NOT(ISERROR(SEARCH("Meets",E203)))</formula>
    </cfRule>
    <cfRule type="containsText" dxfId="2639" priority="768" operator="containsText" text="Exceeds">
      <formula>NOT(ISERROR(SEARCH("Exceeds",E203)))</formula>
    </cfRule>
  </conditionalFormatting>
  <conditionalFormatting sqref="E205">
    <cfRule type="containsText" dxfId="2638" priority="761" operator="containsText" text="Meets">
      <formula>NOT(ISERROR(SEARCH("Meets",E205)))</formula>
    </cfRule>
    <cfRule type="containsText" dxfId="2637" priority="760" operator="containsText" text="Exceeds">
      <formula>NOT(ISERROR(SEARCH("Exceeds",E205)))</formula>
    </cfRule>
    <cfRule type="containsText" dxfId="2636" priority="758" operator="containsText" text="Start">
      <formula>NOT(ISERROR(SEARCH("Start",E205)))</formula>
    </cfRule>
    <cfRule type="containsText" dxfId="2635" priority="759" operator="containsText" text="N/A">
      <formula>NOT(ISERROR(SEARCH("N/A",E205)))</formula>
    </cfRule>
    <cfRule type="containsText" dxfId="2634" priority="757" operator="containsText" text="Stop">
      <formula>NOT(ISERROR(SEARCH("Stop",E205)))</formula>
    </cfRule>
    <cfRule type="containsText" dxfId="2633" priority="756" operator="containsText" text="Continue">
      <formula>NOT(ISERROR(SEARCH("Continue",E205)))</formula>
    </cfRule>
    <cfRule type="containsText" dxfId="2632" priority="762" operator="containsText" text="Under">
      <formula>NOT(ISERROR(SEARCH("Under",E205)))</formula>
    </cfRule>
  </conditionalFormatting>
  <conditionalFormatting sqref="E207">
    <cfRule type="containsText" dxfId="2631" priority="754" operator="containsText" text="Meets">
      <formula>NOT(ISERROR(SEARCH("Meets",E207)))</formula>
    </cfRule>
    <cfRule type="containsText" dxfId="2630" priority="753" operator="containsText" text="Exceeds">
      <formula>NOT(ISERROR(SEARCH("Exceeds",E207)))</formula>
    </cfRule>
    <cfRule type="containsText" dxfId="2629" priority="752" operator="containsText" text="N/A">
      <formula>NOT(ISERROR(SEARCH("N/A",E207)))</formula>
    </cfRule>
    <cfRule type="containsText" dxfId="2628" priority="750" operator="containsText" text="Stop">
      <formula>NOT(ISERROR(SEARCH("Stop",E207)))</formula>
    </cfRule>
    <cfRule type="containsText" dxfId="2627" priority="749" operator="containsText" text="Continue">
      <formula>NOT(ISERROR(SEARCH("Continue",E207)))</formula>
    </cfRule>
    <cfRule type="containsText" dxfId="2626" priority="751" operator="containsText" text="Start">
      <formula>NOT(ISERROR(SEARCH("Start",E207)))</formula>
    </cfRule>
    <cfRule type="containsText" dxfId="2625" priority="755" operator="containsText" text="Under">
      <formula>NOT(ISERROR(SEARCH("Under",E207)))</formula>
    </cfRule>
  </conditionalFormatting>
  <conditionalFormatting sqref="E210">
    <cfRule type="containsText" dxfId="2624" priority="614" operator="containsText" text="Stop">
      <formula>NOT(ISERROR(SEARCH("Stop",E210)))</formula>
    </cfRule>
    <cfRule type="containsText" dxfId="2623" priority="613" operator="containsText" text="Continue">
      <formula>NOT(ISERROR(SEARCH("Continue",E210)))</formula>
    </cfRule>
    <cfRule type="containsText" dxfId="2622" priority="616" operator="containsText" text="N/A">
      <formula>NOT(ISERROR(SEARCH("N/A",E210)))</formula>
    </cfRule>
    <cfRule type="containsText" dxfId="2621" priority="615" operator="containsText" text="Start">
      <formula>NOT(ISERROR(SEARCH("Start",E210)))</formula>
    </cfRule>
    <cfRule type="containsText" dxfId="2620" priority="617" operator="containsText" text="Exceeds">
      <formula>NOT(ISERROR(SEARCH("Exceeds",E210)))</formula>
    </cfRule>
    <cfRule type="containsText" dxfId="2619" priority="619" operator="containsText" text="Under">
      <formula>NOT(ISERROR(SEARCH("Under",E210)))</formula>
    </cfRule>
    <cfRule type="dataBar" priority="620">
      <dataBar>
        <cfvo type="num" val="0"/>
        <cfvo type="num" val="1"/>
        <color rgb="FF63C384"/>
      </dataBar>
      <extLst>
        <ext xmlns:x14="http://schemas.microsoft.com/office/spreadsheetml/2009/9/main" uri="{B025F937-C7B1-47D3-B67F-A62EFF666E3E}">
          <x14:id>{385BC35B-8955-42ED-BF8D-584088835B2B}</x14:id>
        </ext>
      </extLst>
    </cfRule>
    <cfRule type="containsText" dxfId="2618" priority="618" operator="containsText" text="Meets">
      <formula>NOT(ISERROR(SEARCH("Meets",E210)))</formula>
    </cfRule>
  </conditionalFormatting>
  <conditionalFormatting sqref="E212 E210 E214">
    <cfRule type="dataBar" priority="612">
      <dataBar>
        <cfvo type="num" val="0"/>
        <cfvo type="num" val="1"/>
        <color theme="0" tint="-0.249977111117893"/>
      </dataBar>
      <extLst>
        <ext xmlns:x14="http://schemas.microsoft.com/office/spreadsheetml/2009/9/main" uri="{B025F937-C7B1-47D3-B67F-A62EFF666E3E}">
          <x14:id>{731D2A3A-68FC-436E-AD27-37976EB9A83C}</x14:id>
        </ext>
      </extLst>
    </cfRule>
  </conditionalFormatting>
  <conditionalFormatting sqref="E212">
    <cfRule type="containsText" dxfId="2617" priority="607" operator="containsText" text="Start">
      <formula>NOT(ISERROR(SEARCH("Start",E212)))</formula>
    </cfRule>
    <cfRule type="containsText" dxfId="2616" priority="611" operator="containsText" text="Under">
      <formula>NOT(ISERROR(SEARCH("Under",E212)))</formula>
    </cfRule>
    <cfRule type="containsText" dxfId="2615" priority="610" operator="containsText" text="Meets">
      <formula>NOT(ISERROR(SEARCH("Meets",E212)))</formula>
    </cfRule>
    <cfRule type="containsText" dxfId="2614" priority="609" operator="containsText" text="Exceeds">
      <formula>NOT(ISERROR(SEARCH("Exceeds",E212)))</formula>
    </cfRule>
    <cfRule type="containsText" dxfId="2613" priority="608" operator="containsText" text="N/A">
      <formula>NOT(ISERROR(SEARCH("N/A",E212)))</formula>
    </cfRule>
    <cfRule type="containsText" dxfId="2612" priority="606" operator="containsText" text="Stop">
      <formula>NOT(ISERROR(SEARCH("Stop",E212)))</formula>
    </cfRule>
    <cfRule type="containsText" dxfId="2611" priority="605" operator="containsText" text="Continue">
      <formula>NOT(ISERROR(SEARCH("Continue",E212)))</formula>
    </cfRule>
  </conditionalFormatting>
  <conditionalFormatting sqref="E214">
    <cfRule type="containsText" dxfId="2610" priority="598" operator="containsText" text="Continue">
      <formula>NOT(ISERROR(SEARCH("Continue",E214)))</formula>
    </cfRule>
    <cfRule type="containsText" dxfId="2609" priority="604" operator="containsText" text="Under">
      <formula>NOT(ISERROR(SEARCH("Under",E214)))</formula>
    </cfRule>
    <cfRule type="containsText" dxfId="2608" priority="603" operator="containsText" text="Meets">
      <formula>NOT(ISERROR(SEARCH("Meets",E214)))</formula>
    </cfRule>
    <cfRule type="containsText" dxfId="2607" priority="602" operator="containsText" text="Exceeds">
      <formula>NOT(ISERROR(SEARCH("Exceeds",E214)))</formula>
    </cfRule>
    <cfRule type="containsText" dxfId="2606" priority="601" operator="containsText" text="N/A">
      <formula>NOT(ISERROR(SEARCH("N/A",E214)))</formula>
    </cfRule>
    <cfRule type="containsText" dxfId="2605" priority="600" operator="containsText" text="Start">
      <formula>NOT(ISERROR(SEARCH("Start",E214)))</formula>
    </cfRule>
    <cfRule type="containsText" dxfId="2604" priority="599" operator="containsText" text="Stop">
      <formula>NOT(ISERROR(SEARCH("Stop",E214)))</formula>
    </cfRule>
  </conditionalFormatting>
  <conditionalFormatting sqref="E217 E219 E221">
    <cfRule type="dataBar" priority="561">
      <dataBar>
        <cfvo type="num" val="0"/>
        <cfvo type="num" val="1"/>
        <color theme="0" tint="-0.249977111117893"/>
      </dataBar>
      <extLst>
        <ext xmlns:x14="http://schemas.microsoft.com/office/spreadsheetml/2009/9/main" uri="{B025F937-C7B1-47D3-B67F-A62EFF666E3E}">
          <x14:id>{9C342497-9988-4CE5-9710-8BB20CC8EBD5}</x14:id>
        </ext>
      </extLst>
    </cfRule>
  </conditionalFormatting>
  <conditionalFormatting sqref="E217">
    <cfRule type="containsText" dxfId="2603" priority="566" operator="containsText" text="Exceeds">
      <formula>NOT(ISERROR(SEARCH("Exceeds",E217)))</formula>
    </cfRule>
    <cfRule type="containsText" dxfId="2602" priority="568" operator="containsText" text="Under">
      <formula>NOT(ISERROR(SEARCH("Under",E217)))</formula>
    </cfRule>
    <cfRule type="dataBar" priority="569">
      <dataBar>
        <cfvo type="num" val="0"/>
        <cfvo type="num" val="1"/>
        <color rgb="FF63C384"/>
      </dataBar>
      <extLst>
        <ext xmlns:x14="http://schemas.microsoft.com/office/spreadsheetml/2009/9/main" uri="{B025F937-C7B1-47D3-B67F-A62EFF666E3E}">
          <x14:id>{F91A76DA-670D-4D13-A1F8-158962A28353}</x14:id>
        </ext>
      </extLst>
    </cfRule>
    <cfRule type="containsText" dxfId="2601" priority="562" operator="containsText" text="Continue">
      <formula>NOT(ISERROR(SEARCH("Continue",E217)))</formula>
    </cfRule>
    <cfRule type="containsText" dxfId="2600" priority="567" operator="containsText" text="Meets">
      <formula>NOT(ISERROR(SEARCH("Meets",E217)))</formula>
    </cfRule>
    <cfRule type="containsText" dxfId="2599" priority="563" operator="containsText" text="Stop">
      <formula>NOT(ISERROR(SEARCH("Stop",E217)))</formula>
    </cfRule>
    <cfRule type="containsText" dxfId="2598" priority="565" operator="containsText" text="N/A">
      <formula>NOT(ISERROR(SEARCH("N/A",E217)))</formula>
    </cfRule>
    <cfRule type="containsText" dxfId="2597" priority="564" operator="containsText" text="Start">
      <formula>NOT(ISERROR(SEARCH("Start",E217)))</formula>
    </cfRule>
  </conditionalFormatting>
  <conditionalFormatting sqref="E219">
    <cfRule type="containsText" dxfId="2596" priority="560" operator="containsText" text="Under">
      <formula>NOT(ISERROR(SEARCH("Under",E219)))</formula>
    </cfRule>
    <cfRule type="containsText" dxfId="2595" priority="559" operator="containsText" text="Meets">
      <formula>NOT(ISERROR(SEARCH("Meets",E219)))</formula>
    </cfRule>
    <cfRule type="containsText" dxfId="2594" priority="558" operator="containsText" text="Exceeds">
      <formula>NOT(ISERROR(SEARCH("Exceeds",E219)))</formula>
    </cfRule>
    <cfRule type="containsText" dxfId="2593" priority="557" operator="containsText" text="N/A">
      <formula>NOT(ISERROR(SEARCH("N/A",E219)))</formula>
    </cfRule>
    <cfRule type="containsText" dxfId="2592" priority="556" operator="containsText" text="Start">
      <formula>NOT(ISERROR(SEARCH("Start",E219)))</formula>
    </cfRule>
    <cfRule type="containsText" dxfId="2591" priority="555" operator="containsText" text="Stop">
      <formula>NOT(ISERROR(SEARCH("Stop",E219)))</formula>
    </cfRule>
    <cfRule type="containsText" dxfId="2590" priority="554" operator="containsText" text="Continue">
      <formula>NOT(ISERROR(SEARCH("Continue",E219)))</formula>
    </cfRule>
  </conditionalFormatting>
  <conditionalFormatting sqref="E221">
    <cfRule type="containsText" dxfId="2589" priority="547" operator="containsText" text="Continue">
      <formula>NOT(ISERROR(SEARCH("Continue",E221)))</formula>
    </cfRule>
    <cfRule type="containsText" dxfId="2588" priority="548" operator="containsText" text="Stop">
      <formula>NOT(ISERROR(SEARCH("Stop",E221)))</formula>
    </cfRule>
    <cfRule type="containsText" dxfId="2587" priority="549" operator="containsText" text="Start">
      <formula>NOT(ISERROR(SEARCH("Start",E221)))</formula>
    </cfRule>
    <cfRule type="containsText" dxfId="2586" priority="550" operator="containsText" text="N/A">
      <formula>NOT(ISERROR(SEARCH("N/A",E221)))</formula>
    </cfRule>
    <cfRule type="containsText" dxfId="2585" priority="551" operator="containsText" text="Exceeds">
      <formula>NOT(ISERROR(SEARCH("Exceeds",E221)))</formula>
    </cfRule>
    <cfRule type="containsText" dxfId="2584" priority="553" operator="containsText" text="Under">
      <formula>NOT(ISERROR(SEARCH("Under",E221)))</formula>
    </cfRule>
    <cfRule type="containsText" dxfId="2583" priority="552" operator="containsText" text="Meets">
      <formula>NOT(ISERROR(SEARCH("Meets",E221)))</formula>
    </cfRule>
  </conditionalFormatting>
  <conditionalFormatting sqref="E224 E226 E228">
    <cfRule type="dataBar" priority="510">
      <dataBar>
        <cfvo type="num" val="0"/>
        <cfvo type="num" val="1"/>
        <color theme="0" tint="-0.249977111117893"/>
      </dataBar>
      <extLst>
        <ext xmlns:x14="http://schemas.microsoft.com/office/spreadsheetml/2009/9/main" uri="{B025F937-C7B1-47D3-B67F-A62EFF666E3E}">
          <x14:id>{445963A7-915D-4F43-9F7B-27399A6E38B9}</x14:id>
        </ext>
      </extLst>
    </cfRule>
  </conditionalFormatting>
  <conditionalFormatting sqref="E224">
    <cfRule type="containsText" dxfId="2582" priority="514" operator="containsText" text="N/A">
      <formula>NOT(ISERROR(SEARCH("N/A",E224)))</formula>
    </cfRule>
    <cfRule type="containsText" dxfId="2581" priority="513" operator="containsText" text="Start">
      <formula>NOT(ISERROR(SEARCH("Start",E224)))</formula>
    </cfRule>
    <cfRule type="containsText" dxfId="2580" priority="512" operator="containsText" text="Stop">
      <formula>NOT(ISERROR(SEARCH("Stop",E224)))</formula>
    </cfRule>
    <cfRule type="containsText" dxfId="2579" priority="517" operator="containsText" text="Under">
      <formula>NOT(ISERROR(SEARCH("Under",E224)))</formula>
    </cfRule>
    <cfRule type="containsText" dxfId="2578" priority="511" operator="containsText" text="Continue">
      <formula>NOT(ISERROR(SEARCH("Continue",E224)))</formula>
    </cfRule>
    <cfRule type="dataBar" priority="518">
      <dataBar>
        <cfvo type="num" val="0"/>
        <cfvo type="num" val="1"/>
        <color rgb="FF63C384"/>
      </dataBar>
      <extLst>
        <ext xmlns:x14="http://schemas.microsoft.com/office/spreadsheetml/2009/9/main" uri="{B025F937-C7B1-47D3-B67F-A62EFF666E3E}">
          <x14:id>{582EC471-B6D4-4369-859C-394070E30DFC}</x14:id>
        </ext>
      </extLst>
    </cfRule>
    <cfRule type="containsText" dxfId="2577" priority="515" operator="containsText" text="Exceeds">
      <formula>NOT(ISERROR(SEARCH("Exceeds",E224)))</formula>
    </cfRule>
    <cfRule type="containsText" dxfId="2576" priority="516" operator="containsText" text="Meets">
      <formula>NOT(ISERROR(SEARCH("Meets",E224)))</formula>
    </cfRule>
  </conditionalFormatting>
  <conditionalFormatting sqref="E226">
    <cfRule type="containsText" dxfId="2575" priority="509" operator="containsText" text="Under">
      <formula>NOT(ISERROR(SEARCH("Under",E226)))</formula>
    </cfRule>
    <cfRule type="containsText" dxfId="2574" priority="508" operator="containsText" text="Meets">
      <formula>NOT(ISERROR(SEARCH("Meets",E226)))</formula>
    </cfRule>
    <cfRule type="containsText" dxfId="2573" priority="507" operator="containsText" text="Exceeds">
      <formula>NOT(ISERROR(SEARCH("Exceeds",E226)))</formula>
    </cfRule>
    <cfRule type="containsText" dxfId="2572" priority="506" operator="containsText" text="N/A">
      <formula>NOT(ISERROR(SEARCH("N/A",E226)))</formula>
    </cfRule>
    <cfRule type="containsText" dxfId="2571" priority="505" operator="containsText" text="Start">
      <formula>NOT(ISERROR(SEARCH("Start",E226)))</formula>
    </cfRule>
    <cfRule type="containsText" dxfId="2570" priority="504" operator="containsText" text="Stop">
      <formula>NOT(ISERROR(SEARCH("Stop",E226)))</formula>
    </cfRule>
    <cfRule type="containsText" dxfId="2569" priority="503" operator="containsText" text="Continue">
      <formula>NOT(ISERROR(SEARCH("Continue",E226)))</formula>
    </cfRule>
  </conditionalFormatting>
  <conditionalFormatting sqref="E228">
    <cfRule type="containsText" dxfId="2568" priority="502" operator="containsText" text="Under">
      <formula>NOT(ISERROR(SEARCH("Under",E228)))</formula>
    </cfRule>
    <cfRule type="containsText" dxfId="2567" priority="501" operator="containsText" text="Meets">
      <formula>NOT(ISERROR(SEARCH("Meets",E228)))</formula>
    </cfRule>
    <cfRule type="containsText" dxfId="2566" priority="500" operator="containsText" text="Exceeds">
      <formula>NOT(ISERROR(SEARCH("Exceeds",E228)))</formula>
    </cfRule>
    <cfRule type="containsText" dxfId="2565" priority="499" operator="containsText" text="N/A">
      <formula>NOT(ISERROR(SEARCH("N/A",E228)))</formula>
    </cfRule>
    <cfRule type="containsText" dxfId="2564" priority="498" operator="containsText" text="Start">
      <formula>NOT(ISERROR(SEARCH("Start",E228)))</formula>
    </cfRule>
    <cfRule type="containsText" dxfId="2563" priority="497" operator="containsText" text="Stop">
      <formula>NOT(ISERROR(SEARCH("Stop",E228)))</formula>
    </cfRule>
    <cfRule type="containsText" dxfId="2562" priority="496" operator="containsText" text="Continue">
      <formula>NOT(ISERROR(SEARCH("Continue",E228)))</formula>
    </cfRule>
  </conditionalFormatting>
  <conditionalFormatting sqref="F63">
    <cfRule type="containsText" dxfId="2561" priority="780" operator="containsText" text="Continue">
      <formula>NOT(ISERROR(SEARCH("Continue",F63)))</formula>
    </cfRule>
    <cfRule type="containsText" dxfId="2560" priority="781" operator="containsText" text="Stop">
      <formula>NOT(ISERROR(SEARCH("Stop",F63)))</formula>
    </cfRule>
    <cfRule type="containsText" dxfId="2559" priority="782" operator="containsText" text="Start">
      <formula>NOT(ISERROR(SEARCH("Start",F63)))</formula>
    </cfRule>
    <cfRule type="dataBar" priority="741">
      <dataBar>
        <cfvo type="num" val="0"/>
        <cfvo type="num" val="1"/>
        <color theme="0" tint="-0.249977111117893"/>
      </dataBar>
      <extLst>
        <ext xmlns:x14="http://schemas.microsoft.com/office/spreadsheetml/2009/9/main" uri="{B025F937-C7B1-47D3-B67F-A62EFF666E3E}">
          <x14:id>{AA9B154A-C30B-489D-A846-D8DF97D35760}</x14:id>
        </ext>
      </extLst>
    </cfRule>
    <cfRule type="containsText" dxfId="2558" priority="784" operator="containsText" text="Exceeds">
      <formula>NOT(ISERROR(SEARCH("Exceeds",F63)))</formula>
    </cfRule>
    <cfRule type="containsText" dxfId="2557" priority="783" operator="containsText" text="N/A">
      <formula>NOT(ISERROR(SEARCH("N/A",F63)))</formula>
    </cfRule>
    <cfRule type="containsText" dxfId="2556" priority="786" operator="containsText" text="Under">
      <formula>NOT(ISERROR(SEARCH("Under",F63)))</formula>
    </cfRule>
    <cfRule type="containsText" dxfId="2555" priority="785" operator="containsText" text="Meets">
      <formula>NOT(ISERROR(SEARCH("Meets",F63)))</formula>
    </cfRule>
  </conditionalFormatting>
  <conditionalFormatting sqref="F65">
    <cfRule type="containsText" dxfId="2554" priority="467" operator="containsText" text="Under">
      <formula>NOT(ISERROR(SEARCH("Under",F65)))</formula>
    </cfRule>
    <cfRule type="containsText" dxfId="2553" priority="466" operator="containsText" text="Meets">
      <formula>NOT(ISERROR(SEARCH("Meets",F65)))</formula>
    </cfRule>
    <cfRule type="containsText" dxfId="2552" priority="465" operator="containsText" text="Exceeds">
      <formula>NOT(ISERROR(SEARCH("Exceeds",F65)))</formula>
    </cfRule>
    <cfRule type="containsText" dxfId="2551" priority="464" operator="containsText" text="N/A">
      <formula>NOT(ISERROR(SEARCH("N/A",F65)))</formula>
    </cfRule>
    <cfRule type="containsText" dxfId="2550" priority="463" operator="containsText" text="Start">
      <formula>NOT(ISERROR(SEARCH("Start",F65)))</formula>
    </cfRule>
    <cfRule type="containsText" dxfId="2549" priority="462" operator="containsText" text="Stop">
      <formula>NOT(ISERROR(SEARCH("Stop",F65)))</formula>
    </cfRule>
    <cfRule type="containsText" dxfId="2548" priority="461" operator="containsText" text="Continue">
      <formula>NOT(ISERROR(SEARCH("Continue",F65)))</formula>
    </cfRule>
    <cfRule type="dataBar" priority="460">
      <dataBar>
        <cfvo type="num" val="0"/>
        <cfvo type="num" val="1"/>
        <color theme="0" tint="-0.249977111117893"/>
      </dataBar>
      <extLst>
        <ext xmlns:x14="http://schemas.microsoft.com/office/spreadsheetml/2009/9/main" uri="{B025F937-C7B1-47D3-B67F-A62EFF666E3E}">
          <x14:id>{7E3372C5-D3BE-4F6C-AFA1-F75AB4CF105E}</x14:id>
        </ext>
      </extLst>
    </cfRule>
  </conditionalFormatting>
  <conditionalFormatting sqref="F67">
    <cfRule type="containsText" dxfId="2547" priority="809" operator="containsText" text="Under">
      <formula>NOT(ISERROR(SEARCH("Under",F67)))</formula>
    </cfRule>
    <cfRule type="dataBar" priority="452">
      <dataBar>
        <cfvo type="num" val="0"/>
        <cfvo type="num" val="1"/>
        <color theme="0" tint="-0.249977111117893"/>
      </dataBar>
      <extLst>
        <ext xmlns:x14="http://schemas.microsoft.com/office/spreadsheetml/2009/9/main" uri="{B025F937-C7B1-47D3-B67F-A62EFF666E3E}">
          <x14:id>{3DA34581-DA8D-4251-8DB4-F9F45968262D}</x14:id>
        </ext>
      </extLst>
    </cfRule>
    <cfRule type="containsText" dxfId="2546" priority="451" operator="containsText" text="Meets">
      <formula>NOT(ISERROR(SEARCH("Meets",F67)))</formula>
    </cfRule>
    <cfRule type="containsText" dxfId="2545" priority="450" operator="containsText" text="Exceeds">
      <formula>NOT(ISERROR(SEARCH("Exceeds",F67)))</formula>
    </cfRule>
    <cfRule type="containsText" dxfId="2544" priority="449" operator="containsText" text="N/A">
      <formula>NOT(ISERROR(SEARCH("N/A",F67)))</formula>
    </cfRule>
    <cfRule type="containsText" dxfId="2543" priority="448" operator="containsText" text="Start">
      <formula>NOT(ISERROR(SEARCH("Start",F67)))</formula>
    </cfRule>
    <cfRule type="containsText" dxfId="2542" priority="447" operator="containsText" text="Stop">
      <formula>NOT(ISERROR(SEARCH("Stop",F67)))</formula>
    </cfRule>
    <cfRule type="containsText" dxfId="2541" priority="446" operator="containsText" text="Continue">
      <formula>NOT(ISERROR(SEARCH("Continue",F67)))</formula>
    </cfRule>
  </conditionalFormatting>
  <conditionalFormatting sqref="F71">
    <cfRule type="containsText" dxfId="2540" priority="434" operator="containsText" text="Start">
      <formula>NOT(ISERROR(SEARCH("Start",F71)))</formula>
    </cfRule>
    <cfRule type="containsText" dxfId="2539" priority="435" operator="containsText" text="N/A">
      <formula>NOT(ISERROR(SEARCH("N/A",F71)))</formula>
    </cfRule>
    <cfRule type="containsText" dxfId="2538" priority="433" operator="containsText" text="Stop">
      <formula>NOT(ISERROR(SEARCH("Stop",F71)))</formula>
    </cfRule>
    <cfRule type="containsText" dxfId="2537" priority="432" operator="containsText" text="Continue">
      <formula>NOT(ISERROR(SEARCH("Continue",F71)))</formula>
    </cfRule>
    <cfRule type="dataBar" priority="431">
      <dataBar>
        <cfvo type="num" val="0"/>
        <cfvo type="num" val="1"/>
        <color theme="0" tint="-0.249977111117893"/>
      </dataBar>
      <extLst>
        <ext xmlns:x14="http://schemas.microsoft.com/office/spreadsheetml/2009/9/main" uri="{B025F937-C7B1-47D3-B67F-A62EFF666E3E}">
          <x14:id>{B52FB86F-1CB8-4736-A092-9E0C809E76F0}</x14:id>
        </ext>
      </extLst>
    </cfRule>
    <cfRule type="containsText" dxfId="2536" priority="438" operator="containsText" text="Under">
      <formula>NOT(ISERROR(SEARCH("Under",F71)))</formula>
    </cfRule>
    <cfRule type="containsText" dxfId="2535" priority="437" operator="containsText" text="Meets">
      <formula>NOT(ISERROR(SEARCH("Meets",F71)))</formula>
    </cfRule>
    <cfRule type="containsText" dxfId="2534" priority="436" operator="containsText" text="Exceeds">
      <formula>NOT(ISERROR(SEARCH("Exceeds",F71)))</formula>
    </cfRule>
  </conditionalFormatting>
  <conditionalFormatting sqref="F73">
    <cfRule type="containsText" dxfId="2533" priority="421" operator="containsText" text="Exceeds">
      <formula>NOT(ISERROR(SEARCH("Exceeds",F73)))</formula>
    </cfRule>
    <cfRule type="dataBar" priority="416">
      <dataBar>
        <cfvo type="num" val="0"/>
        <cfvo type="num" val="1"/>
        <color theme="0" tint="-0.249977111117893"/>
      </dataBar>
      <extLst>
        <ext xmlns:x14="http://schemas.microsoft.com/office/spreadsheetml/2009/9/main" uri="{B025F937-C7B1-47D3-B67F-A62EFF666E3E}">
          <x14:id>{69FD6C08-A1BD-4FA4-9F73-AE23EA164FF6}</x14:id>
        </ext>
      </extLst>
    </cfRule>
    <cfRule type="containsText" dxfId="2532" priority="417" operator="containsText" text="Continue">
      <formula>NOT(ISERROR(SEARCH("Continue",F73)))</formula>
    </cfRule>
    <cfRule type="containsText" dxfId="2531" priority="418" operator="containsText" text="Stop">
      <formula>NOT(ISERROR(SEARCH("Stop",F73)))</formula>
    </cfRule>
    <cfRule type="containsText" dxfId="2530" priority="419" operator="containsText" text="Start">
      <formula>NOT(ISERROR(SEARCH("Start",F73)))</formula>
    </cfRule>
    <cfRule type="containsText" dxfId="2529" priority="420" operator="containsText" text="N/A">
      <formula>NOT(ISERROR(SEARCH("N/A",F73)))</formula>
    </cfRule>
    <cfRule type="containsText" dxfId="2528" priority="422" operator="containsText" text="Meets">
      <formula>NOT(ISERROR(SEARCH("Meets",F73)))</formula>
    </cfRule>
    <cfRule type="containsText" dxfId="2527" priority="423" operator="containsText" text="Under">
      <formula>NOT(ISERROR(SEARCH("Under",F73)))</formula>
    </cfRule>
  </conditionalFormatting>
  <conditionalFormatting sqref="F75">
    <cfRule type="containsText" dxfId="2526" priority="402" operator="containsText" text="Continue">
      <formula>NOT(ISERROR(SEARCH("Continue",F75)))</formula>
    </cfRule>
    <cfRule type="containsText" dxfId="2525" priority="403" operator="containsText" text="Stop">
      <formula>NOT(ISERROR(SEARCH("Stop",F75)))</formula>
    </cfRule>
    <cfRule type="containsText" dxfId="2524" priority="404" operator="containsText" text="Start">
      <formula>NOT(ISERROR(SEARCH("Start",F75)))</formula>
    </cfRule>
    <cfRule type="containsText" dxfId="2523" priority="405" operator="containsText" text="N/A">
      <formula>NOT(ISERROR(SEARCH("N/A",F75)))</formula>
    </cfRule>
    <cfRule type="containsText" dxfId="2522" priority="406" operator="containsText" text="Exceeds">
      <formula>NOT(ISERROR(SEARCH("Exceeds",F75)))</formula>
    </cfRule>
    <cfRule type="containsText" dxfId="2521" priority="407" operator="containsText" text="Meets">
      <formula>NOT(ISERROR(SEARCH("Meets",F75)))</formula>
    </cfRule>
    <cfRule type="dataBar" priority="408">
      <dataBar>
        <cfvo type="num" val="0"/>
        <cfvo type="num" val="1"/>
        <color theme="0" tint="-0.249977111117893"/>
      </dataBar>
      <extLst>
        <ext xmlns:x14="http://schemas.microsoft.com/office/spreadsheetml/2009/9/main" uri="{B025F937-C7B1-47D3-B67F-A62EFF666E3E}">
          <x14:id>{8E47E49D-A78B-4C00-9D71-EEF8E99FF862}</x14:id>
        </ext>
      </extLst>
    </cfRule>
  </conditionalFormatting>
  <conditionalFormatting sqref="F79">
    <cfRule type="containsText" dxfId="2520" priority="391" operator="containsText" text="N/A">
      <formula>NOT(ISERROR(SEARCH("N/A",F79)))</formula>
    </cfRule>
    <cfRule type="containsText" dxfId="2519" priority="392" operator="containsText" text="Exceeds">
      <formula>NOT(ISERROR(SEARCH("Exceeds",F79)))</formula>
    </cfRule>
    <cfRule type="containsText" dxfId="2518" priority="393" operator="containsText" text="Meets">
      <formula>NOT(ISERROR(SEARCH("Meets",F79)))</formula>
    </cfRule>
    <cfRule type="containsText" dxfId="2517" priority="394" operator="containsText" text="Under">
      <formula>NOT(ISERROR(SEARCH("Under",F79)))</formula>
    </cfRule>
    <cfRule type="containsText" dxfId="2516" priority="390" operator="containsText" text="Start">
      <formula>NOT(ISERROR(SEARCH("Start",F79)))</formula>
    </cfRule>
    <cfRule type="containsText" dxfId="2515" priority="389" operator="containsText" text="Stop">
      <formula>NOT(ISERROR(SEARCH("Stop",F79)))</formula>
    </cfRule>
    <cfRule type="containsText" dxfId="2514" priority="388" operator="containsText" text="Continue">
      <formula>NOT(ISERROR(SEARCH("Continue",F79)))</formula>
    </cfRule>
    <cfRule type="dataBar" priority="387">
      <dataBar>
        <cfvo type="num" val="0"/>
        <cfvo type="num" val="1"/>
        <color theme="0" tint="-0.249977111117893"/>
      </dataBar>
      <extLst>
        <ext xmlns:x14="http://schemas.microsoft.com/office/spreadsheetml/2009/9/main" uri="{B025F937-C7B1-47D3-B67F-A62EFF666E3E}">
          <x14:id>{E70123C8-030F-43B6-AFA2-CBFF0B03F904}</x14:id>
        </ext>
      </extLst>
    </cfRule>
  </conditionalFormatting>
  <conditionalFormatting sqref="F81">
    <cfRule type="containsText" dxfId="2513" priority="377" operator="containsText" text="Exceeds">
      <formula>NOT(ISERROR(SEARCH("Exceeds",F81)))</formula>
    </cfRule>
    <cfRule type="containsText" dxfId="2512" priority="379" operator="containsText" text="Under">
      <formula>NOT(ISERROR(SEARCH("Under",F81)))</formula>
    </cfRule>
    <cfRule type="dataBar" priority="372">
      <dataBar>
        <cfvo type="num" val="0"/>
        <cfvo type="num" val="1"/>
        <color theme="0" tint="-0.249977111117893"/>
      </dataBar>
      <extLst>
        <ext xmlns:x14="http://schemas.microsoft.com/office/spreadsheetml/2009/9/main" uri="{B025F937-C7B1-47D3-B67F-A62EFF666E3E}">
          <x14:id>{32414B41-BA5D-4692-82D5-C380E3393A63}</x14:id>
        </ext>
      </extLst>
    </cfRule>
    <cfRule type="containsText" dxfId="2511" priority="373" operator="containsText" text="Continue">
      <formula>NOT(ISERROR(SEARCH("Continue",F81)))</formula>
    </cfRule>
    <cfRule type="containsText" dxfId="2510" priority="374" operator="containsText" text="Stop">
      <formula>NOT(ISERROR(SEARCH("Stop",F81)))</formula>
    </cfRule>
    <cfRule type="containsText" dxfId="2509" priority="375" operator="containsText" text="Start">
      <formula>NOT(ISERROR(SEARCH("Start",F81)))</formula>
    </cfRule>
    <cfRule type="containsText" dxfId="2508" priority="376" operator="containsText" text="N/A">
      <formula>NOT(ISERROR(SEARCH("N/A",F81)))</formula>
    </cfRule>
    <cfRule type="containsText" dxfId="2507" priority="378" operator="containsText" text="Meets">
      <formula>NOT(ISERROR(SEARCH("Meets",F81)))</formula>
    </cfRule>
  </conditionalFormatting>
  <conditionalFormatting sqref="F83">
    <cfRule type="containsText" dxfId="2506" priority="358" operator="containsText" text="Under">
      <formula>NOT(ISERROR(SEARCH("Under",F83)))</formula>
    </cfRule>
    <cfRule type="containsText" dxfId="2505" priority="359" operator="containsText" text="Stop">
      <formula>NOT(ISERROR(SEARCH("Stop",F83)))</formula>
    </cfRule>
    <cfRule type="containsText" dxfId="2504" priority="360" operator="containsText" text="Start">
      <formula>NOT(ISERROR(SEARCH("Start",F83)))</formula>
    </cfRule>
    <cfRule type="containsText" dxfId="2503" priority="361" operator="containsText" text="N/A">
      <formula>NOT(ISERROR(SEARCH("N/A",F83)))</formula>
    </cfRule>
    <cfRule type="containsText" dxfId="2502" priority="362" operator="containsText" text="Exceeds">
      <formula>NOT(ISERROR(SEARCH("Exceeds",F83)))</formula>
    </cfRule>
    <cfRule type="containsText" dxfId="2501" priority="363" operator="containsText" text="Meets">
      <formula>NOT(ISERROR(SEARCH("Meets",F83)))</formula>
    </cfRule>
    <cfRule type="dataBar" priority="364">
      <dataBar>
        <cfvo type="num" val="0"/>
        <cfvo type="num" val="1"/>
        <color theme="0" tint="-0.249977111117893"/>
      </dataBar>
      <extLst>
        <ext xmlns:x14="http://schemas.microsoft.com/office/spreadsheetml/2009/9/main" uri="{B025F937-C7B1-47D3-B67F-A62EFF666E3E}">
          <x14:id>{45126DA9-DE3C-4F62-A4F3-0AD825AC09FA}</x14:id>
        </ext>
      </extLst>
    </cfRule>
  </conditionalFormatting>
  <conditionalFormatting sqref="F87 F89 F91">
    <cfRule type="dataBar" priority="705">
      <dataBar>
        <cfvo type="num" val="0"/>
        <cfvo type="num" val="1"/>
        <color theme="0" tint="-0.249977111117893"/>
      </dataBar>
      <extLst>
        <ext xmlns:x14="http://schemas.microsoft.com/office/spreadsheetml/2009/9/main" uri="{B025F937-C7B1-47D3-B67F-A62EFF666E3E}">
          <x14:id>{F5CFFAAE-6D1B-4B88-8414-77D9ED7A1014}</x14:id>
        </ext>
      </extLst>
    </cfRule>
  </conditionalFormatting>
  <conditionalFormatting sqref="F87 F89">
    <cfRule type="containsText" dxfId="2500" priority="729" operator="containsText" text="Start">
      <formula>NOT(ISERROR(SEARCH("Start",F87)))</formula>
    </cfRule>
    <cfRule type="containsText" dxfId="2499" priority="730" operator="containsText" text="N/A">
      <formula>NOT(ISERROR(SEARCH("N/A",F87)))</formula>
    </cfRule>
    <cfRule type="containsText" dxfId="2498" priority="731" operator="containsText" text="Exceeds">
      <formula>NOT(ISERROR(SEARCH("Exceeds",F87)))</formula>
    </cfRule>
    <cfRule type="containsText" dxfId="2497" priority="728" operator="containsText" text="Stop">
      <formula>NOT(ISERROR(SEARCH("Stop",F87)))</formula>
    </cfRule>
    <cfRule type="containsText" dxfId="2496" priority="733" operator="containsText" text="Under">
      <formula>NOT(ISERROR(SEARCH("Under",F87)))</formula>
    </cfRule>
    <cfRule type="containsText" dxfId="2495" priority="732" operator="containsText" text="Meets">
      <formula>NOT(ISERROR(SEARCH("Meets",F87)))</formula>
    </cfRule>
    <cfRule type="containsText" dxfId="2494" priority="727" operator="containsText" text="Continue">
      <formula>NOT(ISERROR(SEARCH("Continue",F87)))</formula>
    </cfRule>
  </conditionalFormatting>
  <conditionalFormatting sqref="F91">
    <cfRule type="containsText" dxfId="2493" priority="711" operator="containsText" text="Meets">
      <formula>NOT(ISERROR(SEARCH("Meets",F91)))</formula>
    </cfRule>
    <cfRule type="containsText" dxfId="2492" priority="710" operator="containsText" text="Exceeds">
      <formula>NOT(ISERROR(SEARCH("Exceeds",F91)))</formula>
    </cfRule>
    <cfRule type="containsText" dxfId="2491" priority="709" operator="containsText" text="N/A">
      <formula>NOT(ISERROR(SEARCH("N/A",F91)))</formula>
    </cfRule>
    <cfRule type="containsText" dxfId="2490" priority="712" operator="containsText" text="Under">
      <formula>NOT(ISERROR(SEARCH("Under",F91)))</formula>
    </cfRule>
    <cfRule type="containsText" dxfId="2489" priority="708" operator="containsText" text="Start">
      <formula>NOT(ISERROR(SEARCH("Start",F91)))</formula>
    </cfRule>
    <cfRule type="containsText" dxfId="2488" priority="707" operator="containsText" text="Stop">
      <formula>NOT(ISERROR(SEARCH("Stop",F91)))</formula>
    </cfRule>
    <cfRule type="containsText" dxfId="2487" priority="706" operator="containsText" text="Continue">
      <formula>NOT(ISERROR(SEARCH("Continue",F91)))</formula>
    </cfRule>
  </conditionalFormatting>
  <conditionalFormatting sqref="F95">
    <cfRule type="containsText" dxfId="2486" priority="315" operator="containsText" text="Under">
      <formula>NOT(ISERROR(SEARCH("Under",F95)))</formula>
    </cfRule>
    <cfRule type="containsText" dxfId="2485" priority="314" operator="containsText" text="Meets">
      <formula>NOT(ISERROR(SEARCH("Meets",F95)))</formula>
    </cfRule>
    <cfRule type="containsText" dxfId="2484" priority="313" operator="containsText" text="Exceeds">
      <formula>NOT(ISERROR(SEARCH("Exceeds",F95)))</formula>
    </cfRule>
    <cfRule type="containsText" dxfId="2483" priority="311" operator="containsText" text="Start">
      <formula>NOT(ISERROR(SEARCH("Start",F95)))</formula>
    </cfRule>
    <cfRule type="containsText" dxfId="2482" priority="312" operator="containsText" text="N/A">
      <formula>NOT(ISERROR(SEARCH("N/A",F95)))</formula>
    </cfRule>
    <cfRule type="containsText" dxfId="2481" priority="310" operator="containsText" text="Stop">
      <formula>NOT(ISERROR(SEARCH("Stop",F95)))</formula>
    </cfRule>
    <cfRule type="containsText" dxfId="2480" priority="309" operator="containsText" text="Continue">
      <formula>NOT(ISERROR(SEARCH("Continue",F95)))</formula>
    </cfRule>
    <cfRule type="dataBar" priority="308">
      <dataBar>
        <cfvo type="num" val="0"/>
        <cfvo type="num" val="1"/>
        <color theme="0" tint="-0.249977111117893"/>
      </dataBar>
      <extLst>
        <ext xmlns:x14="http://schemas.microsoft.com/office/spreadsheetml/2009/9/main" uri="{B025F937-C7B1-47D3-B67F-A62EFF666E3E}">
          <x14:id>{CCD808D3-B739-4145-9ECD-D617BC6ABF34}</x14:id>
        </ext>
      </extLst>
    </cfRule>
  </conditionalFormatting>
  <conditionalFormatting sqref="F97">
    <cfRule type="containsText" dxfId="2479" priority="302" operator="containsText" text="Stop">
      <formula>NOT(ISERROR(SEARCH("Stop",F97)))</formula>
    </cfRule>
    <cfRule type="dataBar" priority="300">
      <dataBar>
        <cfvo type="num" val="0"/>
        <cfvo type="num" val="1"/>
        <color theme="0" tint="-0.249977111117893"/>
      </dataBar>
      <extLst>
        <ext xmlns:x14="http://schemas.microsoft.com/office/spreadsheetml/2009/9/main" uri="{B025F937-C7B1-47D3-B67F-A62EFF666E3E}">
          <x14:id>{294D7DE3-4789-4968-A53B-93E2AB3CBE4F}</x14:id>
        </ext>
      </extLst>
    </cfRule>
    <cfRule type="containsText" dxfId="2478" priority="301" operator="containsText" text="Continue">
      <formula>NOT(ISERROR(SEARCH("Continue",F97)))</formula>
    </cfRule>
    <cfRule type="containsText" dxfId="2477" priority="303" operator="containsText" text="Start">
      <formula>NOT(ISERROR(SEARCH("Start",F97)))</formula>
    </cfRule>
    <cfRule type="containsText" dxfId="2476" priority="305" operator="containsText" text="Exceeds">
      <formula>NOT(ISERROR(SEARCH("Exceeds",F97)))</formula>
    </cfRule>
    <cfRule type="containsText" dxfId="2475" priority="306" operator="containsText" text="Meets">
      <formula>NOT(ISERROR(SEARCH("Meets",F97)))</formula>
    </cfRule>
    <cfRule type="containsText" dxfId="2474" priority="307" operator="containsText" text="Under">
      <formula>NOT(ISERROR(SEARCH("Under",F97)))</formula>
    </cfRule>
    <cfRule type="containsText" dxfId="2473" priority="304" operator="containsText" text="N/A">
      <formula>NOT(ISERROR(SEARCH("N/A",F97)))</formula>
    </cfRule>
  </conditionalFormatting>
  <conditionalFormatting sqref="F99">
    <cfRule type="containsText" dxfId="2472" priority="298" operator="containsText" text="Meets">
      <formula>NOT(ISERROR(SEARCH("Meets",F99)))</formula>
    </cfRule>
    <cfRule type="containsText" dxfId="2471" priority="297" operator="containsText" text="Exceeds">
      <formula>NOT(ISERROR(SEARCH("Exceeds",F99)))</formula>
    </cfRule>
    <cfRule type="containsText" dxfId="2470" priority="296" operator="containsText" text="N/A">
      <formula>NOT(ISERROR(SEARCH("N/A",F99)))</formula>
    </cfRule>
    <cfRule type="containsText" dxfId="2469" priority="295" operator="containsText" text="Start">
      <formula>NOT(ISERROR(SEARCH("Start",F99)))</formula>
    </cfRule>
    <cfRule type="containsText" dxfId="2468" priority="293" operator="containsText" text="Continue">
      <formula>NOT(ISERROR(SEARCH("Continue",F99)))</formula>
    </cfRule>
    <cfRule type="dataBar" priority="292">
      <dataBar>
        <cfvo type="num" val="0"/>
        <cfvo type="num" val="1"/>
        <color theme="0" tint="-0.249977111117893"/>
      </dataBar>
      <extLst>
        <ext xmlns:x14="http://schemas.microsoft.com/office/spreadsheetml/2009/9/main" uri="{B025F937-C7B1-47D3-B67F-A62EFF666E3E}">
          <x14:id>{E8551DAE-9E5F-47CA-ACD5-86956D638112}</x14:id>
        </ext>
      </extLst>
    </cfRule>
    <cfRule type="containsText" dxfId="2467" priority="294" operator="containsText" text="Stop">
      <formula>NOT(ISERROR(SEARCH("Stop",F99)))</formula>
    </cfRule>
    <cfRule type="containsText" dxfId="2466" priority="299" operator="containsText" text="Under">
      <formula>NOT(ISERROR(SEARCH("Under",F99)))</formula>
    </cfRule>
  </conditionalFormatting>
  <conditionalFormatting sqref="F103">
    <cfRule type="containsText" dxfId="2465" priority="291" operator="containsText" text="Under">
      <formula>NOT(ISERROR(SEARCH("Under",F103)))</formula>
    </cfRule>
    <cfRule type="containsText" dxfId="2464" priority="290" operator="containsText" text="Meets">
      <formula>NOT(ISERROR(SEARCH("Meets",F103)))</formula>
    </cfRule>
    <cfRule type="containsText" dxfId="2463" priority="289" operator="containsText" text="Exceeds">
      <formula>NOT(ISERROR(SEARCH("Exceeds",F103)))</formula>
    </cfRule>
    <cfRule type="containsText" dxfId="2462" priority="288" operator="containsText" text="N/A">
      <formula>NOT(ISERROR(SEARCH("N/A",F103)))</formula>
    </cfRule>
    <cfRule type="containsText" dxfId="2461" priority="287" operator="containsText" text="Start">
      <formula>NOT(ISERROR(SEARCH("Start",F103)))</formula>
    </cfRule>
    <cfRule type="containsText" dxfId="2460" priority="286" operator="containsText" text="Stop">
      <formula>NOT(ISERROR(SEARCH("Stop",F103)))</formula>
    </cfRule>
    <cfRule type="dataBar" priority="284">
      <dataBar>
        <cfvo type="num" val="0"/>
        <cfvo type="num" val="1"/>
        <color theme="0" tint="-0.249977111117893"/>
      </dataBar>
      <extLst>
        <ext xmlns:x14="http://schemas.microsoft.com/office/spreadsheetml/2009/9/main" uri="{B025F937-C7B1-47D3-B67F-A62EFF666E3E}">
          <x14:id>{0F9ED7BA-7AF3-4512-A4C0-370020C8D7FA}</x14:id>
        </ext>
      </extLst>
    </cfRule>
    <cfRule type="containsText" dxfId="2459" priority="285" operator="containsText" text="Continue">
      <formula>NOT(ISERROR(SEARCH("Continue",F103)))</formula>
    </cfRule>
  </conditionalFormatting>
  <conditionalFormatting sqref="F105">
    <cfRule type="containsText" dxfId="2458" priority="282" operator="containsText" text="Meets">
      <formula>NOT(ISERROR(SEARCH("Meets",F105)))</formula>
    </cfRule>
    <cfRule type="containsText" dxfId="2457" priority="283" operator="containsText" text="Under">
      <formula>NOT(ISERROR(SEARCH("Under",F105)))</formula>
    </cfRule>
    <cfRule type="containsText" dxfId="2456" priority="281" operator="containsText" text="Exceeds">
      <formula>NOT(ISERROR(SEARCH("Exceeds",F105)))</formula>
    </cfRule>
    <cfRule type="dataBar" priority="276">
      <dataBar>
        <cfvo type="num" val="0"/>
        <cfvo type="num" val="1"/>
        <color theme="0" tint="-0.249977111117893"/>
      </dataBar>
      <extLst>
        <ext xmlns:x14="http://schemas.microsoft.com/office/spreadsheetml/2009/9/main" uri="{B025F937-C7B1-47D3-B67F-A62EFF666E3E}">
          <x14:id>{B41223BD-2819-4FBD-A6AA-8D4B8B72A305}</x14:id>
        </ext>
      </extLst>
    </cfRule>
    <cfRule type="containsText" dxfId="2455" priority="277" operator="containsText" text="Continue">
      <formula>NOT(ISERROR(SEARCH("Continue",F105)))</formula>
    </cfRule>
    <cfRule type="containsText" dxfId="2454" priority="278" operator="containsText" text="Stop">
      <formula>NOT(ISERROR(SEARCH("Stop",F105)))</formula>
    </cfRule>
    <cfRule type="containsText" dxfId="2453" priority="279" operator="containsText" text="Start">
      <formula>NOT(ISERROR(SEARCH("Start",F105)))</formula>
    </cfRule>
    <cfRule type="containsText" dxfId="2452" priority="280" operator="containsText" text="N/A">
      <formula>NOT(ISERROR(SEARCH("N/A",F105)))</formula>
    </cfRule>
  </conditionalFormatting>
  <conditionalFormatting sqref="F107 F115">
    <cfRule type="containsText" dxfId="2451" priority="272" operator="containsText" text="N/A">
      <formula>NOT(ISERROR(SEARCH("N/A",F107)))</formula>
    </cfRule>
    <cfRule type="dataBar" priority="268">
      <dataBar>
        <cfvo type="num" val="0"/>
        <cfvo type="num" val="1"/>
        <color theme="0" tint="-0.249977111117893"/>
      </dataBar>
      <extLst>
        <ext xmlns:x14="http://schemas.microsoft.com/office/spreadsheetml/2009/9/main" uri="{B025F937-C7B1-47D3-B67F-A62EFF666E3E}">
          <x14:id>{0C979EAE-9BDF-42F0-8770-42BAF52952D8}</x14:id>
        </ext>
      </extLst>
    </cfRule>
    <cfRule type="containsText" dxfId="2450" priority="274" operator="containsText" text="Meets">
      <formula>NOT(ISERROR(SEARCH("Meets",F107)))</formula>
    </cfRule>
    <cfRule type="containsText" dxfId="2449" priority="269" operator="containsText" text="Continue">
      <formula>NOT(ISERROR(SEARCH("Continue",F107)))</formula>
    </cfRule>
    <cfRule type="containsText" dxfId="2448" priority="275" operator="containsText" text="Under">
      <formula>NOT(ISERROR(SEARCH("Under",F107)))</formula>
    </cfRule>
    <cfRule type="containsText" dxfId="2447" priority="273" operator="containsText" text="Exceeds">
      <formula>NOT(ISERROR(SEARCH("Exceeds",F107)))</formula>
    </cfRule>
    <cfRule type="containsText" dxfId="2446" priority="270" operator="containsText" text="Stop">
      <formula>NOT(ISERROR(SEARCH("Stop",F107)))</formula>
    </cfRule>
    <cfRule type="containsText" dxfId="2445" priority="271" operator="containsText" text="Start">
      <formula>NOT(ISERROR(SEARCH("Start",F107)))</formula>
    </cfRule>
  </conditionalFormatting>
  <conditionalFormatting sqref="F111">
    <cfRule type="containsText" dxfId="2444" priority="210" operator="containsText" text="Start">
      <formula>NOT(ISERROR(SEARCH("Start",F111)))</formula>
    </cfRule>
    <cfRule type="containsText" dxfId="2443" priority="211" operator="containsText" text="N/A">
      <formula>NOT(ISERROR(SEARCH("N/A",F111)))</formula>
    </cfRule>
    <cfRule type="containsText" dxfId="2442" priority="212" operator="containsText" text="Exceeds">
      <formula>NOT(ISERROR(SEARCH("Exceeds",F111)))</formula>
    </cfRule>
    <cfRule type="containsText" dxfId="2441" priority="208" operator="containsText" text="Continue">
      <formula>NOT(ISERROR(SEARCH("Continue",F111)))</formula>
    </cfRule>
    <cfRule type="dataBar" priority="207">
      <dataBar>
        <cfvo type="num" val="0"/>
        <cfvo type="num" val="1"/>
        <color theme="0" tint="-0.249977111117893"/>
      </dataBar>
      <extLst>
        <ext xmlns:x14="http://schemas.microsoft.com/office/spreadsheetml/2009/9/main" uri="{B025F937-C7B1-47D3-B67F-A62EFF666E3E}">
          <x14:id>{EF10EDB4-A028-460F-9478-474218B1F6BC}</x14:id>
        </ext>
      </extLst>
    </cfRule>
    <cfRule type="containsText" dxfId="2440" priority="209" operator="containsText" text="Stop">
      <formula>NOT(ISERROR(SEARCH("Stop",F111)))</formula>
    </cfRule>
    <cfRule type="containsText" dxfId="2439" priority="214" operator="containsText" text="Under">
      <formula>NOT(ISERROR(SEARCH("Under",F111)))</formula>
    </cfRule>
    <cfRule type="containsText" dxfId="2438" priority="213" operator="containsText" text="Meets">
      <formula>NOT(ISERROR(SEARCH("Meets",F111)))</formula>
    </cfRule>
  </conditionalFormatting>
  <conditionalFormatting sqref="F113">
    <cfRule type="containsText" dxfId="2437" priority="201" operator="containsText" text="Stop">
      <formula>NOT(ISERROR(SEARCH("Stop",F113)))</formula>
    </cfRule>
    <cfRule type="containsText" dxfId="2436" priority="203" operator="containsText" text="N/A">
      <formula>NOT(ISERROR(SEARCH("N/A",F113)))</formula>
    </cfRule>
    <cfRule type="containsText" dxfId="2435" priority="202" operator="containsText" text="Start">
      <formula>NOT(ISERROR(SEARCH("Start",F113)))</formula>
    </cfRule>
    <cfRule type="containsText" dxfId="2434" priority="204" operator="containsText" text="Exceeds">
      <formula>NOT(ISERROR(SEARCH("Exceeds",F113)))</formula>
    </cfRule>
    <cfRule type="containsText" dxfId="2433" priority="200" operator="containsText" text="Continue">
      <formula>NOT(ISERROR(SEARCH("Continue",F113)))</formula>
    </cfRule>
    <cfRule type="dataBar" priority="199">
      <dataBar>
        <cfvo type="num" val="0"/>
        <cfvo type="num" val="1"/>
        <color theme="0" tint="-0.249977111117893"/>
      </dataBar>
      <extLst>
        <ext xmlns:x14="http://schemas.microsoft.com/office/spreadsheetml/2009/9/main" uri="{B025F937-C7B1-47D3-B67F-A62EFF666E3E}">
          <x14:id>{202AE604-BAD7-4D3A-BB0C-D25942792A54}</x14:id>
        </ext>
      </extLst>
    </cfRule>
    <cfRule type="containsText" dxfId="2432" priority="206" operator="containsText" text="Under">
      <formula>NOT(ISERROR(SEARCH("Under",F113)))</formula>
    </cfRule>
    <cfRule type="containsText" dxfId="2431" priority="205" operator="containsText" text="Meets">
      <formula>NOT(ISERROR(SEARCH("Meets",F113)))</formula>
    </cfRule>
  </conditionalFormatting>
  <conditionalFormatting sqref="F202">
    <cfRule type="containsText" dxfId="2430" priority="642" operator="containsText" text="Continue">
      <formula>NOT(ISERROR(SEARCH("Continue",F202)))</formula>
    </cfRule>
    <cfRule type="containsText" dxfId="2429" priority="643" operator="containsText" text="Stop">
      <formula>NOT(ISERROR(SEARCH("Stop",F202)))</formula>
    </cfRule>
    <cfRule type="containsText" dxfId="2428" priority="644" operator="containsText" text="Start">
      <formula>NOT(ISERROR(SEARCH("Start",F202)))</formula>
    </cfRule>
    <cfRule type="containsText" dxfId="2427" priority="648" operator="containsText" text="Under">
      <formula>NOT(ISERROR(SEARCH("Under",F202)))</formula>
    </cfRule>
    <cfRule type="containsText" dxfId="2426" priority="647" operator="containsText" text="Meets">
      <formula>NOT(ISERROR(SEARCH("Meets",F202)))</formula>
    </cfRule>
    <cfRule type="containsText" dxfId="2425" priority="646" operator="containsText" text="Exceeds">
      <formula>NOT(ISERROR(SEARCH("Exceeds",F202)))</formula>
    </cfRule>
    <cfRule type="containsText" dxfId="2424" priority="645" operator="containsText" text="N/A">
      <formula>NOT(ISERROR(SEARCH("N/A",F202)))</formula>
    </cfRule>
  </conditionalFormatting>
  <conditionalFormatting sqref="F204">
    <cfRule type="containsText" dxfId="2423" priority="150" operator="containsText" text="Start">
      <formula>NOT(ISERROR(SEARCH("Start",F204)))</formula>
    </cfRule>
    <cfRule type="containsText" dxfId="2422" priority="148" operator="containsText" text="Continue">
      <formula>NOT(ISERROR(SEARCH("Continue",F204)))</formula>
    </cfRule>
    <cfRule type="containsText" dxfId="2421" priority="152" operator="containsText" text="Exceeds">
      <formula>NOT(ISERROR(SEARCH("Exceeds",F204)))</formula>
    </cfRule>
    <cfRule type="containsText" dxfId="2420" priority="153" operator="containsText" text="Meets">
      <formula>NOT(ISERROR(SEARCH("Meets",F204)))</formula>
    </cfRule>
    <cfRule type="containsText" dxfId="2419" priority="151" operator="containsText" text="N/A">
      <formula>NOT(ISERROR(SEARCH("N/A",F204)))</formula>
    </cfRule>
    <cfRule type="containsText" dxfId="2418" priority="154" operator="containsText" text="Under">
      <formula>NOT(ISERROR(SEARCH("Under",F204)))</formula>
    </cfRule>
    <cfRule type="containsText" dxfId="2417" priority="149" operator="containsText" text="Stop">
      <formula>NOT(ISERROR(SEARCH("Stop",F204)))</formula>
    </cfRule>
  </conditionalFormatting>
  <conditionalFormatting sqref="F206">
    <cfRule type="containsText" dxfId="2416" priority="135" operator="containsText" text="Stop">
      <formula>NOT(ISERROR(SEARCH("Stop",F206)))</formula>
    </cfRule>
    <cfRule type="containsText" dxfId="2415" priority="134" operator="containsText" text="Continue">
      <formula>NOT(ISERROR(SEARCH("Continue",F206)))</formula>
    </cfRule>
    <cfRule type="containsText" dxfId="2414" priority="138" operator="containsText" text="Exceeds">
      <formula>NOT(ISERROR(SEARCH("Exceeds",F206)))</formula>
    </cfRule>
    <cfRule type="containsText" dxfId="2413" priority="140" operator="containsText" text="Under">
      <formula>NOT(ISERROR(SEARCH("Under",F206)))</formula>
    </cfRule>
    <cfRule type="containsText" dxfId="2412" priority="139" operator="containsText" text="Meets">
      <formula>NOT(ISERROR(SEARCH("Meets",F206)))</formula>
    </cfRule>
    <cfRule type="containsText" dxfId="2411" priority="137" operator="containsText" text="N/A">
      <formula>NOT(ISERROR(SEARCH("N/A",F206)))</formula>
    </cfRule>
    <cfRule type="containsText" dxfId="2410" priority="136" operator="containsText" text="Start">
      <formula>NOT(ISERROR(SEARCH("Start",F206)))</formula>
    </cfRule>
  </conditionalFormatting>
  <conditionalFormatting sqref="F209">
    <cfRule type="containsText" dxfId="2409" priority="122" operator="containsText" text="Start">
      <formula>NOT(ISERROR(SEARCH("Start",F209)))</formula>
    </cfRule>
    <cfRule type="containsText" dxfId="2408" priority="121" operator="containsText" text="Stop">
      <formula>NOT(ISERROR(SEARCH("Stop",F209)))</formula>
    </cfRule>
    <cfRule type="containsText" dxfId="2407" priority="120" operator="containsText" text="Continue">
      <formula>NOT(ISERROR(SEARCH("Continue",F209)))</formula>
    </cfRule>
    <cfRule type="containsText" dxfId="2406" priority="123" operator="containsText" text="N/A">
      <formula>NOT(ISERROR(SEARCH("N/A",F209)))</formula>
    </cfRule>
    <cfRule type="containsText" dxfId="2405" priority="124" operator="containsText" text="Exceeds">
      <formula>NOT(ISERROR(SEARCH("Exceeds",F209)))</formula>
    </cfRule>
    <cfRule type="containsText" dxfId="2404" priority="125" operator="containsText" text="Meets">
      <formula>NOT(ISERROR(SEARCH("Meets",F209)))</formula>
    </cfRule>
    <cfRule type="containsText" dxfId="2403" priority="126" operator="containsText" text="Under">
      <formula>NOT(ISERROR(SEARCH("Under",F209)))</formula>
    </cfRule>
  </conditionalFormatting>
  <conditionalFormatting sqref="F211">
    <cfRule type="containsText" dxfId="2402" priority="106" operator="containsText" text="Continue">
      <formula>NOT(ISERROR(SEARCH("Continue",F211)))</formula>
    </cfRule>
    <cfRule type="containsText" dxfId="2401" priority="111" operator="containsText" text="Meets">
      <formula>NOT(ISERROR(SEARCH("Meets",F211)))</formula>
    </cfRule>
    <cfRule type="containsText" dxfId="2400" priority="110" operator="containsText" text="Exceeds">
      <formula>NOT(ISERROR(SEARCH("Exceeds",F211)))</formula>
    </cfRule>
    <cfRule type="containsText" dxfId="2399" priority="109" operator="containsText" text="N/A">
      <formula>NOT(ISERROR(SEARCH("N/A",F211)))</formula>
    </cfRule>
    <cfRule type="containsText" dxfId="2398" priority="108" operator="containsText" text="Start">
      <formula>NOT(ISERROR(SEARCH("Start",F211)))</formula>
    </cfRule>
    <cfRule type="containsText" dxfId="2397" priority="112" operator="containsText" text="Under">
      <formula>NOT(ISERROR(SEARCH("Under",F211)))</formula>
    </cfRule>
    <cfRule type="containsText" dxfId="2396" priority="107" operator="containsText" text="Stop">
      <formula>NOT(ISERROR(SEARCH("Stop",F211)))</formula>
    </cfRule>
  </conditionalFormatting>
  <conditionalFormatting sqref="F213">
    <cfRule type="containsText" dxfId="2395" priority="97" operator="containsText" text="Meets">
      <formula>NOT(ISERROR(SEARCH("Meets",F213)))</formula>
    </cfRule>
    <cfRule type="containsText" dxfId="2394" priority="96" operator="containsText" text="Exceeds">
      <formula>NOT(ISERROR(SEARCH("Exceeds",F213)))</formula>
    </cfRule>
    <cfRule type="containsText" dxfId="2393" priority="92" operator="containsText" text="Continue">
      <formula>NOT(ISERROR(SEARCH("Continue",F213)))</formula>
    </cfRule>
    <cfRule type="containsText" dxfId="2392" priority="93" operator="containsText" text="Stop">
      <formula>NOT(ISERROR(SEARCH("Stop",F213)))</formula>
    </cfRule>
    <cfRule type="containsText" dxfId="2391" priority="95" operator="containsText" text="N/A">
      <formula>NOT(ISERROR(SEARCH("N/A",F213)))</formula>
    </cfRule>
    <cfRule type="containsText" dxfId="2390" priority="98" operator="containsText" text="Under">
      <formula>NOT(ISERROR(SEARCH("Under",F213)))</formula>
    </cfRule>
    <cfRule type="containsText" dxfId="2389" priority="94" operator="containsText" text="Start">
      <formula>NOT(ISERROR(SEARCH("Start",F213)))</formula>
    </cfRule>
  </conditionalFormatting>
  <conditionalFormatting sqref="F216">
    <cfRule type="containsText" dxfId="2388" priority="84" operator="containsText" text="Under">
      <formula>NOT(ISERROR(SEARCH("Under",F216)))</formula>
    </cfRule>
    <cfRule type="containsText" dxfId="2387" priority="83" operator="containsText" text="Meets">
      <formula>NOT(ISERROR(SEARCH("Meets",F216)))</formula>
    </cfRule>
    <cfRule type="containsText" dxfId="2386" priority="82" operator="containsText" text="Exceeds">
      <formula>NOT(ISERROR(SEARCH("Exceeds",F216)))</formula>
    </cfRule>
    <cfRule type="containsText" dxfId="2385" priority="81" operator="containsText" text="N/A">
      <formula>NOT(ISERROR(SEARCH("N/A",F216)))</formula>
    </cfRule>
    <cfRule type="containsText" dxfId="2384" priority="80" operator="containsText" text="Start">
      <formula>NOT(ISERROR(SEARCH("Start",F216)))</formula>
    </cfRule>
    <cfRule type="containsText" dxfId="2383" priority="79" operator="containsText" text="Stop">
      <formula>NOT(ISERROR(SEARCH("Stop",F216)))</formula>
    </cfRule>
    <cfRule type="containsText" dxfId="2382" priority="78" operator="containsText" text="Continue">
      <formula>NOT(ISERROR(SEARCH("Continue",F216)))</formula>
    </cfRule>
  </conditionalFormatting>
  <conditionalFormatting sqref="F218">
    <cfRule type="containsText" dxfId="2381" priority="67" operator="containsText" text="N/A">
      <formula>NOT(ISERROR(SEARCH("N/A",F218)))</formula>
    </cfRule>
    <cfRule type="containsText" dxfId="2380" priority="70" operator="containsText" text="Under">
      <formula>NOT(ISERROR(SEARCH("Under",F218)))</formula>
    </cfRule>
    <cfRule type="containsText" dxfId="2379" priority="69" operator="containsText" text="Meets">
      <formula>NOT(ISERROR(SEARCH("Meets",F218)))</formula>
    </cfRule>
    <cfRule type="containsText" dxfId="2378" priority="68" operator="containsText" text="Exceeds">
      <formula>NOT(ISERROR(SEARCH("Exceeds",F218)))</formula>
    </cfRule>
    <cfRule type="containsText" dxfId="2377" priority="66" operator="containsText" text="Start">
      <formula>NOT(ISERROR(SEARCH("Start",F218)))</formula>
    </cfRule>
    <cfRule type="containsText" dxfId="2376" priority="65" operator="containsText" text="Stop">
      <formula>NOT(ISERROR(SEARCH("Stop",F218)))</formula>
    </cfRule>
    <cfRule type="containsText" dxfId="2375" priority="64" operator="containsText" text="Continue">
      <formula>NOT(ISERROR(SEARCH("Continue",F218)))</formula>
    </cfRule>
  </conditionalFormatting>
  <conditionalFormatting sqref="F220">
    <cfRule type="containsText" dxfId="2374" priority="54" operator="containsText" text="Exceeds">
      <formula>NOT(ISERROR(SEARCH("Exceeds",F220)))</formula>
    </cfRule>
    <cfRule type="containsText" dxfId="2373" priority="56" operator="containsText" text="Under">
      <formula>NOT(ISERROR(SEARCH("Under",F220)))</formula>
    </cfRule>
    <cfRule type="containsText" dxfId="2372" priority="55" operator="containsText" text="Meets">
      <formula>NOT(ISERROR(SEARCH("Meets",F220)))</formula>
    </cfRule>
    <cfRule type="containsText" dxfId="2371" priority="53" operator="containsText" text="N/A">
      <formula>NOT(ISERROR(SEARCH("N/A",F220)))</formula>
    </cfRule>
    <cfRule type="containsText" dxfId="2370" priority="52" operator="containsText" text="Start">
      <formula>NOT(ISERROR(SEARCH("Start",F220)))</formula>
    </cfRule>
    <cfRule type="containsText" dxfId="2369" priority="51" operator="containsText" text="Stop">
      <formula>NOT(ISERROR(SEARCH("Stop",F220)))</formula>
    </cfRule>
    <cfRule type="containsText" dxfId="2368" priority="50" operator="containsText" text="Continue">
      <formula>NOT(ISERROR(SEARCH("Continue",F220)))</formula>
    </cfRule>
  </conditionalFormatting>
  <conditionalFormatting sqref="F223">
    <cfRule type="containsText" dxfId="2367" priority="42" operator="containsText" text="Under">
      <formula>NOT(ISERROR(SEARCH("Under",F223)))</formula>
    </cfRule>
    <cfRule type="containsText" dxfId="2366" priority="36" operator="containsText" text="Continue">
      <formula>NOT(ISERROR(SEARCH("Continue",F223)))</formula>
    </cfRule>
    <cfRule type="containsText" dxfId="2365" priority="37" operator="containsText" text="Stop">
      <formula>NOT(ISERROR(SEARCH("Stop",F223)))</formula>
    </cfRule>
    <cfRule type="containsText" dxfId="2364" priority="41" operator="containsText" text="Meets">
      <formula>NOT(ISERROR(SEARCH("Meets",F223)))</formula>
    </cfRule>
    <cfRule type="containsText" dxfId="2363" priority="40" operator="containsText" text="Exceeds">
      <formula>NOT(ISERROR(SEARCH("Exceeds",F223)))</formula>
    </cfRule>
    <cfRule type="containsText" dxfId="2362" priority="39" operator="containsText" text="N/A">
      <formula>NOT(ISERROR(SEARCH("N/A",F223)))</formula>
    </cfRule>
    <cfRule type="containsText" dxfId="2361" priority="38" operator="containsText" text="Start">
      <formula>NOT(ISERROR(SEARCH("Start",F223)))</formula>
    </cfRule>
  </conditionalFormatting>
  <conditionalFormatting sqref="F225">
    <cfRule type="containsText" dxfId="2360" priority="27" operator="containsText" text="Meets">
      <formula>NOT(ISERROR(SEARCH("Meets",F225)))</formula>
    </cfRule>
    <cfRule type="containsText" dxfId="2359" priority="28" operator="containsText" text="Under">
      <formula>NOT(ISERROR(SEARCH("Under",F225)))</formula>
    </cfRule>
    <cfRule type="containsText" dxfId="2358" priority="26" operator="containsText" text="Exceeds">
      <formula>NOT(ISERROR(SEARCH("Exceeds",F225)))</formula>
    </cfRule>
    <cfRule type="containsText" dxfId="2357" priority="25" operator="containsText" text="N/A">
      <formula>NOT(ISERROR(SEARCH("N/A",F225)))</formula>
    </cfRule>
    <cfRule type="containsText" dxfId="2356" priority="24" operator="containsText" text="Start">
      <formula>NOT(ISERROR(SEARCH("Start",F225)))</formula>
    </cfRule>
    <cfRule type="containsText" dxfId="2355" priority="23" operator="containsText" text="Stop">
      <formula>NOT(ISERROR(SEARCH("Stop",F225)))</formula>
    </cfRule>
    <cfRule type="containsText" dxfId="2354" priority="22" operator="containsText" text="Continue">
      <formula>NOT(ISERROR(SEARCH("Continue",F225)))</formula>
    </cfRule>
  </conditionalFormatting>
  <conditionalFormatting sqref="F227">
    <cfRule type="containsText" dxfId="2353" priority="10" operator="containsText" text="Start">
      <formula>NOT(ISERROR(SEARCH("Start",F227)))</formula>
    </cfRule>
    <cfRule type="containsText" dxfId="2352" priority="9" operator="containsText" text="Stop">
      <formula>NOT(ISERROR(SEARCH("Stop",F227)))</formula>
    </cfRule>
    <cfRule type="containsText" dxfId="2351" priority="8" operator="containsText" text="Continue">
      <formula>NOT(ISERROR(SEARCH("Continue",F227)))</formula>
    </cfRule>
    <cfRule type="containsText" dxfId="2350" priority="14" operator="containsText" text="Under">
      <formula>NOT(ISERROR(SEARCH("Under",F227)))</formula>
    </cfRule>
    <cfRule type="containsText" dxfId="2349" priority="13" operator="containsText" text="Meets">
      <formula>NOT(ISERROR(SEARCH("Meets",F227)))</formula>
    </cfRule>
    <cfRule type="containsText" dxfId="2348" priority="12" operator="containsText" text="Exceeds">
      <formula>NOT(ISERROR(SEARCH("Exceeds",F227)))</formula>
    </cfRule>
    <cfRule type="containsText" dxfId="2347" priority="11" operator="containsText" text="N/A">
      <formula>NOT(ISERROR(SEARCH("N/A",F227)))</formula>
    </cfRule>
  </conditionalFormatting>
  <conditionalFormatting sqref="G62 I62">
    <cfRule type="containsText" dxfId="2346" priority="793" operator="containsText" text="Under">
      <formula>NOT(ISERROR(SEARCH("Under",G62)))</formula>
    </cfRule>
    <cfRule type="containsText" dxfId="2345" priority="792" operator="containsText" text="Meets">
      <formula>NOT(ISERROR(SEARCH("Meets",G62)))</formula>
    </cfRule>
    <cfRule type="containsText" dxfId="2344" priority="791" operator="containsText" text="Exceeds">
      <formula>NOT(ISERROR(SEARCH("Exceeds",G62)))</formula>
    </cfRule>
    <cfRule type="containsText" dxfId="2343" priority="790" operator="containsText" text="N/A">
      <formula>NOT(ISERROR(SEARCH("N/A",G62)))</formula>
    </cfRule>
    <cfRule type="containsText" dxfId="2342" priority="789" operator="containsText" text="Start">
      <formula>NOT(ISERROR(SEARCH("Start",G62)))</formula>
    </cfRule>
    <cfRule type="containsText" dxfId="2341" priority="788" operator="containsText" text="Stop">
      <formula>NOT(ISERROR(SEARCH("Stop",G62)))</formula>
    </cfRule>
    <cfRule type="containsText" dxfId="2340" priority="787" operator="containsText" text="Continue">
      <formula>NOT(ISERROR(SEARCH("Continue",G62)))</formula>
    </cfRule>
  </conditionalFormatting>
  <conditionalFormatting sqref="G64">
    <cfRule type="containsText" dxfId="2339" priority="471" operator="containsText" text="N/A">
      <formula>NOT(ISERROR(SEARCH("N/A",G64)))</formula>
    </cfRule>
    <cfRule type="containsText" dxfId="2338" priority="469" operator="containsText" text="Stop">
      <formula>NOT(ISERROR(SEARCH("Stop",G64)))</formula>
    </cfRule>
    <cfRule type="containsText" dxfId="2337" priority="470" operator="containsText" text="Start">
      <formula>NOT(ISERROR(SEARCH("Start",G64)))</formula>
    </cfRule>
    <cfRule type="containsText" dxfId="2336" priority="468" operator="containsText" text="Continue">
      <formula>NOT(ISERROR(SEARCH("Continue",G64)))</formula>
    </cfRule>
    <cfRule type="containsText" dxfId="2335" priority="472" operator="containsText" text="Exceeds">
      <formula>NOT(ISERROR(SEARCH("Exceeds",G64)))</formula>
    </cfRule>
    <cfRule type="containsText" dxfId="2334" priority="473" operator="containsText" text="Meets">
      <formula>NOT(ISERROR(SEARCH("Meets",G64)))</formula>
    </cfRule>
    <cfRule type="containsText" dxfId="2333" priority="474" operator="containsText" text="Under">
      <formula>NOT(ISERROR(SEARCH("Under",G64)))</formula>
    </cfRule>
  </conditionalFormatting>
  <conditionalFormatting sqref="G66 I66">
    <cfRule type="containsText" dxfId="2332" priority="459" operator="containsText" text="Under">
      <formula>NOT(ISERROR(SEARCH("Under",G66)))</formula>
    </cfRule>
    <cfRule type="containsText" dxfId="2331" priority="458" operator="containsText" text="Meets">
      <formula>NOT(ISERROR(SEARCH("Meets",G66)))</formula>
    </cfRule>
    <cfRule type="containsText" dxfId="2330" priority="454" operator="containsText" text="Stop">
      <formula>NOT(ISERROR(SEARCH("Stop",G66)))</formula>
    </cfRule>
    <cfRule type="containsText" dxfId="2329" priority="453" operator="containsText" text="Continue">
      <formula>NOT(ISERROR(SEARCH("Continue",G66)))</formula>
    </cfRule>
    <cfRule type="containsText" dxfId="2328" priority="457" operator="containsText" text="Exceeds">
      <formula>NOT(ISERROR(SEARCH("Exceeds",G66)))</formula>
    </cfRule>
    <cfRule type="containsText" dxfId="2327" priority="456" operator="containsText" text="N/A">
      <formula>NOT(ISERROR(SEARCH("N/A",G66)))</formula>
    </cfRule>
    <cfRule type="containsText" dxfId="2326" priority="455" operator="containsText" text="Start">
      <formula>NOT(ISERROR(SEARCH("Start",G66)))</formula>
    </cfRule>
  </conditionalFormatting>
  <conditionalFormatting sqref="G70 I70">
    <cfRule type="containsText" dxfId="2325" priority="442" operator="containsText" text="N/A">
      <formula>NOT(ISERROR(SEARCH("N/A",G70)))</formula>
    </cfRule>
    <cfRule type="containsText" dxfId="2324" priority="441" operator="containsText" text="Start">
      <formula>NOT(ISERROR(SEARCH("Start",G70)))</formula>
    </cfRule>
    <cfRule type="containsText" dxfId="2323" priority="440" operator="containsText" text="Stop">
      <formula>NOT(ISERROR(SEARCH("Stop",G70)))</formula>
    </cfRule>
    <cfRule type="containsText" dxfId="2322" priority="439" operator="containsText" text="Continue">
      <formula>NOT(ISERROR(SEARCH("Continue",G70)))</formula>
    </cfRule>
    <cfRule type="containsText" dxfId="2321" priority="445" operator="containsText" text="Under">
      <formula>NOT(ISERROR(SEARCH("Under",G70)))</formula>
    </cfRule>
    <cfRule type="containsText" dxfId="2320" priority="444" operator="containsText" text="Meets">
      <formula>NOT(ISERROR(SEARCH("Meets",G70)))</formula>
    </cfRule>
    <cfRule type="containsText" dxfId="2319" priority="443" operator="containsText" text="Exceeds">
      <formula>NOT(ISERROR(SEARCH("Exceeds",G70)))</formula>
    </cfRule>
  </conditionalFormatting>
  <conditionalFormatting sqref="G72 I72">
    <cfRule type="containsText" dxfId="2318" priority="425" operator="containsText" text="Stop">
      <formula>NOT(ISERROR(SEARCH("Stop",G72)))</formula>
    </cfRule>
    <cfRule type="containsText" dxfId="2317" priority="430" operator="containsText" text="Under">
      <formula>NOT(ISERROR(SEARCH("Under",G72)))</formula>
    </cfRule>
    <cfRule type="containsText" dxfId="2316" priority="429" operator="containsText" text="Meets">
      <formula>NOT(ISERROR(SEARCH("Meets",G72)))</formula>
    </cfRule>
    <cfRule type="containsText" dxfId="2315" priority="428" operator="containsText" text="Exceeds">
      <formula>NOT(ISERROR(SEARCH("Exceeds",G72)))</formula>
    </cfRule>
    <cfRule type="containsText" dxfId="2314" priority="427" operator="containsText" text="N/A">
      <formula>NOT(ISERROR(SEARCH("N/A",G72)))</formula>
    </cfRule>
    <cfRule type="containsText" dxfId="2313" priority="426" operator="containsText" text="Start">
      <formula>NOT(ISERROR(SEARCH("Start",G72)))</formula>
    </cfRule>
    <cfRule type="containsText" dxfId="2312" priority="424" operator="containsText" text="Continue">
      <formula>NOT(ISERROR(SEARCH("Continue",G72)))</formula>
    </cfRule>
  </conditionalFormatting>
  <conditionalFormatting sqref="G74 I74">
    <cfRule type="containsText" dxfId="2311" priority="410" operator="containsText" text="Stop">
      <formula>NOT(ISERROR(SEARCH("Stop",G74)))</formula>
    </cfRule>
    <cfRule type="containsText" dxfId="2310" priority="412" operator="containsText" text="N/A">
      <formula>NOT(ISERROR(SEARCH("N/A",G74)))</formula>
    </cfRule>
    <cfRule type="containsText" dxfId="2309" priority="413" operator="containsText" text="Exceeds">
      <formula>NOT(ISERROR(SEARCH("Exceeds",G74)))</formula>
    </cfRule>
    <cfRule type="containsText" dxfId="2308" priority="414" operator="containsText" text="Meets">
      <formula>NOT(ISERROR(SEARCH("Meets",G74)))</formula>
    </cfRule>
    <cfRule type="containsText" dxfId="2307" priority="415" operator="containsText" text="Under">
      <formula>NOT(ISERROR(SEARCH("Under",G74)))</formula>
    </cfRule>
    <cfRule type="containsText" dxfId="2306" priority="411" operator="containsText" text="Start">
      <formula>NOT(ISERROR(SEARCH("Start",G74)))</formula>
    </cfRule>
    <cfRule type="containsText" dxfId="2305" priority="409" operator="containsText" text="Continue">
      <formula>NOT(ISERROR(SEARCH("Continue",G74)))</formula>
    </cfRule>
  </conditionalFormatting>
  <conditionalFormatting sqref="G78 I78">
    <cfRule type="containsText" dxfId="2304" priority="401" operator="containsText" text="Under">
      <formula>NOT(ISERROR(SEARCH("Under",G78)))</formula>
    </cfRule>
    <cfRule type="containsText" dxfId="2303" priority="400" operator="containsText" text="Meets">
      <formula>NOT(ISERROR(SEARCH("Meets",G78)))</formula>
    </cfRule>
    <cfRule type="containsText" dxfId="2302" priority="399" operator="containsText" text="Exceeds">
      <formula>NOT(ISERROR(SEARCH("Exceeds",G78)))</formula>
    </cfRule>
    <cfRule type="containsText" dxfId="2301" priority="398" operator="containsText" text="N/A">
      <formula>NOT(ISERROR(SEARCH("N/A",G78)))</formula>
    </cfRule>
    <cfRule type="containsText" dxfId="2300" priority="397" operator="containsText" text="Start">
      <formula>NOT(ISERROR(SEARCH("Start",G78)))</formula>
    </cfRule>
    <cfRule type="containsText" dxfId="2299" priority="396" operator="containsText" text="Stop">
      <formula>NOT(ISERROR(SEARCH("Stop",G78)))</formula>
    </cfRule>
    <cfRule type="containsText" dxfId="2298" priority="395" operator="containsText" text="Continue">
      <formula>NOT(ISERROR(SEARCH("Continue",G78)))</formula>
    </cfRule>
  </conditionalFormatting>
  <conditionalFormatting sqref="G80 I80">
    <cfRule type="containsText" dxfId="2297" priority="384" operator="containsText" text="Exceeds">
      <formula>NOT(ISERROR(SEARCH("Exceeds",G80)))</formula>
    </cfRule>
    <cfRule type="containsText" dxfId="2296" priority="386" operator="containsText" text="Under">
      <formula>NOT(ISERROR(SEARCH("Under",G80)))</formula>
    </cfRule>
    <cfRule type="containsText" dxfId="2295" priority="383" operator="containsText" text="N/A">
      <formula>NOT(ISERROR(SEARCH("N/A",G80)))</formula>
    </cfRule>
    <cfRule type="containsText" dxfId="2294" priority="385" operator="containsText" text="Meets">
      <formula>NOT(ISERROR(SEARCH("Meets",G80)))</formula>
    </cfRule>
    <cfRule type="containsText" dxfId="2293" priority="382" operator="containsText" text="Start">
      <formula>NOT(ISERROR(SEARCH("Start",G80)))</formula>
    </cfRule>
    <cfRule type="containsText" dxfId="2292" priority="380" operator="containsText" text="Continue">
      <formula>NOT(ISERROR(SEARCH("Continue",G80)))</formula>
    </cfRule>
    <cfRule type="containsText" dxfId="2291" priority="381" operator="containsText" text="Stop">
      <formula>NOT(ISERROR(SEARCH("Stop",G80)))</formula>
    </cfRule>
  </conditionalFormatting>
  <conditionalFormatting sqref="G82 I82">
    <cfRule type="containsText" dxfId="2290" priority="365" operator="containsText" text="Continue">
      <formula>NOT(ISERROR(SEARCH("Continue",G82)))</formula>
    </cfRule>
    <cfRule type="containsText" dxfId="2289" priority="368" operator="containsText" text="N/A">
      <formula>NOT(ISERROR(SEARCH("N/A",G82)))</formula>
    </cfRule>
    <cfRule type="containsText" dxfId="2288" priority="367" operator="containsText" text="Start">
      <formula>NOT(ISERROR(SEARCH("Start",G82)))</formula>
    </cfRule>
    <cfRule type="containsText" dxfId="2287" priority="366" operator="containsText" text="Stop">
      <formula>NOT(ISERROR(SEARCH("Stop",G82)))</formula>
    </cfRule>
    <cfRule type="containsText" dxfId="2286" priority="371" operator="containsText" text="Under">
      <formula>NOT(ISERROR(SEARCH("Under",G82)))</formula>
    </cfRule>
    <cfRule type="containsText" dxfId="2285" priority="370" operator="containsText" text="Meets">
      <formula>NOT(ISERROR(SEARCH("Meets",G82)))</formula>
    </cfRule>
    <cfRule type="containsText" dxfId="2284" priority="369" operator="containsText" text="Exceeds">
      <formula>NOT(ISERROR(SEARCH("Exceeds",G82)))</formula>
    </cfRule>
  </conditionalFormatting>
  <conditionalFormatting sqref="G86 I86">
    <cfRule type="containsText" dxfId="2283" priority="740" operator="containsText" text="Under">
      <formula>NOT(ISERROR(SEARCH("Under",G86)))</formula>
    </cfRule>
    <cfRule type="containsText" dxfId="2282" priority="738" operator="containsText" text="Exceeds">
      <formula>NOT(ISERROR(SEARCH("Exceeds",G86)))</formula>
    </cfRule>
    <cfRule type="containsText" dxfId="2281" priority="739" operator="containsText" text="Meets">
      <formula>NOT(ISERROR(SEARCH("Meets",G86)))</formula>
    </cfRule>
    <cfRule type="containsText" dxfId="2280" priority="736" operator="containsText" text="Start">
      <formula>NOT(ISERROR(SEARCH("Start",G86)))</formula>
    </cfRule>
    <cfRule type="containsText" dxfId="2279" priority="735" operator="containsText" text="Stop">
      <formula>NOT(ISERROR(SEARCH("Stop",G86)))</formula>
    </cfRule>
    <cfRule type="containsText" dxfId="2278" priority="734" operator="containsText" text="Continue">
      <formula>NOT(ISERROR(SEARCH("Continue",G86)))</formula>
    </cfRule>
    <cfRule type="containsText" dxfId="2277" priority="737" operator="containsText" text="N/A">
      <formula>NOT(ISERROR(SEARCH("N/A",G86)))</formula>
    </cfRule>
  </conditionalFormatting>
  <conditionalFormatting sqref="G88">
    <cfRule type="containsText" dxfId="2276" priority="720" operator="containsText" text="Continue">
      <formula>NOT(ISERROR(SEARCH("Continue",G88)))</formula>
    </cfRule>
    <cfRule type="containsText" dxfId="2275" priority="721" operator="containsText" text="Stop">
      <formula>NOT(ISERROR(SEARCH("Stop",G88)))</formula>
    </cfRule>
    <cfRule type="containsText" dxfId="2274" priority="726" operator="containsText" text="Under">
      <formula>NOT(ISERROR(SEARCH("Under",G88)))</formula>
    </cfRule>
    <cfRule type="containsText" dxfId="2273" priority="725" operator="containsText" text="Meets">
      <formula>NOT(ISERROR(SEARCH("Meets",G88)))</formula>
    </cfRule>
    <cfRule type="containsText" dxfId="2272" priority="724" operator="containsText" text="Exceeds">
      <formula>NOT(ISERROR(SEARCH("Exceeds",G88)))</formula>
    </cfRule>
    <cfRule type="containsText" dxfId="2271" priority="723" operator="containsText" text="N/A">
      <formula>NOT(ISERROR(SEARCH("N/A",G88)))</formula>
    </cfRule>
    <cfRule type="containsText" dxfId="2270" priority="722" operator="containsText" text="Start">
      <formula>NOT(ISERROR(SEARCH("Start",G88)))</formula>
    </cfRule>
  </conditionalFormatting>
  <conditionalFormatting sqref="G90">
    <cfRule type="containsText" dxfId="2269" priority="719" operator="containsText" text="Under">
      <formula>NOT(ISERROR(SEARCH("Under",G90)))</formula>
    </cfRule>
    <cfRule type="containsText" dxfId="2268" priority="715" operator="containsText" text="Start">
      <formula>NOT(ISERROR(SEARCH("Start",G90)))</formula>
    </cfRule>
    <cfRule type="containsText" dxfId="2267" priority="714" operator="containsText" text="Stop">
      <formula>NOT(ISERROR(SEARCH("Stop",G90)))</formula>
    </cfRule>
    <cfRule type="containsText" dxfId="2266" priority="713" operator="containsText" text="Continue">
      <formula>NOT(ISERROR(SEARCH("Continue",G90)))</formula>
    </cfRule>
    <cfRule type="containsText" dxfId="2265" priority="716" operator="containsText" text="N/A">
      <formula>NOT(ISERROR(SEARCH("N/A",G90)))</formula>
    </cfRule>
    <cfRule type="containsText" dxfId="2264" priority="718" operator="containsText" text="Meets">
      <formula>NOT(ISERROR(SEARCH("Meets",G90)))</formula>
    </cfRule>
    <cfRule type="containsText" dxfId="2263" priority="717" operator="containsText" text="Exceeds">
      <formula>NOT(ISERROR(SEARCH("Exceeds",G90)))</formula>
    </cfRule>
  </conditionalFormatting>
  <conditionalFormatting sqref="G94 I94">
    <cfRule type="containsText" dxfId="2262" priority="331" operator="containsText" text="Stop">
      <formula>NOT(ISERROR(SEARCH("Stop",G94)))</formula>
    </cfRule>
    <cfRule type="containsText" dxfId="2261" priority="332" operator="containsText" text="Start">
      <formula>NOT(ISERROR(SEARCH("Start",G94)))</formula>
    </cfRule>
    <cfRule type="containsText" dxfId="2260" priority="333" operator="containsText" text="N/A">
      <formula>NOT(ISERROR(SEARCH("N/A",G94)))</formula>
    </cfRule>
    <cfRule type="containsText" dxfId="2259" priority="336" operator="containsText" text="Under">
      <formula>NOT(ISERROR(SEARCH("Under",G94)))</formula>
    </cfRule>
    <cfRule type="containsText" dxfId="2258" priority="334" operator="containsText" text="Exceeds">
      <formula>NOT(ISERROR(SEARCH("Exceeds",G94)))</formula>
    </cfRule>
    <cfRule type="containsText" dxfId="2257" priority="330" operator="containsText" text="Continue">
      <formula>NOT(ISERROR(SEARCH("Continue",G94)))</formula>
    </cfRule>
    <cfRule type="containsText" dxfId="2256" priority="335" operator="containsText" text="Meets">
      <formula>NOT(ISERROR(SEARCH("Meets",G94)))</formula>
    </cfRule>
  </conditionalFormatting>
  <conditionalFormatting sqref="G96 I96">
    <cfRule type="containsText" dxfId="2255" priority="328" operator="containsText" text="Meets">
      <formula>NOT(ISERROR(SEARCH("Meets",G96)))</formula>
    </cfRule>
    <cfRule type="containsText" dxfId="2254" priority="326" operator="containsText" text="N/A">
      <formula>NOT(ISERROR(SEARCH("N/A",G96)))</formula>
    </cfRule>
    <cfRule type="containsText" dxfId="2253" priority="325" operator="containsText" text="Start">
      <formula>NOT(ISERROR(SEARCH("Start",G96)))</formula>
    </cfRule>
    <cfRule type="containsText" dxfId="2252" priority="324" operator="containsText" text="Stop">
      <formula>NOT(ISERROR(SEARCH("Stop",G96)))</formula>
    </cfRule>
    <cfRule type="containsText" dxfId="2251" priority="323" operator="containsText" text="Continue">
      <formula>NOT(ISERROR(SEARCH("Continue",G96)))</formula>
    </cfRule>
    <cfRule type="containsText" dxfId="2250" priority="327" operator="containsText" text="Exceeds">
      <formula>NOT(ISERROR(SEARCH("Exceeds",G96)))</formula>
    </cfRule>
    <cfRule type="containsText" dxfId="2249" priority="329" operator="containsText" text="Under">
      <formula>NOT(ISERROR(SEARCH("Under",G96)))</formula>
    </cfRule>
  </conditionalFormatting>
  <conditionalFormatting sqref="G98 I98">
    <cfRule type="containsText" dxfId="2248" priority="320" operator="containsText" text="Exceeds">
      <formula>NOT(ISERROR(SEARCH("Exceeds",G98)))</formula>
    </cfRule>
    <cfRule type="containsText" dxfId="2247" priority="322" operator="containsText" text="Under">
      <formula>NOT(ISERROR(SEARCH("Under",G98)))</formula>
    </cfRule>
    <cfRule type="containsText" dxfId="2246" priority="321" operator="containsText" text="Meets">
      <formula>NOT(ISERROR(SEARCH("Meets",G98)))</formula>
    </cfRule>
    <cfRule type="containsText" dxfId="2245" priority="319" operator="containsText" text="N/A">
      <formula>NOT(ISERROR(SEARCH("N/A",G98)))</formula>
    </cfRule>
    <cfRule type="containsText" dxfId="2244" priority="318" operator="containsText" text="Start">
      <formula>NOT(ISERROR(SEARCH("Start",G98)))</formula>
    </cfRule>
    <cfRule type="containsText" dxfId="2243" priority="316" operator="containsText" text="Continue">
      <formula>NOT(ISERROR(SEARCH("Continue",G98)))</formula>
    </cfRule>
    <cfRule type="containsText" dxfId="2242" priority="317" operator="containsText" text="Stop">
      <formula>NOT(ISERROR(SEARCH("Stop",G98)))</formula>
    </cfRule>
  </conditionalFormatting>
  <conditionalFormatting sqref="G102 I102">
    <cfRule type="containsText" dxfId="2241" priority="351" operator="containsText" text="Continue">
      <formula>NOT(ISERROR(SEARCH("Continue",G102)))</formula>
    </cfRule>
    <cfRule type="containsText" dxfId="2240" priority="352" operator="containsText" text="Stop">
      <formula>NOT(ISERROR(SEARCH("Stop",G102)))</formula>
    </cfRule>
    <cfRule type="containsText" dxfId="2239" priority="357" operator="containsText" text="Under">
      <formula>NOT(ISERROR(SEARCH("Under",G102)))</formula>
    </cfRule>
    <cfRule type="containsText" dxfId="2238" priority="356" operator="containsText" text="Meets">
      <formula>NOT(ISERROR(SEARCH("Meets",G102)))</formula>
    </cfRule>
    <cfRule type="containsText" dxfId="2237" priority="355" operator="containsText" text="Exceeds">
      <formula>NOT(ISERROR(SEARCH("Exceeds",G102)))</formula>
    </cfRule>
    <cfRule type="containsText" dxfId="2236" priority="354" operator="containsText" text="N/A">
      <formula>NOT(ISERROR(SEARCH("N/A",G102)))</formula>
    </cfRule>
    <cfRule type="containsText" dxfId="2235" priority="353" operator="containsText" text="Start">
      <formula>NOT(ISERROR(SEARCH("Start",G102)))</formula>
    </cfRule>
  </conditionalFormatting>
  <conditionalFormatting sqref="G104 I104">
    <cfRule type="containsText" dxfId="2234" priority="344" operator="containsText" text="Continue">
      <formula>NOT(ISERROR(SEARCH("Continue",G104)))</formula>
    </cfRule>
    <cfRule type="containsText" dxfId="2233" priority="345" operator="containsText" text="Stop">
      <formula>NOT(ISERROR(SEARCH("Stop",G104)))</formula>
    </cfRule>
    <cfRule type="containsText" dxfId="2232" priority="346" operator="containsText" text="Start">
      <formula>NOT(ISERROR(SEARCH("Start",G104)))</formula>
    </cfRule>
    <cfRule type="containsText" dxfId="2231" priority="347" operator="containsText" text="N/A">
      <formula>NOT(ISERROR(SEARCH("N/A",G104)))</formula>
    </cfRule>
    <cfRule type="containsText" dxfId="2230" priority="348" operator="containsText" text="Exceeds">
      <formula>NOT(ISERROR(SEARCH("Exceeds",G104)))</formula>
    </cfRule>
    <cfRule type="containsText" dxfId="2229" priority="349" operator="containsText" text="Meets">
      <formula>NOT(ISERROR(SEARCH("Meets",G104)))</formula>
    </cfRule>
    <cfRule type="containsText" dxfId="2228" priority="350" operator="containsText" text="Under">
      <formula>NOT(ISERROR(SEARCH("Under",G104)))</formula>
    </cfRule>
  </conditionalFormatting>
  <conditionalFormatting sqref="G106 I106">
    <cfRule type="containsText" dxfId="2227" priority="343" operator="containsText" text="Under">
      <formula>NOT(ISERROR(SEARCH("Under",G106)))</formula>
    </cfRule>
    <cfRule type="containsText" dxfId="2226" priority="338" operator="containsText" text="Stop">
      <formula>NOT(ISERROR(SEARCH("Stop",G106)))</formula>
    </cfRule>
    <cfRule type="containsText" dxfId="2225" priority="337" operator="containsText" text="Continue">
      <formula>NOT(ISERROR(SEARCH("Continue",G106)))</formula>
    </cfRule>
    <cfRule type="containsText" dxfId="2224" priority="342" operator="containsText" text="Meets">
      <formula>NOT(ISERROR(SEARCH("Meets",G106)))</formula>
    </cfRule>
    <cfRule type="containsText" dxfId="2223" priority="339" operator="containsText" text="Start">
      <formula>NOT(ISERROR(SEARCH("Start",G106)))</formula>
    </cfRule>
    <cfRule type="containsText" dxfId="2222" priority="340" operator="containsText" text="N/A">
      <formula>NOT(ISERROR(SEARCH("N/A",G106)))</formula>
    </cfRule>
    <cfRule type="containsText" dxfId="2221" priority="341" operator="containsText" text="Exceeds">
      <formula>NOT(ISERROR(SEARCH("Exceeds",G106)))</formula>
    </cfRule>
  </conditionalFormatting>
  <conditionalFormatting sqref="G110 I110">
    <cfRule type="containsText" dxfId="2220" priority="234" operator="containsText" text="Meets">
      <formula>NOT(ISERROR(SEARCH("Meets",G110)))</formula>
    </cfRule>
    <cfRule type="containsText" dxfId="2219" priority="235" operator="containsText" text="Under">
      <formula>NOT(ISERROR(SEARCH("Under",G110)))</formula>
    </cfRule>
    <cfRule type="containsText" dxfId="2218" priority="232" operator="containsText" text="N/A">
      <formula>NOT(ISERROR(SEARCH("N/A",G110)))</formula>
    </cfRule>
    <cfRule type="containsText" dxfId="2217" priority="231" operator="containsText" text="Start">
      <formula>NOT(ISERROR(SEARCH("Start",G110)))</formula>
    </cfRule>
    <cfRule type="containsText" dxfId="2216" priority="230" operator="containsText" text="Stop">
      <formula>NOT(ISERROR(SEARCH("Stop",G110)))</formula>
    </cfRule>
    <cfRule type="containsText" dxfId="2215" priority="229" operator="containsText" text="Continue">
      <formula>NOT(ISERROR(SEARCH("Continue",G110)))</formula>
    </cfRule>
    <cfRule type="containsText" dxfId="2214" priority="233" operator="containsText" text="Exceeds">
      <formula>NOT(ISERROR(SEARCH("Exceeds",G110)))</formula>
    </cfRule>
  </conditionalFormatting>
  <conditionalFormatting sqref="G112 I112">
    <cfRule type="containsText" dxfId="2213" priority="222" operator="containsText" text="Continue">
      <formula>NOT(ISERROR(SEARCH("Continue",G112)))</formula>
    </cfRule>
    <cfRule type="containsText" dxfId="2212" priority="228" operator="containsText" text="Under">
      <formula>NOT(ISERROR(SEARCH("Under",G112)))</formula>
    </cfRule>
    <cfRule type="containsText" dxfId="2211" priority="223" operator="containsText" text="Stop">
      <formula>NOT(ISERROR(SEARCH("Stop",G112)))</formula>
    </cfRule>
    <cfRule type="containsText" dxfId="2210" priority="224" operator="containsText" text="Start">
      <formula>NOT(ISERROR(SEARCH("Start",G112)))</formula>
    </cfRule>
    <cfRule type="containsText" dxfId="2209" priority="225" operator="containsText" text="N/A">
      <formula>NOT(ISERROR(SEARCH("N/A",G112)))</formula>
    </cfRule>
    <cfRule type="containsText" dxfId="2208" priority="227" operator="containsText" text="Meets">
      <formula>NOT(ISERROR(SEARCH("Meets",G112)))</formula>
    </cfRule>
    <cfRule type="containsText" dxfId="2207" priority="226" operator="containsText" text="Exceeds">
      <formula>NOT(ISERROR(SEARCH("Exceeds",G112)))</formula>
    </cfRule>
  </conditionalFormatting>
  <conditionalFormatting sqref="G114 I114">
    <cfRule type="containsText" dxfId="2206" priority="217" operator="containsText" text="Start">
      <formula>NOT(ISERROR(SEARCH("Start",G114)))</formula>
    </cfRule>
    <cfRule type="containsText" dxfId="2205" priority="216" operator="containsText" text="Stop">
      <formula>NOT(ISERROR(SEARCH("Stop",G114)))</formula>
    </cfRule>
    <cfRule type="containsText" dxfId="2204" priority="221" operator="containsText" text="Under">
      <formula>NOT(ISERROR(SEARCH("Under",G114)))</formula>
    </cfRule>
    <cfRule type="containsText" dxfId="2203" priority="215" operator="containsText" text="Continue">
      <formula>NOT(ISERROR(SEARCH("Continue",G114)))</formula>
    </cfRule>
    <cfRule type="containsText" dxfId="2202" priority="220" operator="containsText" text="Meets">
      <formula>NOT(ISERROR(SEARCH("Meets",G114)))</formula>
    </cfRule>
    <cfRule type="containsText" dxfId="2201" priority="219" operator="containsText" text="Exceeds">
      <formula>NOT(ISERROR(SEARCH("Exceeds",G114)))</formula>
    </cfRule>
    <cfRule type="containsText" dxfId="2200" priority="218" operator="containsText" text="N/A">
      <formula>NOT(ISERROR(SEARCH("N/A",G114)))</formula>
    </cfRule>
  </conditionalFormatting>
  <conditionalFormatting sqref="G193">
    <cfRule type="dataBar" priority="198">
      <dataBar>
        <cfvo type="num" val="0"/>
        <cfvo type="num" val="1"/>
        <color theme="0" tint="-0.249977111117893"/>
      </dataBar>
      <extLst>
        <ext xmlns:x14="http://schemas.microsoft.com/office/spreadsheetml/2009/9/main" uri="{B025F937-C7B1-47D3-B67F-A62EFF666E3E}">
          <x14:id>{570F7532-631A-4EDD-972F-DABAC3B3E8FD}</x14:id>
        </ext>
      </extLst>
    </cfRule>
  </conditionalFormatting>
  <conditionalFormatting sqref="I64">
    <cfRule type="containsText" dxfId="2199" priority="253" operator="containsText" text="Under">
      <formula>NOT(ISERROR(SEARCH("Under",I64)))</formula>
    </cfRule>
    <cfRule type="containsText" dxfId="2198" priority="247" operator="containsText" text="Continue">
      <formula>NOT(ISERROR(SEARCH("Continue",I64)))</formula>
    </cfRule>
    <cfRule type="containsText" dxfId="2197" priority="251" operator="containsText" text="Exceeds">
      <formula>NOT(ISERROR(SEARCH("Exceeds",I64)))</formula>
    </cfRule>
    <cfRule type="containsText" dxfId="2196" priority="250" operator="containsText" text="N/A">
      <formula>NOT(ISERROR(SEARCH("N/A",I64)))</formula>
    </cfRule>
    <cfRule type="containsText" dxfId="2195" priority="249" operator="containsText" text="Start">
      <formula>NOT(ISERROR(SEARCH("Start",I64)))</formula>
    </cfRule>
    <cfRule type="containsText" dxfId="2194" priority="248" operator="containsText" text="Stop">
      <formula>NOT(ISERROR(SEARCH("Stop",I64)))</formula>
    </cfRule>
    <cfRule type="containsText" dxfId="2193" priority="252" operator="containsText" text="Meets">
      <formula>NOT(ISERROR(SEARCH("Meets",I64)))</formula>
    </cfRule>
  </conditionalFormatting>
  <conditionalFormatting sqref="I88">
    <cfRule type="containsText" dxfId="2192" priority="261" operator="containsText" text="Continue">
      <formula>NOT(ISERROR(SEARCH("Continue",I88)))</formula>
    </cfRule>
    <cfRule type="containsText" dxfId="2191" priority="262" operator="containsText" text="Stop">
      <formula>NOT(ISERROR(SEARCH("Stop",I88)))</formula>
    </cfRule>
    <cfRule type="containsText" dxfId="2190" priority="267" operator="containsText" text="Under">
      <formula>NOT(ISERROR(SEARCH("Under",I88)))</formula>
    </cfRule>
    <cfRule type="containsText" dxfId="2189" priority="263" operator="containsText" text="Start">
      <formula>NOT(ISERROR(SEARCH("Start",I88)))</formula>
    </cfRule>
    <cfRule type="containsText" dxfId="2188" priority="264" operator="containsText" text="N/A">
      <formula>NOT(ISERROR(SEARCH("N/A",I88)))</formula>
    </cfRule>
    <cfRule type="containsText" dxfId="2187" priority="265" operator="containsText" text="Exceeds">
      <formula>NOT(ISERROR(SEARCH("Exceeds",I88)))</formula>
    </cfRule>
    <cfRule type="containsText" dxfId="2186" priority="266" operator="containsText" text="Meets">
      <formula>NOT(ISERROR(SEARCH("Meets",I88)))</formula>
    </cfRule>
  </conditionalFormatting>
  <conditionalFormatting sqref="I90">
    <cfRule type="containsText" dxfId="2185" priority="254" operator="containsText" text="Continue">
      <formula>NOT(ISERROR(SEARCH("Continue",I90)))</formula>
    </cfRule>
    <cfRule type="containsText" dxfId="2184" priority="255" operator="containsText" text="Stop">
      <formula>NOT(ISERROR(SEARCH("Stop",I90)))</formula>
    </cfRule>
    <cfRule type="containsText" dxfId="2183" priority="256" operator="containsText" text="Start">
      <formula>NOT(ISERROR(SEARCH("Start",I90)))</formula>
    </cfRule>
    <cfRule type="containsText" dxfId="2182" priority="257" operator="containsText" text="N/A">
      <formula>NOT(ISERROR(SEARCH("N/A",I90)))</formula>
    </cfRule>
    <cfRule type="containsText" dxfId="2181" priority="258" operator="containsText" text="Exceeds">
      <formula>NOT(ISERROR(SEARCH("Exceeds",I90)))</formula>
    </cfRule>
    <cfRule type="containsText" dxfId="2180" priority="259" operator="containsText" text="Meets">
      <formula>NOT(ISERROR(SEARCH("Meets",I90)))</formula>
    </cfRule>
    <cfRule type="containsText" dxfId="2179" priority="260" operator="containsText" text="Under">
      <formula>NOT(ISERROR(SEARCH("Under",I90)))</formula>
    </cfRule>
  </conditionalFormatting>
  <conditionalFormatting sqref="I202">
    <cfRule type="containsText" dxfId="2178" priority="155" operator="containsText" text="Continue">
      <formula>NOT(ISERROR(SEARCH("Continue",I202)))</formula>
    </cfRule>
    <cfRule type="containsText" dxfId="2177" priority="156" operator="containsText" text="Stop">
      <formula>NOT(ISERROR(SEARCH("Stop",I202)))</formula>
    </cfRule>
    <cfRule type="containsText" dxfId="2176" priority="158" operator="containsText" text="N/A">
      <formula>NOT(ISERROR(SEARCH("N/A",I202)))</formula>
    </cfRule>
    <cfRule type="containsText" dxfId="2175" priority="159" operator="containsText" text="Exceeds">
      <formula>NOT(ISERROR(SEARCH("Exceeds",I202)))</formula>
    </cfRule>
    <cfRule type="containsText" dxfId="2174" priority="160" operator="containsText" text="Meets">
      <formula>NOT(ISERROR(SEARCH("Meets",I202)))</formula>
    </cfRule>
    <cfRule type="containsText" dxfId="2173" priority="161" operator="containsText" text="Under">
      <formula>NOT(ISERROR(SEARCH("Under",I202)))</formula>
    </cfRule>
    <cfRule type="containsText" dxfId="2172" priority="157" operator="containsText" text="Start">
      <formula>NOT(ISERROR(SEARCH("Start",I202)))</formula>
    </cfRule>
  </conditionalFormatting>
  <conditionalFormatting sqref="I204">
    <cfRule type="containsText" dxfId="2171" priority="147" operator="containsText" text="Under">
      <formula>NOT(ISERROR(SEARCH("Under",I204)))</formula>
    </cfRule>
    <cfRule type="containsText" dxfId="2170" priority="146" operator="containsText" text="Meets">
      <formula>NOT(ISERROR(SEARCH("Meets",I204)))</formula>
    </cfRule>
    <cfRule type="containsText" dxfId="2169" priority="145" operator="containsText" text="Exceeds">
      <formula>NOT(ISERROR(SEARCH("Exceeds",I204)))</formula>
    </cfRule>
    <cfRule type="containsText" dxfId="2168" priority="144" operator="containsText" text="N/A">
      <formula>NOT(ISERROR(SEARCH("N/A",I204)))</formula>
    </cfRule>
    <cfRule type="containsText" dxfId="2167" priority="143" operator="containsText" text="Start">
      <formula>NOT(ISERROR(SEARCH("Start",I204)))</formula>
    </cfRule>
    <cfRule type="containsText" dxfId="2166" priority="142" operator="containsText" text="Stop">
      <formula>NOT(ISERROR(SEARCH("Stop",I204)))</formula>
    </cfRule>
    <cfRule type="containsText" dxfId="2165" priority="141" operator="containsText" text="Continue">
      <formula>NOT(ISERROR(SEARCH("Continue",I204)))</formula>
    </cfRule>
  </conditionalFormatting>
  <conditionalFormatting sqref="I206">
    <cfRule type="containsText" dxfId="2164" priority="133" operator="containsText" text="Under">
      <formula>NOT(ISERROR(SEARCH("Under",I206)))</formula>
    </cfRule>
    <cfRule type="containsText" dxfId="2163" priority="132" operator="containsText" text="Meets">
      <formula>NOT(ISERROR(SEARCH("Meets",I206)))</formula>
    </cfRule>
    <cfRule type="containsText" dxfId="2162" priority="131" operator="containsText" text="Exceeds">
      <formula>NOT(ISERROR(SEARCH("Exceeds",I206)))</formula>
    </cfRule>
    <cfRule type="containsText" dxfId="2161" priority="130" operator="containsText" text="N/A">
      <formula>NOT(ISERROR(SEARCH("N/A",I206)))</formula>
    </cfRule>
    <cfRule type="containsText" dxfId="2160" priority="129" operator="containsText" text="Start">
      <formula>NOT(ISERROR(SEARCH("Start",I206)))</formula>
    </cfRule>
    <cfRule type="containsText" dxfId="2159" priority="128" operator="containsText" text="Stop">
      <formula>NOT(ISERROR(SEARCH("Stop",I206)))</formula>
    </cfRule>
    <cfRule type="containsText" dxfId="2158" priority="127" operator="containsText" text="Continue">
      <formula>NOT(ISERROR(SEARCH("Continue",I206)))</formula>
    </cfRule>
  </conditionalFormatting>
  <conditionalFormatting sqref="I209">
    <cfRule type="containsText" dxfId="2157" priority="118" operator="containsText" text="Meets">
      <formula>NOT(ISERROR(SEARCH("Meets",I209)))</formula>
    </cfRule>
    <cfRule type="containsText" dxfId="2156" priority="117" operator="containsText" text="Exceeds">
      <formula>NOT(ISERROR(SEARCH("Exceeds",I209)))</formula>
    </cfRule>
    <cfRule type="containsText" dxfId="2155" priority="116" operator="containsText" text="N/A">
      <formula>NOT(ISERROR(SEARCH("N/A",I209)))</formula>
    </cfRule>
    <cfRule type="containsText" dxfId="2154" priority="115" operator="containsText" text="Start">
      <formula>NOT(ISERROR(SEARCH("Start",I209)))</formula>
    </cfRule>
    <cfRule type="containsText" dxfId="2153" priority="114" operator="containsText" text="Stop">
      <formula>NOT(ISERROR(SEARCH("Stop",I209)))</formula>
    </cfRule>
    <cfRule type="containsText" dxfId="2152" priority="119" operator="containsText" text="Under">
      <formula>NOT(ISERROR(SEARCH("Under",I209)))</formula>
    </cfRule>
    <cfRule type="containsText" dxfId="2151" priority="113" operator="containsText" text="Continue">
      <formula>NOT(ISERROR(SEARCH("Continue",I209)))</formula>
    </cfRule>
  </conditionalFormatting>
  <conditionalFormatting sqref="I211">
    <cfRule type="containsText" dxfId="2150" priority="103" operator="containsText" text="Exceeds">
      <formula>NOT(ISERROR(SEARCH("Exceeds",I211)))</formula>
    </cfRule>
    <cfRule type="containsText" dxfId="2149" priority="102" operator="containsText" text="N/A">
      <formula>NOT(ISERROR(SEARCH("N/A",I211)))</formula>
    </cfRule>
    <cfRule type="containsText" dxfId="2148" priority="101" operator="containsText" text="Start">
      <formula>NOT(ISERROR(SEARCH("Start",I211)))</formula>
    </cfRule>
    <cfRule type="containsText" dxfId="2147" priority="100" operator="containsText" text="Stop">
      <formula>NOT(ISERROR(SEARCH("Stop",I211)))</formula>
    </cfRule>
    <cfRule type="containsText" dxfId="2146" priority="104" operator="containsText" text="Meets">
      <formula>NOT(ISERROR(SEARCH("Meets",I211)))</formula>
    </cfRule>
    <cfRule type="containsText" dxfId="2145" priority="99" operator="containsText" text="Continue">
      <formula>NOT(ISERROR(SEARCH("Continue",I211)))</formula>
    </cfRule>
    <cfRule type="containsText" dxfId="2144" priority="105" operator="containsText" text="Under">
      <formula>NOT(ISERROR(SEARCH("Under",I211)))</formula>
    </cfRule>
  </conditionalFormatting>
  <conditionalFormatting sqref="I213">
    <cfRule type="containsText" dxfId="2143" priority="85" operator="containsText" text="Continue">
      <formula>NOT(ISERROR(SEARCH("Continue",I213)))</formula>
    </cfRule>
    <cfRule type="containsText" dxfId="2142" priority="89" operator="containsText" text="Exceeds">
      <formula>NOT(ISERROR(SEARCH("Exceeds",I213)))</formula>
    </cfRule>
    <cfRule type="containsText" dxfId="2141" priority="88" operator="containsText" text="N/A">
      <formula>NOT(ISERROR(SEARCH("N/A",I213)))</formula>
    </cfRule>
    <cfRule type="containsText" dxfId="2140" priority="87" operator="containsText" text="Start">
      <formula>NOT(ISERROR(SEARCH("Start",I213)))</formula>
    </cfRule>
    <cfRule type="containsText" dxfId="2139" priority="86" operator="containsText" text="Stop">
      <formula>NOT(ISERROR(SEARCH("Stop",I213)))</formula>
    </cfRule>
    <cfRule type="containsText" dxfId="2138" priority="90" operator="containsText" text="Meets">
      <formula>NOT(ISERROR(SEARCH("Meets",I213)))</formula>
    </cfRule>
    <cfRule type="containsText" dxfId="2137" priority="91" operator="containsText" text="Under">
      <formula>NOT(ISERROR(SEARCH("Under",I213)))</formula>
    </cfRule>
  </conditionalFormatting>
  <conditionalFormatting sqref="I216">
    <cfRule type="containsText" dxfId="2136" priority="74" operator="containsText" text="N/A">
      <formula>NOT(ISERROR(SEARCH("N/A",I216)))</formula>
    </cfRule>
    <cfRule type="containsText" dxfId="2135" priority="76" operator="containsText" text="Meets">
      <formula>NOT(ISERROR(SEARCH("Meets",I216)))</formula>
    </cfRule>
    <cfRule type="containsText" dxfId="2134" priority="77" operator="containsText" text="Under">
      <formula>NOT(ISERROR(SEARCH("Under",I216)))</formula>
    </cfRule>
    <cfRule type="containsText" dxfId="2133" priority="75" operator="containsText" text="Exceeds">
      <formula>NOT(ISERROR(SEARCH("Exceeds",I216)))</formula>
    </cfRule>
    <cfRule type="containsText" dxfId="2132" priority="71" operator="containsText" text="Continue">
      <formula>NOT(ISERROR(SEARCH("Continue",I216)))</formula>
    </cfRule>
    <cfRule type="containsText" dxfId="2131" priority="72" operator="containsText" text="Stop">
      <formula>NOT(ISERROR(SEARCH("Stop",I216)))</formula>
    </cfRule>
    <cfRule type="containsText" dxfId="2130" priority="73" operator="containsText" text="Start">
      <formula>NOT(ISERROR(SEARCH("Start",I216)))</formula>
    </cfRule>
  </conditionalFormatting>
  <conditionalFormatting sqref="I218">
    <cfRule type="containsText" dxfId="2129" priority="62" operator="containsText" text="Meets">
      <formula>NOT(ISERROR(SEARCH("Meets",I218)))</formula>
    </cfRule>
    <cfRule type="containsText" dxfId="2128" priority="63" operator="containsText" text="Under">
      <formula>NOT(ISERROR(SEARCH("Under",I218)))</formula>
    </cfRule>
    <cfRule type="containsText" dxfId="2127" priority="61" operator="containsText" text="Exceeds">
      <formula>NOT(ISERROR(SEARCH("Exceeds",I218)))</formula>
    </cfRule>
    <cfRule type="containsText" dxfId="2126" priority="60" operator="containsText" text="N/A">
      <formula>NOT(ISERROR(SEARCH("N/A",I218)))</formula>
    </cfRule>
    <cfRule type="containsText" dxfId="2125" priority="58" operator="containsText" text="Stop">
      <formula>NOT(ISERROR(SEARCH("Stop",I218)))</formula>
    </cfRule>
    <cfRule type="containsText" dxfId="2124" priority="57" operator="containsText" text="Continue">
      <formula>NOT(ISERROR(SEARCH("Continue",I218)))</formula>
    </cfRule>
    <cfRule type="containsText" dxfId="2123" priority="59" operator="containsText" text="Start">
      <formula>NOT(ISERROR(SEARCH("Start",I218)))</formula>
    </cfRule>
  </conditionalFormatting>
  <conditionalFormatting sqref="I220">
    <cfRule type="containsText" dxfId="2122" priority="49" operator="containsText" text="Under">
      <formula>NOT(ISERROR(SEARCH("Under",I220)))</formula>
    </cfRule>
    <cfRule type="containsText" dxfId="2121" priority="48" operator="containsText" text="Meets">
      <formula>NOT(ISERROR(SEARCH("Meets",I220)))</formula>
    </cfRule>
    <cfRule type="containsText" dxfId="2120" priority="47" operator="containsText" text="Exceeds">
      <formula>NOT(ISERROR(SEARCH("Exceeds",I220)))</formula>
    </cfRule>
    <cfRule type="containsText" dxfId="2119" priority="44" operator="containsText" text="Stop">
      <formula>NOT(ISERROR(SEARCH("Stop",I220)))</formula>
    </cfRule>
    <cfRule type="containsText" dxfId="2118" priority="45" operator="containsText" text="Start">
      <formula>NOT(ISERROR(SEARCH("Start",I220)))</formula>
    </cfRule>
    <cfRule type="containsText" dxfId="2117" priority="46" operator="containsText" text="N/A">
      <formula>NOT(ISERROR(SEARCH("N/A",I220)))</formula>
    </cfRule>
    <cfRule type="containsText" dxfId="2116" priority="43" operator="containsText" text="Continue">
      <formula>NOT(ISERROR(SEARCH("Continue",I220)))</formula>
    </cfRule>
  </conditionalFormatting>
  <conditionalFormatting sqref="I223">
    <cfRule type="containsText" dxfId="2115" priority="34" operator="containsText" text="Meets">
      <formula>NOT(ISERROR(SEARCH("Meets",I223)))</formula>
    </cfRule>
    <cfRule type="containsText" dxfId="2114" priority="35" operator="containsText" text="Under">
      <formula>NOT(ISERROR(SEARCH("Under",I223)))</formula>
    </cfRule>
    <cfRule type="containsText" dxfId="2113" priority="33" operator="containsText" text="Exceeds">
      <formula>NOT(ISERROR(SEARCH("Exceeds",I223)))</formula>
    </cfRule>
    <cfRule type="containsText" dxfId="2112" priority="30" operator="containsText" text="Stop">
      <formula>NOT(ISERROR(SEARCH("Stop",I223)))</formula>
    </cfRule>
    <cfRule type="containsText" dxfId="2111" priority="32" operator="containsText" text="N/A">
      <formula>NOT(ISERROR(SEARCH("N/A",I223)))</formula>
    </cfRule>
    <cfRule type="containsText" dxfId="2110" priority="31" operator="containsText" text="Start">
      <formula>NOT(ISERROR(SEARCH("Start",I223)))</formula>
    </cfRule>
    <cfRule type="containsText" dxfId="2109" priority="29" operator="containsText" text="Continue">
      <formula>NOT(ISERROR(SEARCH("Continue",I223)))</formula>
    </cfRule>
  </conditionalFormatting>
  <conditionalFormatting sqref="I225">
    <cfRule type="containsText" dxfId="2108" priority="17" operator="containsText" text="Start">
      <formula>NOT(ISERROR(SEARCH("Start",I225)))</formula>
    </cfRule>
    <cfRule type="containsText" dxfId="2107" priority="19" operator="containsText" text="Exceeds">
      <formula>NOT(ISERROR(SEARCH("Exceeds",I225)))</formula>
    </cfRule>
    <cfRule type="containsText" dxfId="2106" priority="16" operator="containsText" text="Stop">
      <formula>NOT(ISERROR(SEARCH("Stop",I225)))</formula>
    </cfRule>
    <cfRule type="containsText" dxfId="2105" priority="15" operator="containsText" text="Continue">
      <formula>NOT(ISERROR(SEARCH("Continue",I225)))</formula>
    </cfRule>
    <cfRule type="containsText" dxfId="2104" priority="18" operator="containsText" text="N/A">
      <formula>NOT(ISERROR(SEARCH("N/A",I225)))</formula>
    </cfRule>
    <cfRule type="containsText" dxfId="2103" priority="21" operator="containsText" text="Under">
      <formula>NOT(ISERROR(SEARCH("Under",I225)))</formula>
    </cfRule>
    <cfRule type="containsText" dxfId="2102" priority="20" operator="containsText" text="Meets">
      <formula>NOT(ISERROR(SEARCH("Meets",I225)))</formula>
    </cfRule>
  </conditionalFormatting>
  <conditionalFormatting sqref="I227">
    <cfRule type="containsText" dxfId="2101" priority="5" operator="containsText" text="Exceeds">
      <formula>NOT(ISERROR(SEARCH("Exceeds",I227)))</formula>
    </cfRule>
    <cfRule type="containsText" dxfId="2100" priority="3" operator="containsText" text="Start">
      <formula>NOT(ISERROR(SEARCH("Start",I227)))</formula>
    </cfRule>
    <cfRule type="containsText" dxfId="2099" priority="4" operator="containsText" text="N/A">
      <formula>NOT(ISERROR(SEARCH("N/A",I227)))</formula>
    </cfRule>
    <cfRule type="containsText" dxfId="2098" priority="6" operator="containsText" text="Meets">
      <formula>NOT(ISERROR(SEARCH("Meets",I227)))</formula>
    </cfRule>
    <cfRule type="containsText" dxfId="2097" priority="7" operator="containsText" text="Under">
      <formula>NOT(ISERROR(SEARCH("Under",I227)))</formula>
    </cfRule>
    <cfRule type="containsText" dxfId="2096" priority="2" operator="containsText" text="Stop">
      <formula>NOT(ISERROR(SEARCH("Stop",I227)))</formula>
    </cfRule>
    <cfRule type="containsText" dxfId="2095" priority="1" operator="containsText" text="Continue">
      <formula>NOT(ISERROR(SEARCH("Continue",I227)))</formula>
    </cfRule>
  </conditionalFormatting>
  <conditionalFormatting sqref="K60 K68 K116 K196">
    <cfRule type="containsText" dxfId="2094" priority="805" operator="containsText" text="Need review">
      <formula>NOT(ISERROR(SEARCH("Need review",K60)))</formula>
    </cfRule>
    <cfRule type="containsText" dxfId="2093" priority="806" operator="containsText" text="Need support">
      <formula>NOT(ISERROR(SEARCH("Need support",K60)))</formula>
    </cfRule>
    <cfRule type="containsText" dxfId="2092" priority="807" operator="containsText" text="Autonomous">
      <formula>NOT(ISERROR(SEARCH("Autonomous",K60)))</formula>
    </cfRule>
    <cfRule type="containsText" dxfId="2091" priority="808" operator="containsText" text="Need to learn">
      <formula>NOT(ISERROR(SEARCH("Need to learn",K60)))</formula>
    </cfRule>
  </conditionalFormatting>
  <conditionalFormatting sqref="K84 K92 K100">
    <cfRule type="containsText" dxfId="2090" priority="794" operator="containsText" text="Need review">
      <formula>NOT(ISERROR(SEARCH("Need review",K84)))</formula>
    </cfRule>
    <cfRule type="containsText" dxfId="2089" priority="795" operator="containsText" text="Need support">
      <formula>NOT(ISERROR(SEARCH("Need support",K84)))</formula>
    </cfRule>
    <cfRule type="containsText" dxfId="2088" priority="796" operator="containsText" text="Autonomous">
      <formula>NOT(ISERROR(SEARCH("Autonomous",K84)))</formula>
    </cfRule>
    <cfRule type="containsText" dxfId="2087" priority="797" operator="containsText" text="Need to learn">
      <formula>NOT(ISERROR(SEARCH("Need to learn",K84)))</formula>
    </cfRule>
  </conditionalFormatting>
  <conditionalFormatting sqref="K108">
    <cfRule type="containsText" dxfId="2086" priority="243" operator="containsText" text="Need review">
      <formula>NOT(ISERROR(SEARCH("Need review",K108)))</formula>
    </cfRule>
    <cfRule type="containsText" dxfId="2085" priority="244" operator="containsText" text="Need support">
      <formula>NOT(ISERROR(SEARCH("Need support",K108)))</formula>
    </cfRule>
    <cfRule type="containsText" dxfId="2084" priority="245" operator="containsText" text="Autonomous">
      <formula>NOT(ISERROR(SEARCH("Autonomous",K108)))</formula>
    </cfRule>
    <cfRule type="containsText" dxfId="2083" priority="246" operator="containsText" text="Need to learn">
      <formula>NOT(ISERROR(SEARCH("Need to learn",K108)))</formula>
    </cfRule>
  </conditionalFormatting>
  <dataValidations count="4">
    <dataValidation allowBlank="1" showInputMessage="1" showErrorMessage="1" sqref="G68:J68 G84:J84 G60:J60 G92:J92 G100:J100 G116:J116 G194:J197 K194:K195 G108:J108" xr:uid="{EF91F655-68C1-4A4A-B806-3B78E789DD48}"/>
    <dataValidation type="list" allowBlank="1" showInputMessage="1" showErrorMessage="1" sqref="K68 K84 K60 K92 K100 K116 K196 K108" xr:uid="{D1FD1007-5FA2-40B1-B0D4-1BC217ECA52E}">
      <formula1>"1 - Autonomous, 2 - Need review, 3 - Need support, 4 - Need to learn"</formula1>
    </dataValidation>
    <dataValidation allowBlank="1" showInputMessage="1" showErrorMessage="1" prompt="Enter Company Name in cell B4._x000a_A legend is in cells I4 through AC4.  The Legend label is in cell G4." sqref="A2:B2" xr:uid="{702A9643-46E3-4C78-A72E-9397D7EA03A1}"/>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B4" xr:uid="{9B2B9D36-9049-43BD-B483-7E4AA35606CC}"/>
  </dataValidations>
  <hyperlinks>
    <hyperlink ref="F121" r:id="rId1" location=":~:text=Examples%20of%20S.M.A.R.T.%20Goals" display="https://www.forbes.com/advisor/business/smart-goals/#:~:text=Examples%20of%20S.M.A.R.T.%20Goals" xr:uid="{3ED7CC49-03C4-4944-A744-626833735A9E}"/>
    <hyperlink ref="F121:G121" r:id="rId2" location=":~:text=Examples%20of%20S.M.A.R.T.%20Goals" display="Examples of SMART Goals" xr:uid="{85EEA296-796E-438C-BF25-63F607AD7827}"/>
  </hyperlinks>
  <pageMargins left="0.23622047244094491" right="0.23622047244094491" top="0.74803149606299213" bottom="0.74803149606299213" header="0.31496062992125984" footer="0.31496062992125984"/>
  <pageSetup paperSize="9" scale="28" fitToHeight="7" orientation="portrait" r:id="rId3"/>
  <rowBreaks count="3" manualBreakCount="3">
    <brk id="56" max="16383" man="1"/>
    <brk id="116" max="16383" man="1"/>
    <brk id="195" max="16383" man="1"/>
  </rowBreaks>
  <drawing r:id="rId4"/>
  <extLst>
    <ext xmlns:x14="http://schemas.microsoft.com/office/spreadsheetml/2009/9/main" uri="{78C0D931-6437-407d-A8EE-F0AAD7539E65}">
      <x14:conditionalFormattings>
        <x14:conditionalFormatting xmlns:xm="http://schemas.microsoft.com/office/excel/2006/main">
          <x14:cfRule type="dataBar" id="{F70083F1-3436-44E5-BFD6-096F4C0F06E7}">
            <x14:dataBar minLength="0" maxLength="100" gradient="0">
              <x14:cfvo type="num">
                <xm:f>0</xm:f>
              </x14:cfvo>
              <x14:cfvo type="num">
                <xm:f>1</xm:f>
              </x14:cfvo>
              <x14:negativeFillColor rgb="FFFF0000"/>
              <x14:axisColor rgb="FF000000"/>
            </x14:dataBar>
          </x14:cfRule>
          <xm:sqref>E128:E129 E142:E143 E156:E157 E170:E171</xm:sqref>
        </x14:conditionalFormatting>
        <x14:conditionalFormatting xmlns:xm="http://schemas.microsoft.com/office/excel/2006/main">
          <x14:cfRule type="dataBar" id="{70EF7904-A3CE-40CC-A222-93555F8CC8D9}">
            <x14:dataBar minLength="0" maxLength="100" gradient="0">
              <x14:cfvo type="num">
                <xm:f>0</xm:f>
              </x14:cfvo>
              <x14:cfvo type="num">
                <xm:f>1</xm:f>
              </x14:cfvo>
              <x14:negativeFillColor rgb="FFFF0000"/>
              <x14:axisColor rgb="FF000000"/>
            </x14:dataBar>
          </x14:cfRule>
          <xm:sqref>E130 E144 E158 E172</xm:sqref>
        </x14:conditionalFormatting>
        <x14:conditionalFormatting xmlns:xm="http://schemas.microsoft.com/office/excel/2006/main">
          <x14:cfRule type="dataBar" id="{77FF1469-D5E3-47F8-B06F-A13374B99CBF}">
            <x14:dataBar minLength="0" maxLength="100" gradient="0">
              <x14:cfvo type="num">
                <xm:f>0</xm:f>
              </x14:cfvo>
              <x14:cfvo type="num">
                <xm:f>1</xm:f>
              </x14:cfvo>
              <x14:negativeFillColor rgb="FFFF0000"/>
              <x14:axisColor rgb="FF000000"/>
            </x14:dataBar>
          </x14:cfRule>
          <xm:sqref>E133:E134 E147:E148 E161:E162 E175:E176</xm:sqref>
        </x14:conditionalFormatting>
        <x14:conditionalFormatting xmlns:xm="http://schemas.microsoft.com/office/excel/2006/main">
          <x14:cfRule type="dataBar" id="{55DC4919-FF5D-494D-B9DC-95DDF5467E31}">
            <x14:dataBar minLength="0" maxLength="100" gradient="0">
              <x14:cfvo type="num">
                <xm:f>0</xm:f>
              </x14:cfvo>
              <x14:cfvo type="num">
                <xm:f>1</xm:f>
              </x14:cfvo>
              <x14:negativeFillColor rgb="FFFF0000"/>
              <x14:axisColor rgb="FF000000"/>
            </x14:dataBar>
          </x14:cfRule>
          <xm:sqref>E135 E149 E163 E177</xm:sqref>
        </x14:conditionalFormatting>
        <x14:conditionalFormatting xmlns:xm="http://schemas.microsoft.com/office/excel/2006/main">
          <x14:cfRule type="dataBar" id="{693AAC3B-68B2-4FDB-85FE-65F88EDC4035}">
            <x14:dataBar minLength="0" maxLength="100" gradient="0">
              <x14:cfvo type="num">
                <xm:f>0</xm:f>
              </x14:cfvo>
              <x14:cfvo type="num">
                <xm:f>1</xm:f>
              </x14:cfvo>
              <x14:negativeFillColor rgb="FFFF0000"/>
              <x14:axisColor rgb="FF000000"/>
            </x14:dataBar>
          </x14:cfRule>
          <xm:sqref>E184:E185</xm:sqref>
        </x14:conditionalFormatting>
        <x14:conditionalFormatting xmlns:xm="http://schemas.microsoft.com/office/excel/2006/main">
          <x14:cfRule type="dataBar" id="{81C9341C-43F4-445E-B34A-81D5FB4D906A}">
            <x14:dataBar minLength="0" maxLength="100" gradient="0">
              <x14:cfvo type="num">
                <xm:f>0</xm:f>
              </x14:cfvo>
              <x14:cfvo type="num">
                <xm:f>1</xm:f>
              </x14:cfvo>
              <x14:negativeFillColor rgb="FFFF0000"/>
              <x14:axisColor rgb="FF000000"/>
            </x14:dataBar>
          </x14:cfRule>
          <xm:sqref>E186</xm:sqref>
        </x14:conditionalFormatting>
        <x14:conditionalFormatting xmlns:xm="http://schemas.microsoft.com/office/excel/2006/main">
          <x14:cfRule type="dataBar" id="{D73D4CB1-A33E-4B5F-8C4C-906880309A3E}">
            <x14:dataBar minLength="0" maxLength="100" gradient="0">
              <x14:cfvo type="num">
                <xm:f>0</xm:f>
              </x14:cfvo>
              <x14:cfvo type="num">
                <xm:f>1</xm:f>
              </x14:cfvo>
              <x14:negativeFillColor rgb="FFFF0000"/>
              <x14:axisColor rgb="FF000000"/>
            </x14:dataBar>
          </x14:cfRule>
          <xm:sqref>E189:E190</xm:sqref>
        </x14:conditionalFormatting>
        <x14:conditionalFormatting xmlns:xm="http://schemas.microsoft.com/office/excel/2006/main">
          <x14:cfRule type="dataBar" id="{D4E3C735-1D8A-460F-BBD3-287AA79A535D}">
            <x14:dataBar minLength="0" maxLength="100" gradient="0">
              <x14:cfvo type="num">
                <xm:f>0</xm:f>
              </x14:cfvo>
              <x14:cfvo type="num">
                <xm:f>1</xm:f>
              </x14:cfvo>
              <x14:negativeFillColor rgb="FFFF0000"/>
              <x14:axisColor rgb="FF000000"/>
            </x14:dataBar>
          </x14:cfRule>
          <xm:sqref>E191:E192</xm:sqref>
        </x14:conditionalFormatting>
        <x14:conditionalFormatting xmlns:xm="http://schemas.microsoft.com/office/excel/2006/main">
          <x14:cfRule type="dataBar" id="{AD16439C-223C-4D20-8503-E44C4315325B}">
            <x14:dataBar minLength="0" maxLength="100" gradient="0">
              <x14:cfvo type="num">
                <xm:f>0</xm:f>
              </x14:cfvo>
              <x14:cfvo type="num">
                <xm:f>1</xm:f>
              </x14:cfvo>
              <x14:negativeFillColor rgb="FFFF0000"/>
              <x14:axisColor rgb="FF000000"/>
            </x14:dataBar>
          </x14:cfRule>
          <xm:sqref>E203 E205 E207</xm:sqref>
        </x14:conditionalFormatting>
        <x14:conditionalFormatting xmlns:xm="http://schemas.microsoft.com/office/excel/2006/main">
          <x14:cfRule type="dataBar" id="{8797000B-AB5C-43F3-A5F6-54650ABA73A1}">
            <x14:dataBar minLength="0" maxLength="100" gradient="0">
              <x14:cfvo type="num">
                <xm:f>0</xm:f>
              </x14:cfvo>
              <x14:cfvo type="num">
                <xm:f>1</xm:f>
              </x14:cfvo>
              <x14:negativeFillColor rgb="FFFF0000"/>
              <x14:axisColor rgb="FF000000"/>
            </x14:dataBar>
          </x14:cfRule>
          <xm:sqref>E203</xm:sqref>
        </x14:conditionalFormatting>
        <x14:conditionalFormatting xmlns:xm="http://schemas.microsoft.com/office/excel/2006/main">
          <x14:cfRule type="dataBar" id="{385BC35B-8955-42ED-BF8D-584088835B2B}">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731D2A3A-68FC-436E-AD27-37976EB9A83C}">
            <x14:dataBar minLength="0" maxLength="100" gradient="0">
              <x14:cfvo type="num">
                <xm:f>0</xm:f>
              </x14:cfvo>
              <x14:cfvo type="num">
                <xm:f>1</xm:f>
              </x14:cfvo>
              <x14:negativeFillColor rgb="FFFF0000"/>
              <x14:axisColor rgb="FF000000"/>
            </x14:dataBar>
          </x14:cfRule>
          <xm:sqref>E212 E210 E214</xm:sqref>
        </x14:conditionalFormatting>
        <x14:conditionalFormatting xmlns:xm="http://schemas.microsoft.com/office/excel/2006/main">
          <x14:cfRule type="dataBar" id="{9C342497-9988-4CE5-9710-8BB20CC8EBD5}">
            <x14:dataBar minLength="0" maxLength="100" gradient="0">
              <x14:cfvo type="num">
                <xm:f>0</xm:f>
              </x14:cfvo>
              <x14:cfvo type="num">
                <xm:f>1</xm:f>
              </x14:cfvo>
              <x14:negativeFillColor rgb="FFFF0000"/>
              <x14:axisColor rgb="FF000000"/>
            </x14:dataBar>
          </x14:cfRule>
          <xm:sqref>E217 E219 E221</xm:sqref>
        </x14:conditionalFormatting>
        <x14:conditionalFormatting xmlns:xm="http://schemas.microsoft.com/office/excel/2006/main">
          <x14:cfRule type="dataBar" id="{F91A76DA-670D-4D13-A1F8-158962A28353}">
            <x14:dataBar minLength="0" maxLength="100" gradient="0">
              <x14:cfvo type="num">
                <xm:f>0</xm:f>
              </x14:cfvo>
              <x14:cfvo type="num">
                <xm:f>1</xm:f>
              </x14:cfvo>
              <x14:negativeFillColor rgb="FFFF0000"/>
              <x14:axisColor rgb="FF000000"/>
            </x14:dataBar>
          </x14:cfRule>
          <xm:sqref>E217</xm:sqref>
        </x14:conditionalFormatting>
        <x14:conditionalFormatting xmlns:xm="http://schemas.microsoft.com/office/excel/2006/main">
          <x14:cfRule type="dataBar" id="{445963A7-915D-4F43-9F7B-27399A6E38B9}">
            <x14:dataBar minLength="0" maxLength="100" gradient="0">
              <x14:cfvo type="num">
                <xm:f>0</xm:f>
              </x14:cfvo>
              <x14:cfvo type="num">
                <xm:f>1</xm:f>
              </x14:cfvo>
              <x14:negativeFillColor rgb="FFFF0000"/>
              <x14:axisColor rgb="FF000000"/>
            </x14:dataBar>
          </x14:cfRule>
          <xm:sqref>E224 E226 E228</xm:sqref>
        </x14:conditionalFormatting>
        <x14:conditionalFormatting xmlns:xm="http://schemas.microsoft.com/office/excel/2006/main">
          <x14:cfRule type="dataBar" id="{582EC471-B6D4-4369-859C-394070E30DFC}">
            <x14:dataBar minLength="0" maxLength="100" gradient="0">
              <x14:cfvo type="num">
                <xm:f>0</xm:f>
              </x14:cfvo>
              <x14:cfvo type="num">
                <xm:f>1</xm:f>
              </x14:cfvo>
              <x14:negativeFillColor rgb="FFFF0000"/>
              <x14:axisColor rgb="FF000000"/>
            </x14:dataBar>
          </x14:cfRule>
          <xm:sqref>E224</xm:sqref>
        </x14:conditionalFormatting>
        <x14:conditionalFormatting xmlns:xm="http://schemas.microsoft.com/office/excel/2006/main">
          <x14:cfRule type="dataBar" id="{AA9B154A-C30B-489D-A846-D8DF97D3576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7E3372C5-D3BE-4F6C-AFA1-F75AB4CF105E}">
            <x14:dataBar minLength="0" maxLength="100" gradient="0">
              <x14:cfvo type="num">
                <xm:f>0</xm:f>
              </x14:cfvo>
              <x14:cfvo type="num">
                <xm:f>1</xm:f>
              </x14:cfvo>
              <x14:negativeFillColor rgb="FFFF0000"/>
              <x14:axisColor rgb="FF000000"/>
            </x14:dataBar>
          </x14:cfRule>
          <xm:sqref>F65</xm:sqref>
        </x14:conditionalFormatting>
        <x14:conditionalFormatting xmlns:xm="http://schemas.microsoft.com/office/excel/2006/main">
          <x14:cfRule type="dataBar" id="{3DA34581-DA8D-4251-8DB4-F9F45968262D}">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B52FB86F-1CB8-4736-A092-9E0C809E76F0}">
            <x14:dataBar minLength="0" maxLength="100" gradient="0">
              <x14:cfvo type="num">
                <xm:f>0</xm:f>
              </x14:cfvo>
              <x14:cfvo type="num">
                <xm:f>1</xm:f>
              </x14:cfvo>
              <x14:negativeFillColor rgb="FFFF0000"/>
              <x14:axisColor rgb="FF000000"/>
            </x14:dataBar>
          </x14:cfRule>
          <xm:sqref>F71</xm:sqref>
        </x14:conditionalFormatting>
        <x14:conditionalFormatting xmlns:xm="http://schemas.microsoft.com/office/excel/2006/main">
          <x14:cfRule type="dataBar" id="{69FD6C08-A1BD-4FA4-9F73-AE23EA164FF6}">
            <x14:dataBar minLength="0" maxLength="100" gradient="0">
              <x14:cfvo type="num">
                <xm:f>0</xm:f>
              </x14:cfvo>
              <x14:cfvo type="num">
                <xm:f>1</xm:f>
              </x14:cfvo>
              <x14:negativeFillColor rgb="FFFF0000"/>
              <x14:axisColor rgb="FF000000"/>
            </x14:dataBar>
          </x14:cfRule>
          <xm:sqref>F73</xm:sqref>
        </x14:conditionalFormatting>
        <x14:conditionalFormatting xmlns:xm="http://schemas.microsoft.com/office/excel/2006/main">
          <x14:cfRule type="dataBar" id="{8E47E49D-A78B-4C00-9D71-EEF8E99FF862}">
            <x14:dataBar minLength="0" maxLength="100" gradient="0">
              <x14:cfvo type="num">
                <xm:f>0</xm:f>
              </x14:cfvo>
              <x14:cfvo type="num">
                <xm:f>1</xm:f>
              </x14:cfvo>
              <x14:negativeFillColor rgb="FFFF0000"/>
              <x14:axisColor rgb="FF000000"/>
            </x14:dataBar>
          </x14:cfRule>
          <xm:sqref>F75</xm:sqref>
        </x14:conditionalFormatting>
        <x14:conditionalFormatting xmlns:xm="http://schemas.microsoft.com/office/excel/2006/main">
          <x14:cfRule type="dataBar" id="{E70123C8-030F-43B6-AFA2-CBFF0B03F904}">
            <x14:dataBar minLength="0" maxLength="100" gradient="0">
              <x14:cfvo type="num">
                <xm:f>0</xm:f>
              </x14:cfvo>
              <x14:cfvo type="num">
                <xm:f>1</xm:f>
              </x14:cfvo>
              <x14:negativeFillColor rgb="FFFF0000"/>
              <x14:axisColor rgb="FF000000"/>
            </x14:dataBar>
          </x14:cfRule>
          <xm:sqref>F79</xm:sqref>
        </x14:conditionalFormatting>
        <x14:conditionalFormatting xmlns:xm="http://schemas.microsoft.com/office/excel/2006/main">
          <x14:cfRule type="dataBar" id="{32414B41-BA5D-4692-82D5-C380E3393A63}">
            <x14:dataBar minLength="0" maxLength="100" gradient="0">
              <x14:cfvo type="num">
                <xm:f>0</xm:f>
              </x14:cfvo>
              <x14:cfvo type="num">
                <xm:f>1</xm:f>
              </x14:cfvo>
              <x14:negativeFillColor rgb="FFFF0000"/>
              <x14:axisColor rgb="FF000000"/>
            </x14:dataBar>
          </x14:cfRule>
          <xm:sqref>F81</xm:sqref>
        </x14:conditionalFormatting>
        <x14:conditionalFormatting xmlns:xm="http://schemas.microsoft.com/office/excel/2006/main">
          <x14:cfRule type="dataBar" id="{45126DA9-DE3C-4F62-A4F3-0AD825AC09FA}">
            <x14:dataBar minLength="0" maxLength="100" gradient="0">
              <x14:cfvo type="num">
                <xm:f>0</xm:f>
              </x14:cfvo>
              <x14:cfvo type="num">
                <xm:f>1</xm:f>
              </x14:cfvo>
              <x14:negativeFillColor rgb="FFFF0000"/>
              <x14:axisColor rgb="FF000000"/>
            </x14:dataBar>
          </x14:cfRule>
          <xm:sqref>F83</xm:sqref>
        </x14:conditionalFormatting>
        <x14:conditionalFormatting xmlns:xm="http://schemas.microsoft.com/office/excel/2006/main">
          <x14:cfRule type="dataBar" id="{F5CFFAAE-6D1B-4B88-8414-77D9ED7A1014}">
            <x14:dataBar minLength="0" maxLength="100" gradient="0">
              <x14:cfvo type="num">
                <xm:f>0</xm:f>
              </x14:cfvo>
              <x14:cfvo type="num">
                <xm:f>1</xm:f>
              </x14:cfvo>
              <x14:negativeFillColor rgb="FFFF0000"/>
              <x14:axisColor rgb="FF000000"/>
            </x14:dataBar>
          </x14:cfRule>
          <xm:sqref>F87 F89 F91</xm:sqref>
        </x14:conditionalFormatting>
        <x14:conditionalFormatting xmlns:xm="http://schemas.microsoft.com/office/excel/2006/main">
          <x14:cfRule type="dataBar" id="{CCD808D3-B739-4145-9ECD-D617BC6ABF34}">
            <x14:dataBar minLength="0" maxLength="100" gradient="0">
              <x14:cfvo type="num">
                <xm:f>0</xm:f>
              </x14:cfvo>
              <x14:cfvo type="num">
                <xm:f>1</xm:f>
              </x14:cfvo>
              <x14:negativeFillColor rgb="FFFF0000"/>
              <x14:axisColor rgb="FF000000"/>
            </x14:dataBar>
          </x14:cfRule>
          <xm:sqref>F95</xm:sqref>
        </x14:conditionalFormatting>
        <x14:conditionalFormatting xmlns:xm="http://schemas.microsoft.com/office/excel/2006/main">
          <x14:cfRule type="dataBar" id="{294D7DE3-4789-4968-A53B-93E2AB3CBE4F}">
            <x14:dataBar minLength="0" maxLength="100" gradient="0">
              <x14:cfvo type="num">
                <xm:f>0</xm:f>
              </x14:cfvo>
              <x14:cfvo type="num">
                <xm:f>1</xm:f>
              </x14:cfvo>
              <x14:negativeFillColor rgb="FFFF0000"/>
              <x14:axisColor rgb="FF000000"/>
            </x14:dataBar>
          </x14:cfRule>
          <xm:sqref>F97</xm:sqref>
        </x14:conditionalFormatting>
        <x14:conditionalFormatting xmlns:xm="http://schemas.microsoft.com/office/excel/2006/main">
          <x14:cfRule type="dataBar" id="{E8551DAE-9E5F-47CA-ACD5-86956D638112}">
            <x14:dataBar minLength="0" maxLength="100" gradient="0">
              <x14:cfvo type="num">
                <xm:f>0</xm:f>
              </x14:cfvo>
              <x14:cfvo type="num">
                <xm:f>1</xm:f>
              </x14:cfvo>
              <x14:negativeFillColor rgb="FFFF0000"/>
              <x14:axisColor rgb="FF000000"/>
            </x14:dataBar>
          </x14:cfRule>
          <xm:sqref>F99</xm:sqref>
        </x14:conditionalFormatting>
        <x14:conditionalFormatting xmlns:xm="http://schemas.microsoft.com/office/excel/2006/main">
          <x14:cfRule type="dataBar" id="{0F9ED7BA-7AF3-4512-A4C0-370020C8D7FA}">
            <x14:dataBar minLength="0" maxLength="100" gradient="0">
              <x14:cfvo type="num">
                <xm:f>0</xm:f>
              </x14:cfvo>
              <x14:cfvo type="num">
                <xm:f>1</xm:f>
              </x14:cfvo>
              <x14:negativeFillColor rgb="FFFF0000"/>
              <x14:axisColor rgb="FF000000"/>
            </x14:dataBar>
          </x14:cfRule>
          <xm:sqref>F103</xm:sqref>
        </x14:conditionalFormatting>
        <x14:conditionalFormatting xmlns:xm="http://schemas.microsoft.com/office/excel/2006/main">
          <x14:cfRule type="dataBar" id="{B41223BD-2819-4FBD-A6AA-8D4B8B72A305}">
            <x14:dataBar minLength="0" maxLength="100" gradient="0">
              <x14:cfvo type="num">
                <xm:f>0</xm:f>
              </x14:cfvo>
              <x14:cfvo type="num">
                <xm:f>1</xm:f>
              </x14:cfvo>
              <x14:negativeFillColor rgb="FFFF0000"/>
              <x14:axisColor rgb="FF000000"/>
            </x14:dataBar>
          </x14:cfRule>
          <xm:sqref>F105</xm:sqref>
        </x14:conditionalFormatting>
        <x14:conditionalFormatting xmlns:xm="http://schemas.microsoft.com/office/excel/2006/main">
          <x14:cfRule type="dataBar" id="{0C979EAE-9BDF-42F0-8770-42BAF52952D8}">
            <x14:dataBar minLength="0" maxLength="100" gradient="0">
              <x14:cfvo type="num">
                <xm:f>0</xm:f>
              </x14:cfvo>
              <x14:cfvo type="num">
                <xm:f>1</xm:f>
              </x14:cfvo>
              <x14:negativeFillColor rgb="FFFF0000"/>
              <x14:axisColor rgb="FF000000"/>
            </x14:dataBar>
          </x14:cfRule>
          <xm:sqref>F107 F115</xm:sqref>
        </x14:conditionalFormatting>
        <x14:conditionalFormatting xmlns:xm="http://schemas.microsoft.com/office/excel/2006/main">
          <x14:cfRule type="dataBar" id="{EF10EDB4-A028-460F-9478-474218B1F6BC}">
            <x14:dataBar minLength="0" maxLength="100" gradient="0">
              <x14:cfvo type="num">
                <xm:f>0</xm:f>
              </x14:cfvo>
              <x14:cfvo type="num">
                <xm:f>1</xm:f>
              </x14:cfvo>
              <x14:negativeFillColor rgb="FFFF0000"/>
              <x14:axisColor rgb="FF000000"/>
            </x14:dataBar>
          </x14:cfRule>
          <xm:sqref>F111</xm:sqref>
        </x14:conditionalFormatting>
        <x14:conditionalFormatting xmlns:xm="http://schemas.microsoft.com/office/excel/2006/main">
          <x14:cfRule type="dataBar" id="{202AE604-BAD7-4D3A-BB0C-D25942792A54}">
            <x14:dataBar minLength="0" maxLength="100" gradient="0">
              <x14:cfvo type="num">
                <xm:f>0</xm:f>
              </x14:cfvo>
              <x14:cfvo type="num">
                <xm:f>1</xm:f>
              </x14:cfvo>
              <x14:negativeFillColor rgb="FFFF0000"/>
              <x14:axisColor rgb="FF000000"/>
            </x14:dataBar>
          </x14:cfRule>
          <xm:sqref>F113</xm:sqref>
        </x14:conditionalFormatting>
        <x14:conditionalFormatting xmlns:xm="http://schemas.microsoft.com/office/excel/2006/main">
          <x14:cfRule type="dataBar" id="{570F7532-631A-4EDD-972F-DABAC3B3E8FD}">
            <x14:dataBar minLength="0" maxLength="100" gradient="0">
              <x14:cfvo type="num">
                <xm:f>0</xm:f>
              </x14:cfvo>
              <x14:cfvo type="num">
                <xm:f>1</xm:f>
              </x14:cfvo>
              <x14:negativeFillColor rgb="FFFF0000"/>
              <x14:axisColor rgb="FF000000"/>
            </x14:dataBar>
          </x14:cfRule>
          <xm:sqref>G193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6BF7-FB01-4D3E-A400-1D27B455124A}">
  <sheetPr>
    <pageSetUpPr autoPageBreaks="0" fitToPage="1"/>
  </sheetPr>
  <dimension ref="A1:Q191"/>
  <sheetViews>
    <sheetView tabSelected="1" topLeftCell="D70" zoomScale="40" zoomScaleNormal="40" zoomScalePageLayoutView="25" workbookViewId="0">
      <selection activeCell="F40" sqref="F40:L40"/>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56.5703125" style="124" customWidth="1"/>
    <col min="8" max="8" width="45" style="124" customWidth="1"/>
    <col min="9" max="9" width="41.42578125" style="124" customWidth="1"/>
    <col min="10" max="10" width="46.2851562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22" t="str">
        <f>'CC 2023'!E2</f>
        <v>Employee Name</v>
      </c>
      <c r="F2" s="522"/>
      <c r="G2" s="522"/>
      <c r="H2" s="522"/>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x14ac:dyDescent="0.35">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510" t="s">
        <v>84</v>
      </c>
      <c r="G6" s="510"/>
      <c r="H6" s="510"/>
      <c r="I6" s="510"/>
      <c r="J6" s="510"/>
      <c r="K6" s="510"/>
      <c r="L6" s="510"/>
      <c r="M6" s="154"/>
      <c r="O6" s="124"/>
    </row>
    <row r="7" spans="1:17" s="148" customFormat="1" ht="50.45" customHeight="1" x14ac:dyDescent="0.35">
      <c r="A7" s="100"/>
      <c r="B7" s="100"/>
      <c r="C7" s="101"/>
      <c r="D7" s="107"/>
      <c r="E7" s="105" t="s">
        <v>3</v>
      </c>
      <c r="F7" s="510" t="s">
        <v>86</v>
      </c>
      <c r="G7" s="510"/>
      <c r="H7" s="510"/>
      <c r="I7" s="510"/>
      <c r="J7" s="510"/>
      <c r="K7" s="510"/>
      <c r="L7" s="510"/>
      <c r="M7" s="154"/>
      <c r="O7" s="124"/>
    </row>
    <row r="8" spans="1:17" s="148" customFormat="1" ht="50.45" customHeight="1" x14ac:dyDescent="0.35">
      <c r="A8" s="100"/>
      <c r="B8" s="100"/>
      <c r="C8" s="101"/>
      <c r="D8" s="103"/>
      <c r="E8" s="106" t="s">
        <v>4</v>
      </c>
      <c r="F8" s="241">
        <v>45475</v>
      </c>
      <c r="G8" s="242"/>
      <c r="H8" s="242"/>
      <c r="I8" s="242"/>
      <c r="J8" s="242"/>
      <c r="K8" s="242"/>
      <c r="L8" s="243"/>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c r="G10" s="245"/>
      <c r="H10" s="245"/>
      <c r="I10" s="245"/>
      <c r="J10" s="245"/>
      <c r="K10" s="245"/>
      <c r="L10" s="246"/>
      <c r="M10" s="151"/>
      <c r="O10" s="149"/>
      <c r="Q10" s="124"/>
    </row>
    <row r="11" spans="1:17" s="148" customFormat="1" ht="50.45" customHeight="1" x14ac:dyDescent="0.35">
      <c r="C11" s="155"/>
      <c r="D11" s="156"/>
      <c r="E11" s="106" t="s">
        <v>6</v>
      </c>
      <c r="F11" s="247"/>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x14ac:dyDescent="0.35">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- 00/01/1900</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thickBot="1" x14ac:dyDescent="0.4">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- 00/01/1900</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thickBot="1" x14ac:dyDescent="0.4">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x14ac:dyDescent="0.35">
      <c r="D27" s="158"/>
      <c r="E27" s="107"/>
      <c r="F27" s="107"/>
      <c r="G27" s="107"/>
      <c r="H27" s="107"/>
      <c r="I27" s="107"/>
      <c r="J27" s="107"/>
      <c r="K27" s="107"/>
      <c r="L27" s="107"/>
      <c r="M27" s="44"/>
    </row>
    <row r="28" spans="4:13" ht="67.5" customHeight="1" x14ac:dyDescent="0.35">
      <c r="D28" s="44"/>
      <c r="E28" s="118" t="s">
        <v>17</v>
      </c>
      <c r="F28" s="476" t="s">
        <v>121</v>
      </c>
      <c r="G28" s="477"/>
      <c r="H28" s="477"/>
      <c r="I28" s="477"/>
      <c r="J28" s="477"/>
      <c r="K28" s="478"/>
      <c r="L28" s="287"/>
      <c r="M28" s="44"/>
    </row>
    <row r="29" spans="4:13" ht="43.5" customHeight="1" x14ac:dyDescent="0.35">
      <c r="D29" s="158"/>
      <c r="E29" s="270" t="str">
        <f>CONCATENATE("Mid-year meeting - ", TEXT($F$10,"dd/mm/yyyy"))</f>
        <v>Mid-year meeting - 00/01/1900</v>
      </c>
      <c r="F29" s="117"/>
      <c r="G29" s="272" t="str">
        <f>'CC 2023'!E2</f>
        <v>Employee Name</v>
      </c>
      <c r="H29" s="273"/>
      <c r="I29" s="274"/>
      <c r="J29" s="275" t="str">
        <f>F7</f>
        <v xml:space="preserve">Anael </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- 00/01/1900</v>
      </c>
      <c r="F31" s="117"/>
      <c r="G31" s="272" t="str">
        <f>'CC 2023'!E2</f>
        <v>Employee Name</v>
      </c>
      <c r="H31" s="273"/>
      <c r="I31" s="274"/>
      <c r="J31" s="275" t="str">
        <f>F7</f>
        <v xml:space="preserve">Anael </v>
      </c>
      <c r="K31" s="273"/>
      <c r="L31" s="276"/>
      <c r="M31" s="44"/>
    </row>
    <row r="32" spans="4:13" ht="110.25" customHeight="1" x14ac:dyDescent="0.35">
      <c r="D32" s="158"/>
      <c r="E32" s="271"/>
      <c r="F32" s="99"/>
      <c r="G32" s="277"/>
      <c r="H32" s="278"/>
      <c r="I32" s="279"/>
      <c r="J32" s="280"/>
      <c r="K32" s="278"/>
      <c r="L32" s="281"/>
      <c r="M32" s="44"/>
    </row>
    <row r="33" spans="4:13" ht="21" customHeight="1" x14ac:dyDescent="0.35">
      <c r="D33" s="158"/>
      <c r="E33" s="44"/>
      <c r="F33" s="44"/>
      <c r="G33" s="44"/>
      <c r="H33" s="44"/>
      <c r="I33" s="44"/>
      <c r="J33" s="44"/>
      <c r="K33" s="44"/>
      <c r="L33" s="44"/>
      <c r="M33" s="44"/>
    </row>
    <row r="34" spans="4:13" ht="67.5" customHeight="1" x14ac:dyDescent="0.35">
      <c r="D34" s="158"/>
      <c r="E34" s="118" t="s">
        <v>18</v>
      </c>
      <c r="F34" s="476" t="s">
        <v>129</v>
      </c>
      <c r="G34" s="477"/>
      <c r="H34" s="477"/>
      <c r="I34" s="477"/>
      <c r="J34" s="477"/>
      <c r="K34" s="478"/>
      <c r="L34" s="284"/>
      <c r="M34" s="44"/>
    </row>
    <row r="35" spans="4:13" ht="43.5" customHeight="1" x14ac:dyDescent="0.35">
      <c r="D35" s="158"/>
      <c r="E35" s="270" t="str">
        <f>CONCATENATE("Mid-year meeting - ", TEXT($F$10,"dd/mm/yyyy"))</f>
        <v>Mid-year meeting - 00/01/1900</v>
      </c>
      <c r="F35" s="117"/>
      <c r="G35" s="272" t="str">
        <f>'CC 2023'!E2</f>
        <v>Employee Name</v>
      </c>
      <c r="H35" s="273"/>
      <c r="I35" s="274"/>
      <c r="J35" s="275" t="str">
        <f>F7</f>
        <v xml:space="preserve">Anael </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- 00/01/1900</v>
      </c>
      <c r="F37" s="117"/>
      <c r="G37" s="272" t="str">
        <f>'CC 2023'!E2</f>
        <v>Employee Name</v>
      </c>
      <c r="H37" s="273"/>
      <c r="I37" s="274"/>
      <c r="J37" s="275" t="str">
        <f>F7</f>
        <v xml:space="preserve">Anael </v>
      </c>
      <c r="K37" s="273"/>
      <c r="L37" s="276"/>
      <c r="M37" s="44"/>
    </row>
    <row r="38" spans="4:13" ht="144.94999999999999" customHeight="1" thickBot="1" x14ac:dyDescent="0.4">
      <c r="D38" s="158"/>
      <c r="E38" s="271"/>
      <c r="F38" s="99"/>
      <c r="G38" s="277"/>
      <c r="H38" s="278"/>
      <c r="I38" s="279"/>
      <c r="J38" s="280"/>
      <c r="K38" s="278"/>
      <c r="L38" s="281"/>
      <c r="M38" s="44"/>
    </row>
    <row r="39" spans="4:13" ht="21" customHeight="1" x14ac:dyDescent="0.35">
      <c r="D39" s="158"/>
      <c r="E39" s="44"/>
      <c r="F39" s="44"/>
      <c r="G39" s="44"/>
      <c r="H39" s="44"/>
      <c r="I39" s="44"/>
      <c r="J39" s="44"/>
      <c r="K39" s="44"/>
      <c r="L39" s="44"/>
      <c r="M39" s="44"/>
    </row>
    <row r="40" spans="4:13" ht="67.5" customHeight="1" x14ac:dyDescent="0.35">
      <c r="D40" s="158"/>
      <c r="E40" s="118" t="s">
        <v>19</v>
      </c>
      <c r="F40" s="476" t="s">
        <v>135</v>
      </c>
      <c r="G40" s="477"/>
      <c r="H40" s="477"/>
      <c r="I40" s="477"/>
      <c r="J40" s="477"/>
      <c r="K40" s="478"/>
      <c r="L40" s="284"/>
      <c r="M40" s="44"/>
    </row>
    <row r="41" spans="4:13" ht="43.5" customHeight="1" x14ac:dyDescent="0.35">
      <c r="D41" s="158"/>
      <c r="E41" s="270" t="str">
        <f>CONCATENATE("Mid-year meeting - ", TEXT($F$10,"dd/mm/yyyy"))</f>
        <v>Mid-year meeting - 00/01/1900</v>
      </c>
      <c r="F41" s="117"/>
      <c r="G41" s="272" t="str">
        <f>'CC 2023'!E2</f>
        <v>Employee Name</v>
      </c>
      <c r="H41" s="273"/>
      <c r="I41" s="274"/>
      <c r="J41" s="275" t="str">
        <f>F7</f>
        <v xml:space="preserve">Anael </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- 00/01/1900</v>
      </c>
      <c r="F43" s="117"/>
      <c r="G43" s="272" t="str">
        <f>'CC 2023'!E2</f>
        <v>Employee Name</v>
      </c>
      <c r="H43" s="273"/>
      <c r="I43" s="274"/>
      <c r="J43" s="275" t="str">
        <f>F7</f>
        <v xml:space="preserve">Anael </v>
      </c>
      <c r="K43" s="273"/>
      <c r="L43" s="276"/>
      <c r="M43" s="44"/>
    </row>
    <row r="44" spans="4:13" ht="113.45" customHeight="1" thickBot="1" x14ac:dyDescent="0.4">
      <c r="D44" s="158"/>
      <c r="E44" s="271"/>
      <c r="F44" s="99"/>
      <c r="G44" s="294"/>
      <c r="H44" s="295"/>
      <c r="I44" s="296"/>
      <c r="J44" s="280"/>
      <c r="K44" s="278"/>
      <c r="L44" s="281"/>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282"/>
      <c r="G46" s="283"/>
      <c r="H46" s="283"/>
      <c r="I46" s="283"/>
      <c r="J46" s="283"/>
      <c r="K46" s="283"/>
      <c r="L46" s="284"/>
      <c r="M46" s="44"/>
    </row>
    <row r="47" spans="4:13" ht="43.5" customHeight="1" x14ac:dyDescent="0.35">
      <c r="D47" s="156"/>
      <c r="E47" s="270" t="str">
        <f>CONCATENATE("Mid-year meeting - ", TEXT($F$10,"dd/mm/yyyy"))</f>
        <v>Mid-year meeting - 00/01/1900</v>
      </c>
      <c r="F47" s="117"/>
      <c r="G47" s="272" t="str">
        <f>'CC 2023'!E2</f>
        <v>Employee Name</v>
      </c>
      <c r="H47" s="273"/>
      <c r="I47" s="274"/>
      <c r="J47" s="275" t="str">
        <f>F7</f>
        <v xml:space="preserve">Anael </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- 00/01/1900</v>
      </c>
      <c r="F49" s="117"/>
      <c r="G49" s="272" t="str">
        <f>'CC 2023'!E2</f>
        <v>Employee Name</v>
      </c>
      <c r="H49" s="273"/>
      <c r="I49" s="274"/>
      <c r="J49" s="275" t="str">
        <f>F7</f>
        <v xml:space="preserve">Anael </v>
      </c>
      <c r="K49" s="273"/>
      <c r="L49" s="276"/>
      <c r="M49" s="44"/>
    </row>
    <row r="50" spans="4:13" ht="110.25" customHeight="1" thickBot="1" x14ac:dyDescent="0.4">
      <c r="D50" s="156"/>
      <c r="E50" s="271"/>
      <c r="F50" s="99"/>
      <c r="G50" s="277"/>
      <c r="H50" s="278"/>
      <c r="I50" s="279"/>
      <c r="J50" s="280"/>
      <c r="K50" s="278"/>
      <c r="L50" s="281"/>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282"/>
      <c r="G52" s="283"/>
      <c r="H52" s="283"/>
      <c r="I52" s="283"/>
      <c r="J52" s="283"/>
      <c r="K52" s="283"/>
      <c r="L52" s="284"/>
      <c r="M52" s="44"/>
    </row>
    <row r="53" spans="4:13" ht="43.5" customHeight="1" x14ac:dyDescent="0.35">
      <c r="D53" s="156"/>
      <c r="E53" s="270" t="str">
        <f>CONCATENATE("Mid-year meeting - ", TEXT($F$10,"dd/mm/yyyy"))</f>
        <v>Mid-year meeting - 00/01/1900</v>
      </c>
      <c r="F53" s="117"/>
      <c r="G53" s="272" t="str">
        <f>'CC 2023'!E2</f>
        <v>Employee Name</v>
      </c>
      <c r="H53" s="273"/>
      <c r="I53" s="274"/>
      <c r="J53" s="275" t="str">
        <f>F7</f>
        <v xml:space="preserve">Anael </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- 00/01/1900</v>
      </c>
      <c r="F55" s="117"/>
      <c r="G55" s="272" t="str">
        <f>'CC 2023'!E2</f>
        <v>Employee Name</v>
      </c>
      <c r="H55" s="273"/>
      <c r="I55" s="274"/>
      <c r="J55" s="275" t="str">
        <f>F7</f>
        <v xml:space="preserve">Anael </v>
      </c>
      <c r="K55" s="273"/>
      <c r="L55" s="276"/>
      <c r="M55" s="44"/>
    </row>
    <row r="56" spans="4:13" ht="110.25" customHeight="1" thickBot="1" x14ac:dyDescent="0.4">
      <c r="D56" s="156"/>
      <c r="E56" s="271"/>
      <c r="F56" s="99"/>
      <c r="G56" s="277"/>
      <c r="H56" s="278"/>
      <c r="I56" s="279"/>
      <c r="J56" s="280"/>
      <c r="K56" s="278"/>
      <c r="L56" s="281"/>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286"/>
      <c r="G58" s="286"/>
      <c r="H58" s="286"/>
      <c r="I58" s="286"/>
      <c r="J58" s="286"/>
      <c r="K58" s="286"/>
      <c r="L58" s="287"/>
      <c r="M58" s="44"/>
    </row>
    <row r="59" spans="4:13" ht="43.5" customHeight="1" x14ac:dyDescent="0.35">
      <c r="D59" s="156"/>
      <c r="E59" s="270" t="str">
        <f>CONCATENATE("Mid-year meeting - ", TEXT($F$10,"dd/mm/yyyy"))</f>
        <v>Mid-year meeting - 00/01/1900</v>
      </c>
      <c r="F59" s="117"/>
      <c r="G59" s="272" t="str">
        <f>'CC 2023'!E2</f>
        <v>Employee Name</v>
      </c>
      <c r="H59" s="273"/>
      <c r="I59" s="274"/>
      <c r="J59" s="275" t="str">
        <f>F7</f>
        <v xml:space="preserve">Anael </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- 00/01/1900</v>
      </c>
      <c r="F61" s="117"/>
      <c r="G61" s="272" t="str">
        <f>'CC 2023'!E2</f>
        <v>Employee Name</v>
      </c>
      <c r="H61" s="273"/>
      <c r="I61" s="274"/>
      <c r="J61" s="275" t="str">
        <f>F7</f>
        <v xml:space="preserve">Anael </v>
      </c>
      <c r="K61" s="273"/>
      <c r="L61" s="276"/>
      <c r="M61" s="44"/>
    </row>
    <row r="62" spans="4:13" ht="110.25" customHeight="1" thickBot="1" x14ac:dyDescent="0.4">
      <c r="D62" s="156"/>
      <c r="E62" s="271"/>
      <c r="F62" s="145"/>
      <c r="G62" s="297"/>
      <c r="H62" s="298"/>
      <c r="I62" s="299"/>
      <c r="J62" s="280"/>
      <c r="K62" s="278"/>
      <c r="L62" s="281"/>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286"/>
      <c r="G64" s="286"/>
      <c r="H64" s="286"/>
      <c r="I64" s="286"/>
      <c r="J64" s="286"/>
      <c r="K64" s="286"/>
      <c r="L64" s="287"/>
      <c r="M64" s="44"/>
    </row>
    <row r="65" spans="3:15" ht="43.5" customHeight="1" x14ac:dyDescent="0.35">
      <c r="D65" s="156"/>
      <c r="E65" s="270" t="str">
        <f>CONCATENATE("Mid-year meeting - ", TEXT($F$10,"dd/mm/yyyy"))</f>
        <v>Mid-year meeting - 00/01/1900</v>
      </c>
      <c r="F65" s="117"/>
      <c r="G65" s="272" t="str">
        <f>'CC 2023'!E2</f>
        <v>Employee Name</v>
      </c>
      <c r="H65" s="273"/>
      <c r="I65" s="274"/>
      <c r="J65" s="275" t="str">
        <f>F7</f>
        <v xml:space="preserve">Anael </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- 00/01/1900</v>
      </c>
      <c r="F67" s="117"/>
      <c r="G67" s="272" t="str">
        <f>'CC 2023'!E2</f>
        <v>Employee Name</v>
      </c>
      <c r="H67" s="273"/>
      <c r="I67" s="274"/>
      <c r="J67" s="275" t="str">
        <f>F7</f>
        <v xml:space="preserve">Anael </v>
      </c>
      <c r="K67" s="273"/>
      <c r="L67" s="276"/>
      <c r="M67" s="44"/>
    </row>
    <row r="68" spans="3:15" ht="110.25" customHeight="1" thickBot="1" x14ac:dyDescent="0.4">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60" t="s">
        <v>25</v>
      </c>
      <c r="F71" s="260"/>
      <c r="G71" s="260"/>
      <c r="H71" s="260"/>
      <c r="I71" s="260"/>
      <c r="J71" s="260"/>
      <c r="K71" s="260"/>
      <c r="L71" s="260"/>
      <c r="M71" s="44"/>
    </row>
    <row r="72" spans="3:15" s="163" customFormat="1" ht="78.599999999999994" customHeight="1" thickBot="1" x14ac:dyDescent="0.4">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2"/>
      <c r="K74" s="81"/>
      <c r="L74" s="89"/>
      <c r="M74" s="44"/>
    </row>
    <row r="75" spans="3:15" ht="57"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thickBot="1" x14ac:dyDescent="0.4">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x14ac:dyDescent="0.35">
      <c r="D85" s="158"/>
      <c r="E85" s="260" t="s">
        <v>35</v>
      </c>
      <c r="F85" s="260"/>
      <c r="G85" s="123" t="s">
        <v>36</v>
      </c>
      <c r="H85" s="123"/>
      <c r="I85" s="123"/>
      <c r="J85" s="107"/>
      <c r="K85" s="107"/>
      <c r="L85" s="107"/>
      <c r="M85" s="44"/>
    </row>
    <row r="86" spans="3:15" ht="74.25" customHeight="1" x14ac:dyDescent="0.35">
      <c r="C86" s="164"/>
      <c r="D86" s="158"/>
      <c r="E86" s="57"/>
      <c r="F86" s="523" t="s">
        <v>37</v>
      </c>
      <c r="G86" s="306"/>
      <c r="H86" s="306"/>
      <c r="I86" s="306"/>
      <c r="J86" s="306"/>
      <c r="K86" s="306"/>
      <c r="L86" s="307"/>
      <c r="M86" s="44"/>
      <c r="O86" s="124"/>
    </row>
    <row r="87" spans="3:15" ht="91.5" customHeight="1" x14ac:dyDescent="0.35">
      <c r="C87" s="164"/>
      <c r="D87" s="158"/>
      <c r="E87" s="56" t="s">
        <v>38</v>
      </c>
      <c r="F87" s="524" t="s">
        <v>188</v>
      </c>
      <c r="G87" s="313"/>
      <c r="H87" s="313"/>
      <c r="I87" s="313"/>
      <c r="J87" s="313"/>
      <c r="K87" s="313"/>
      <c r="L87" s="314"/>
      <c r="M87" s="44"/>
      <c r="O87" s="124"/>
    </row>
    <row r="88" spans="3:15" ht="53.45" customHeight="1" x14ac:dyDescent="0.35">
      <c r="C88" s="164"/>
      <c r="D88" s="158"/>
      <c r="E88" s="315" t="s">
        <v>40</v>
      </c>
      <c r="F88" s="525" t="s">
        <v>41</v>
      </c>
      <c r="G88" s="317"/>
      <c r="H88" s="318"/>
      <c r="I88" s="70" t="s">
        <v>42</v>
      </c>
      <c r="J88" s="70" t="s">
        <v>43</v>
      </c>
      <c r="K88" s="70" t="s">
        <v>44</v>
      </c>
      <c r="L88" s="125" t="s">
        <v>45</v>
      </c>
      <c r="M88" s="44"/>
    </row>
    <row r="89" spans="3:15" ht="131.1" customHeight="1" x14ac:dyDescent="0.35">
      <c r="C89" s="164"/>
      <c r="D89" s="158"/>
      <c r="E89" s="315"/>
      <c r="F89" s="526" t="s">
        <v>189</v>
      </c>
      <c r="G89" s="527"/>
      <c r="H89" s="528"/>
      <c r="I89" s="226" t="s">
        <v>190</v>
      </c>
      <c r="J89" s="226" t="s">
        <v>191</v>
      </c>
      <c r="K89" s="226" t="s">
        <v>192</v>
      </c>
      <c r="L89" s="227" t="s">
        <v>193</v>
      </c>
      <c r="M89" s="44"/>
      <c r="O89" s="322" t="b">
        <f>IF(L89="Fails to meet objective", 4, IF(L89="Partially meets objective", 3, IF(L89="Meets expectations", 2, IF(L89="Exceeds expectations", 1,IF(L89="To be done", "")))))</f>
        <v>0</v>
      </c>
    </row>
    <row r="90" spans="3:15" ht="53.45" customHeight="1" x14ac:dyDescent="0.35">
      <c r="C90" s="164"/>
      <c r="D90" s="158"/>
      <c r="E90" s="315"/>
      <c r="F90" s="529" t="str">
        <f>'CC 2023'!E2</f>
        <v>Employee Name</v>
      </c>
      <c r="G90" s="530"/>
      <c r="H90" s="530"/>
      <c r="I90" s="530"/>
      <c r="J90" s="530"/>
      <c r="K90" s="530"/>
      <c r="L90" s="531"/>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- 00/01/1900</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- 00/01/1900</v>
      </c>
      <c r="F93" s="330"/>
      <c r="G93" s="331"/>
      <c r="H93" s="334"/>
      <c r="I93" s="335"/>
      <c r="J93" s="335"/>
      <c r="K93" s="335"/>
      <c r="L93" s="336"/>
      <c r="M93" s="44"/>
      <c r="O93" s="322"/>
    </row>
    <row r="94" spans="3:15" ht="53.45" customHeight="1" x14ac:dyDescent="0.35">
      <c r="C94" s="164"/>
      <c r="D94" s="158"/>
      <c r="E94" s="315"/>
      <c r="F94" s="342" t="str">
        <f>F7</f>
        <v xml:space="preserve">Anael </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- 00/01/1900</v>
      </c>
      <c r="F96" s="330"/>
      <c r="G96" s="331"/>
      <c r="H96" s="330"/>
      <c r="I96" s="332"/>
      <c r="J96" s="332"/>
      <c r="K96" s="332"/>
      <c r="L96" s="333"/>
      <c r="M96" s="44"/>
      <c r="O96" s="322"/>
    </row>
    <row r="97" spans="3:15" ht="135.94999999999999" customHeight="1" x14ac:dyDescent="0.35">
      <c r="C97" s="164"/>
      <c r="D97" s="158"/>
      <c r="E97" s="126" t="str">
        <f>CONCATENATE("End-of-year meeting - ", TEXT($F$11,"dd/mm/yyyy"))</f>
        <v>End-of-year meeting - 00/01/1900</v>
      </c>
      <c r="F97" s="532"/>
      <c r="G97" s="533"/>
      <c r="H97" s="534"/>
      <c r="I97" s="535"/>
      <c r="J97" s="535"/>
      <c r="K97" s="535"/>
      <c r="L97" s="536"/>
      <c r="M97" s="44"/>
      <c r="O97" s="322"/>
    </row>
    <row r="98" spans="3:15" ht="74.25" customHeight="1" x14ac:dyDescent="0.35">
      <c r="C98" s="164"/>
      <c r="D98" s="158"/>
      <c r="E98" s="219"/>
      <c r="F98" s="537" t="s">
        <v>53</v>
      </c>
      <c r="G98" s="537"/>
      <c r="H98" s="537"/>
      <c r="I98" s="537"/>
      <c r="J98" s="537"/>
      <c r="K98" s="537"/>
      <c r="L98" s="538"/>
      <c r="M98" s="44"/>
      <c r="O98" s="124"/>
    </row>
    <row r="99" spans="3:15" ht="91.5" customHeight="1" x14ac:dyDescent="0.35">
      <c r="C99" s="164"/>
      <c r="D99" s="158"/>
      <c r="E99" s="56" t="s">
        <v>38</v>
      </c>
      <c r="F99" s="338" t="s">
        <v>194</v>
      </c>
      <c r="G99" s="338"/>
      <c r="H99" s="338"/>
      <c r="I99" s="338"/>
      <c r="J99" s="338"/>
      <c r="K99" s="338"/>
      <c r="L99" s="339"/>
      <c r="M99" s="44"/>
      <c r="O99" s="124"/>
    </row>
    <row r="100" spans="3:15" ht="53.45" customHeight="1" x14ac:dyDescent="0.35">
      <c r="C100" s="164"/>
      <c r="D100" s="158"/>
      <c r="E100" s="315" t="s">
        <v>40</v>
      </c>
      <c r="F100" s="340" t="s">
        <v>41</v>
      </c>
      <c r="G100" s="340"/>
      <c r="H100" s="340"/>
      <c r="I100" s="70" t="s">
        <v>42</v>
      </c>
      <c r="J100" s="70" t="s">
        <v>43</v>
      </c>
      <c r="K100" s="70" t="s">
        <v>44</v>
      </c>
      <c r="L100" s="125" t="s">
        <v>45</v>
      </c>
      <c r="M100" s="44"/>
    </row>
    <row r="101" spans="3:15" ht="177.75" customHeight="1" x14ac:dyDescent="0.35">
      <c r="C101" s="164"/>
      <c r="D101" s="158"/>
      <c r="E101" s="315"/>
      <c r="F101" s="344" t="s">
        <v>195</v>
      </c>
      <c r="G101" s="345"/>
      <c r="H101" s="346"/>
      <c r="I101" s="143" t="s">
        <v>196</v>
      </c>
      <c r="J101" s="143" t="s">
        <v>197</v>
      </c>
      <c r="K101" s="143" t="s">
        <v>198</v>
      </c>
      <c r="L101" s="218" t="s">
        <v>199</v>
      </c>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- 00/01/1900</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- 00/01/1900</v>
      </c>
      <c r="F105" s="330"/>
      <c r="G105" s="331"/>
      <c r="H105" s="334"/>
      <c r="I105" s="335"/>
      <c r="J105" s="335"/>
      <c r="K105" s="335"/>
      <c r="L105" s="336"/>
      <c r="M105" s="44"/>
      <c r="N105" s="165"/>
      <c r="O105" s="322"/>
    </row>
    <row r="106" spans="3:15" ht="53.45" customHeight="1" x14ac:dyDescent="0.35">
      <c r="C106" s="164"/>
      <c r="D106" s="158"/>
      <c r="E106" s="315"/>
      <c r="F106" s="342" t="str">
        <f>F7</f>
        <v xml:space="preserve">Anael </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- 00/01/1900</v>
      </c>
      <c r="F108" s="330"/>
      <c r="G108" s="331"/>
      <c r="H108" s="330"/>
      <c r="I108" s="332"/>
      <c r="J108" s="332"/>
      <c r="K108" s="332"/>
      <c r="L108" s="333"/>
      <c r="M108" s="44"/>
      <c r="N108" s="165"/>
      <c r="O108" s="322"/>
    </row>
    <row r="109" spans="3:15" ht="135.94999999999999" customHeight="1" thickBot="1" x14ac:dyDescent="0.4">
      <c r="C109" s="164"/>
      <c r="D109" s="158"/>
      <c r="E109" s="126" t="str">
        <f>CONCATENATE("End-of-year meeting - ", TEXT($F$11,"dd/mm/yyyy"))</f>
        <v>End-of-year meeting - 00/01/1900</v>
      </c>
      <c r="F109" s="330"/>
      <c r="G109" s="331"/>
      <c r="H109" s="334"/>
      <c r="I109" s="335"/>
      <c r="J109" s="335"/>
      <c r="K109" s="335"/>
      <c r="L109" s="336"/>
      <c r="M109" s="44"/>
      <c r="N109" s="165"/>
      <c r="O109" s="322"/>
    </row>
    <row r="110" spans="3:15" ht="74.25" customHeight="1" thickBot="1" x14ac:dyDescent="0.4">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338" t="s">
        <v>200</v>
      </c>
      <c r="G111" s="338"/>
      <c r="H111" s="338"/>
      <c r="I111" s="338"/>
      <c r="J111" s="338"/>
      <c r="K111" s="338"/>
      <c r="L111" s="339"/>
      <c r="M111" s="44"/>
      <c r="O111" s="124"/>
    </row>
    <row r="112" spans="3:15" ht="53.45" customHeight="1" x14ac:dyDescent="0.35">
      <c r="C112" s="164"/>
      <c r="D112" s="158"/>
      <c r="E112" s="315" t="s">
        <v>40</v>
      </c>
      <c r="F112" s="340" t="s">
        <v>41</v>
      </c>
      <c r="G112" s="340"/>
      <c r="H112" s="340"/>
      <c r="I112" s="127" t="s">
        <v>42</v>
      </c>
      <c r="J112" s="127" t="s">
        <v>43</v>
      </c>
      <c r="K112" s="127" t="s">
        <v>44</v>
      </c>
      <c r="L112" s="128" t="s">
        <v>45</v>
      </c>
      <c r="M112" s="44"/>
    </row>
    <row r="113" spans="3:15" ht="186.75" customHeight="1" x14ac:dyDescent="0.35">
      <c r="C113" s="164"/>
      <c r="D113" s="158"/>
      <c r="E113" s="315"/>
      <c r="F113" s="344" t="s">
        <v>201</v>
      </c>
      <c r="G113" s="345"/>
      <c r="H113" s="346"/>
      <c r="I113" s="143" t="s">
        <v>202</v>
      </c>
      <c r="J113" s="143" t="s">
        <v>203</v>
      </c>
      <c r="K113" s="143" t="s">
        <v>204</v>
      </c>
      <c r="L113" s="218" t="s">
        <v>205</v>
      </c>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- 00/01/1900</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- 00/01/1900</v>
      </c>
      <c r="F117" s="330"/>
      <c r="G117" s="331"/>
      <c r="H117" s="334"/>
      <c r="I117" s="335"/>
      <c r="J117" s="335"/>
      <c r="K117" s="335"/>
      <c r="L117" s="336"/>
      <c r="M117" s="44"/>
      <c r="O117" s="322"/>
    </row>
    <row r="118" spans="3:15" ht="53.45" customHeight="1" x14ac:dyDescent="0.35">
      <c r="C118" s="164"/>
      <c r="D118" s="158"/>
      <c r="E118" s="315"/>
      <c r="F118" s="342" t="str">
        <f>F7</f>
        <v xml:space="preserve">Anael </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- 00/01/1900</v>
      </c>
      <c r="F120" s="330"/>
      <c r="G120" s="331"/>
      <c r="H120" s="330"/>
      <c r="I120" s="332"/>
      <c r="J120" s="332"/>
      <c r="K120" s="332"/>
      <c r="L120" s="333"/>
      <c r="M120" s="44"/>
      <c r="O120" s="322"/>
    </row>
    <row r="121" spans="3:15" ht="135.94999999999999" customHeight="1" thickBot="1" x14ac:dyDescent="0.4">
      <c r="C121" s="164"/>
      <c r="D121" s="158"/>
      <c r="E121" s="126" t="str">
        <f>CONCATENATE("End-of-year meeting - ", TEXT($F$11,"dd/mm/yyyy"))</f>
        <v>End-of-year meeting - 00/01/1900</v>
      </c>
      <c r="F121" s="330"/>
      <c r="G121" s="331"/>
      <c r="H121" s="334"/>
      <c r="I121" s="335"/>
      <c r="J121" s="335"/>
      <c r="K121" s="335"/>
      <c r="L121" s="336"/>
      <c r="M121" s="44"/>
      <c r="O121" s="322"/>
    </row>
    <row r="122" spans="3:15" ht="74.25" customHeight="1" thickBot="1" x14ac:dyDescent="0.4">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539" t="s">
        <v>206</v>
      </c>
      <c r="G123" s="313"/>
      <c r="H123" s="313"/>
      <c r="I123" s="313"/>
      <c r="J123" s="313"/>
      <c r="K123" s="313"/>
      <c r="L123" s="314"/>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t="s">
        <v>207</v>
      </c>
      <c r="G125" s="345"/>
      <c r="H125" s="346"/>
      <c r="I125" s="143" t="s">
        <v>208</v>
      </c>
      <c r="J125" s="143" t="s">
        <v>209</v>
      </c>
      <c r="K125" s="143" t="s">
        <v>210</v>
      </c>
      <c r="L125" s="218" t="s">
        <v>205</v>
      </c>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- 00/01/1900</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- 00/01/1900</v>
      </c>
      <c r="F129" s="330"/>
      <c r="G129" s="331"/>
      <c r="H129" s="334"/>
      <c r="I129" s="335"/>
      <c r="J129" s="335"/>
      <c r="K129" s="335"/>
      <c r="L129" s="336"/>
      <c r="M129" s="44"/>
      <c r="O129" s="322"/>
    </row>
    <row r="130" spans="3:15" ht="53.45" customHeight="1" x14ac:dyDescent="0.35">
      <c r="C130" s="164"/>
      <c r="D130" s="158"/>
      <c r="E130" s="315"/>
      <c r="F130" s="342" t="str">
        <f>F7</f>
        <v xml:space="preserve">Anael </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- 00/01/1900</v>
      </c>
      <c r="F132" s="330"/>
      <c r="G132" s="331"/>
      <c r="H132" s="330"/>
      <c r="I132" s="332"/>
      <c r="J132" s="332"/>
      <c r="K132" s="332"/>
      <c r="L132" s="333"/>
      <c r="M132" s="44"/>
      <c r="O132" s="322"/>
    </row>
    <row r="133" spans="3:15" ht="135.94999999999999" customHeight="1" thickBot="1" x14ac:dyDescent="0.4">
      <c r="C133" s="164"/>
      <c r="D133" s="158"/>
      <c r="E133" s="126" t="str">
        <f>CONCATENATE("End-of-year meeting - ", TEXT($F$11,"dd/mm/yyyy"))</f>
        <v>End-of-year meeting - 00/01/1900</v>
      </c>
      <c r="F133" s="330"/>
      <c r="G133" s="331"/>
      <c r="H133" s="334"/>
      <c r="I133" s="335"/>
      <c r="J133" s="335"/>
      <c r="K133" s="335"/>
      <c r="L133" s="336"/>
      <c r="M133" s="44"/>
      <c r="O133" s="322"/>
    </row>
    <row r="134" spans="3:15" ht="74.25" customHeight="1" thickBot="1" x14ac:dyDescent="0.4">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337" t="s">
        <v>211</v>
      </c>
      <c r="G135" s="338"/>
      <c r="H135" s="338"/>
      <c r="I135" s="338"/>
      <c r="J135" s="338"/>
      <c r="K135" s="338"/>
      <c r="L135" s="339"/>
      <c r="M135" s="44"/>
      <c r="O135" s="124"/>
    </row>
    <row r="136" spans="3:15" ht="53.45" customHeight="1" x14ac:dyDescent="0.35">
      <c r="C136" s="164"/>
      <c r="D136" s="158"/>
      <c r="E136" s="352" t="s">
        <v>40</v>
      </c>
      <c r="F136" s="340" t="s">
        <v>41</v>
      </c>
      <c r="G136" s="340"/>
      <c r="H136" s="340"/>
      <c r="I136" s="127" t="s">
        <v>42</v>
      </c>
      <c r="J136" s="127" t="s">
        <v>43</v>
      </c>
      <c r="K136" s="127" t="s">
        <v>44</v>
      </c>
      <c r="L136" s="128" t="s">
        <v>45</v>
      </c>
      <c r="M136" s="44"/>
    </row>
    <row r="137" spans="3:15" ht="220.5" customHeight="1" x14ac:dyDescent="0.35">
      <c r="C137" s="164"/>
      <c r="D137" s="158"/>
      <c r="E137" s="352"/>
      <c r="F137" s="319" t="s">
        <v>212</v>
      </c>
      <c r="G137" s="345"/>
      <c r="H137" s="346"/>
      <c r="I137" s="143" t="s">
        <v>213</v>
      </c>
      <c r="J137" s="143" t="s">
        <v>214</v>
      </c>
      <c r="K137" s="143" t="s">
        <v>215</v>
      </c>
      <c r="L137" s="218" t="s">
        <v>150</v>
      </c>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- 00/01/1900</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- 00/01/1900</v>
      </c>
      <c r="F141" s="330"/>
      <c r="G141" s="331"/>
      <c r="H141" s="334"/>
      <c r="I141" s="335"/>
      <c r="J141" s="335"/>
      <c r="K141" s="335"/>
      <c r="L141" s="336"/>
      <c r="M141" s="44"/>
      <c r="O141" s="322"/>
    </row>
    <row r="142" spans="3:15" ht="53.45" customHeight="1" x14ac:dyDescent="0.35">
      <c r="C142" s="164"/>
      <c r="D142" s="158"/>
      <c r="E142" s="352"/>
      <c r="F142" s="359" t="str">
        <f>F7</f>
        <v xml:space="preserve">Anael </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- 00/01/1900</v>
      </c>
      <c r="F144" s="330"/>
      <c r="G144" s="331"/>
      <c r="H144" s="330"/>
      <c r="I144" s="332"/>
      <c r="J144" s="332"/>
      <c r="K144" s="332"/>
      <c r="L144" s="333"/>
      <c r="M144" s="44"/>
      <c r="O144" s="322"/>
    </row>
    <row r="145" spans="3:17" ht="135.94999999999999" customHeight="1" x14ac:dyDescent="0.35">
      <c r="C145" s="164"/>
      <c r="D145" s="158"/>
      <c r="E145" s="129" t="str">
        <f>CONCATENATE("End-of-year meeting - ", TEXT($F$11,"dd/mm/yyyy"))</f>
        <v>End-of-year meeting - 00/01/1900</v>
      </c>
      <c r="F145" s="330"/>
      <c r="G145" s="331"/>
      <c r="H145" s="334"/>
      <c r="I145" s="335"/>
      <c r="J145" s="335"/>
      <c r="K145" s="335"/>
      <c r="L145" s="336"/>
      <c r="M145" s="44"/>
      <c r="O145" s="322"/>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thickBot="1" x14ac:dyDescent="0.4">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- 00/01/1900</v>
      </c>
      <c r="F154" s="224" t="s">
        <v>64</v>
      </c>
      <c r="G154" s="368" t="str">
        <f>'CC 2023'!E2</f>
        <v>Employee Name</v>
      </c>
      <c r="H154" s="368"/>
      <c r="I154" s="368"/>
      <c r="J154" s="368" t="str">
        <f>F7</f>
        <v xml:space="preserve">Anael </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- 00/01/1900</v>
      </c>
      <c r="F156" s="224" t="s">
        <v>64</v>
      </c>
      <c r="G156" s="361" t="str">
        <f>'CC 2023'!E2</f>
        <v>Employee Name</v>
      </c>
      <c r="H156" s="361"/>
      <c r="I156" s="361"/>
      <c r="J156" s="361" t="str">
        <f>F7</f>
        <v xml:space="preserve">Anael </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thickBot="1" x14ac:dyDescent="0.4">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- 00/01/1900</v>
      </c>
      <c r="F159" s="224" t="s">
        <v>64</v>
      </c>
      <c r="G159" s="377" t="str">
        <f>'CC 2023'!E2</f>
        <v>Employee Name</v>
      </c>
      <c r="H159" s="378"/>
      <c r="I159" s="379"/>
      <c r="J159" s="380" t="str">
        <f>F7</f>
        <v xml:space="preserve">Anael </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- 00/01/1900</v>
      </c>
      <c r="F161" s="224" t="s">
        <v>64</v>
      </c>
      <c r="G161" s="391" t="str">
        <f>'CC 2023'!E2</f>
        <v>Employee Name</v>
      </c>
      <c r="H161" s="392"/>
      <c r="I161" s="393"/>
      <c r="J161" s="394" t="str">
        <f>F7</f>
        <v xml:space="preserve">Anael </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thickBot="1" x14ac:dyDescent="0.4">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- 00/01/1900</v>
      </c>
      <c r="F164" s="224" t="s">
        <v>64</v>
      </c>
      <c r="G164" s="377" t="str">
        <f>'CC 2023'!E2</f>
        <v>Employee Name</v>
      </c>
      <c r="H164" s="378"/>
      <c r="I164" s="379"/>
      <c r="J164" s="377" t="str">
        <f>F7</f>
        <v xml:space="preserve">Anael </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- 00/01/1900</v>
      </c>
      <c r="F166" s="224" t="s">
        <v>64</v>
      </c>
      <c r="G166" s="391" t="str">
        <f>'CC 2023'!E2</f>
        <v>Employee Name</v>
      </c>
      <c r="H166" s="392"/>
      <c r="I166" s="393"/>
      <c r="J166" s="391" t="str">
        <f>F7</f>
        <v xml:space="preserve">Anael </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thickBot="1" x14ac:dyDescent="0.4">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- 00/01/1900</v>
      </c>
      <c r="F169" s="224" t="s">
        <v>64</v>
      </c>
      <c r="G169" s="368" t="str">
        <f>'CC 2023'!E2</f>
        <v>Employee Name</v>
      </c>
      <c r="H169" s="368"/>
      <c r="I169" s="368"/>
      <c r="J169" s="368" t="str">
        <f>F7</f>
        <v xml:space="preserve">Anael </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- 00/01/1900</v>
      </c>
      <c r="F171" s="224" t="s">
        <v>64</v>
      </c>
      <c r="G171" s="361" t="str">
        <f>'CC 2023'!E2</f>
        <v>Employee Name</v>
      </c>
      <c r="H171" s="361"/>
      <c r="I171" s="361"/>
      <c r="J171" s="361" t="str">
        <f>F7</f>
        <v xml:space="preserve">Anael </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t="str">
        <f>F7</f>
        <v xml:space="preserve">Anael </v>
      </c>
      <c r="K177" s="415"/>
      <c r="L177" s="416"/>
      <c r="M177" s="44"/>
      <c r="Q177" s="148"/>
    </row>
    <row r="178" spans="4:17" ht="111" customHeight="1" x14ac:dyDescent="0.35">
      <c r="D178" s="158"/>
      <c r="E178" s="139" t="str">
        <f>CONCATENATE("Mid-year meeting - ",TEXT($F$10,"dd/mm/yyyy"))</f>
        <v>Mid-year meeting - 00/01/1900</v>
      </c>
      <c r="F178" s="176"/>
      <c r="G178" s="373"/>
      <c r="H178" s="373"/>
      <c r="I178" s="373"/>
      <c r="J178" s="418"/>
      <c r="K178" s="418"/>
      <c r="L178" s="419"/>
      <c r="M178" s="44"/>
    </row>
    <row r="179" spans="4:17" ht="111" customHeight="1" x14ac:dyDescent="0.35">
      <c r="D179" s="158"/>
      <c r="E179" s="140" t="str">
        <f>CONCATENATE("End-of-year meeting - ", TEXT($F$11,"dd/mm/yyyy"))</f>
        <v>End-of-year meeting - 00/01/1900</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8" t="s">
        <v>80</v>
      </c>
      <c r="I186" s="428"/>
      <c r="J186" s="428"/>
      <c r="K186" s="428" t="s">
        <v>81</v>
      </c>
      <c r="L186" s="428"/>
      <c r="M186" s="44"/>
    </row>
    <row r="187" spans="4:17" ht="129.75" customHeight="1" x14ac:dyDescent="0.35">
      <c r="D187" s="158"/>
      <c r="E187" s="141" t="str">
        <f>CONCATENATE("Mid-year meeting - ",TEXT($F$10,"dd/mm/yyyy"))</f>
        <v>Mid-year meeting - 00/01/1900</v>
      </c>
      <c r="F187" s="422"/>
      <c r="G187" s="422"/>
      <c r="H187" s="422"/>
      <c r="I187" s="422"/>
      <c r="J187" s="422"/>
      <c r="K187" s="422"/>
      <c r="L187" s="422"/>
      <c r="M187" s="44"/>
    </row>
    <row r="188" spans="4:17" ht="129.75" customHeight="1" x14ac:dyDescent="0.35">
      <c r="D188" s="158"/>
      <c r="E188" s="142" t="str">
        <f>CONCATENATE("End-of-year meeting - ", TEXT($F$11,"dd/mm/yyyy"))</f>
        <v>End-of-year meeting - 00/01/1900</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Ql75cKdAr61xtIJ1pPj/krPEYxJ+2hR2MW7V6XW4eb4l8HH7LFDLp+Kjzc34QLb/riMQvuT/T1nfVKMXNoRx1Q==" saltValue="c8L/kqNfKOyS4p9jjtGLVQ==" spinCount="100000" sheet="1" formatCells="0" formatColumns="0" formatRows="0"/>
  <mergeCells count="286">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F168:L168"/>
    <mergeCell ref="F163:L163"/>
    <mergeCell ref="E164:E165"/>
    <mergeCell ref="G164:I164"/>
    <mergeCell ref="J164:L164"/>
    <mergeCell ref="G165:I165"/>
    <mergeCell ref="J165:L165"/>
    <mergeCell ref="E175:L175"/>
    <mergeCell ref="E176:L176"/>
    <mergeCell ref="E161:E162"/>
    <mergeCell ref="G161:I161"/>
    <mergeCell ref="J161:L161"/>
    <mergeCell ref="G162:I162"/>
    <mergeCell ref="J162:L162"/>
    <mergeCell ref="E166:E167"/>
    <mergeCell ref="G166:I166"/>
    <mergeCell ref="J166:L166"/>
    <mergeCell ref="G167:I167"/>
    <mergeCell ref="J167:L16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O137:O145"/>
    <mergeCell ref="E138:E139"/>
    <mergeCell ref="F138:L138"/>
    <mergeCell ref="F139:G139"/>
    <mergeCell ref="H139:L139"/>
    <mergeCell ref="F140:G140"/>
    <mergeCell ref="H140:L140"/>
    <mergeCell ref="F144:G144"/>
    <mergeCell ref="H144:L144"/>
    <mergeCell ref="F145:G145"/>
    <mergeCell ref="H145:L145"/>
    <mergeCell ref="F134:L134"/>
    <mergeCell ref="F135:L135"/>
    <mergeCell ref="F129:G129"/>
    <mergeCell ref="H129:L129"/>
    <mergeCell ref="E130:E131"/>
    <mergeCell ref="F130:L130"/>
    <mergeCell ref="F131:G131"/>
    <mergeCell ref="H131:L131"/>
    <mergeCell ref="E136:E137"/>
    <mergeCell ref="F136:H136"/>
    <mergeCell ref="F137:H137"/>
    <mergeCell ref="O125:O133"/>
    <mergeCell ref="E126:E127"/>
    <mergeCell ref="F126:L126"/>
    <mergeCell ref="F127:G127"/>
    <mergeCell ref="H127:L127"/>
    <mergeCell ref="F128:G128"/>
    <mergeCell ref="H128:L128"/>
    <mergeCell ref="F132:G132"/>
    <mergeCell ref="H132:L132"/>
    <mergeCell ref="F133:G133"/>
    <mergeCell ref="H133:L133"/>
    <mergeCell ref="F122:L122"/>
    <mergeCell ref="F123:L123"/>
    <mergeCell ref="F117:G117"/>
    <mergeCell ref="H117:L117"/>
    <mergeCell ref="E118:E119"/>
    <mergeCell ref="F118:L118"/>
    <mergeCell ref="F119:G119"/>
    <mergeCell ref="H119:L119"/>
    <mergeCell ref="E124:E125"/>
    <mergeCell ref="F124:H124"/>
    <mergeCell ref="F125:H125"/>
    <mergeCell ref="O113:O121"/>
    <mergeCell ref="E114:E115"/>
    <mergeCell ref="F114:L114"/>
    <mergeCell ref="F115:G115"/>
    <mergeCell ref="H115:L115"/>
    <mergeCell ref="F116:G116"/>
    <mergeCell ref="H116:L116"/>
    <mergeCell ref="F120:G120"/>
    <mergeCell ref="H120:L120"/>
    <mergeCell ref="F121:G121"/>
    <mergeCell ref="H121:L121"/>
    <mergeCell ref="F110:L110"/>
    <mergeCell ref="F111:L111"/>
    <mergeCell ref="F105:G105"/>
    <mergeCell ref="H105:L105"/>
    <mergeCell ref="E106:E107"/>
    <mergeCell ref="F106:L106"/>
    <mergeCell ref="F107:G107"/>
    <mergeCell ref="H107:L107"/>
    <mergeCell ref="E112:E113"/>
    <mergeCell ref="F112:H112"/>
    <mergeCell ref="F113:H113"/>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E78:F78"/>
    <mergeCell ref="E79:F79"/>
    <mergeCell ref="E80:F80"/>
    <mergeCell ref="E84:L84"/>
    <mergeCell ref="E85:F85"/>
    <mergeCell ref="F86:L86"/>
    <mergeCell ref="E72:F72"/>
    <mergeCell ref="E73:F73"/>
    <mergeCell ref="E74:F74"/>
    <mergeCell ref="E75:F75"/>
    <mergeCell ref="E76:F76"/>
    <mergeCell ref="E77:F77"/>
    <mergeCell ref="E67:E68"/>
    <mergeCell ref="G67:I67"/>
    <mergeCell ref="J67:L67"/>
    <mergeCell ref="G68:I68"/>
    <mergeCell ref="J68:L68"/>
    <mergeCell ref="E71:L71"/>
    <mergeCell ref="F64:L64"/>
    <mergeCell ref="E65:E66"/>
    <mergeCell ref="G65:I65"/>
    <mergeCell ref="J65:L65"/>
    <mergeCell ref="G66:I66"/>
    <mergeCell ref="J66:L66"/>
    <mergeCell ref="E59:E60"/>
    <mergeCell ref="G59:I59"/>
    <mergeCell ref="J59:L59"/>
    <mergeCell ref="G60:I60"/>
    <mergeCell ref="J60:L60"/>
    <mergeCell ref="E61:E62"/>
    <mergeCell ref="G61:I61"/>
    <mergeCell ref="J61:L61"/>
    <mergeCell ref="G62:I62"/>
    <mergeCell ref="J62:L62"/>
    <mergeCell ref="E55:E56"/>
    <mergeCell ref="G55:I55"/>
    <mergeCell ref="J55:L55"/>
    <mergeCell ref="G56:I56"/>
    <mergeCell ref="J56:L56"/>
    <mergeCell ref="F58:L58"/>
    <mergeCell ref="F52:L52"/>
    <mergeCell ref="E53:E54"/>
    <mergeCell ref="G53:I53"/>
    <mergeCell ref="J53:L53"/>
    <mergeCell ref="G54:I54"/>
    <mergeCell ref="J54:L54"/>
    <mergeCell ref="E47:E48"/>
    <mergeCell ref="G47:I47"/>
    <mergeCell ref="J47:L47"/>
    <mergeCell ref="G48:I48"/>
    <mergeCell ref="J48:L48"/>
    <mergeCell ref="E49:E50"/>
    <mergeCell ref="G49:I49"/>
    <mergeCell ref="J49:L49"/>
    <mergeCell ref="G50:I50"/>
    <mergeCell ref="J50:L50"/>
    <mergeCell ref="E43:E44"/>
    <mergeCell ref="G43:I43"/>
    <mergeCell ref="J43:L43"/>
    <mergeCell ref="G44:I44"/>
    <mergeCell ref="J44:L44"/>
    <mergeCell ref="F46:L46"/>
    <mergeCell ref="F40:L40"/>
    <mergeCell ref="E41:E42"/>
    <mergeCell ref="G41:I41"/>
    <mergeCell ref="J41:L41"/>
    <mergeCell ref="G42:I42"/>
    <mergeCell ref="J42:L42"/>
    <mergeCell ref="E35:E36"/>
    <mergeCell ref="G35:I35"/>
    <mergeCell ref="J35:L35"/>
    <mergeCell ref="G36:I36"/>
    <mergeCell ref="J36:L36"/>
    <mergeCell ref="E37:E38"/>
    <mergeCell ref="G37:I37"/>
    <mergeCell ref="J37:L37"/>
    <mergeCell ref="G38:I38"/>
    <mergeCell ref="J38:L3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s>
  <conditionalFormatting sqref="E4">
    <cfRule type="containsText" dxfId="2082" priority="337" operator="containsText" text="Stop">
      <formula>NOT(ISERROR(SEARCH("Stop",E4)))</formula>
    </cfRule>
    <cfRule type="containsText" dxfId="2081" priority="338" operator="containsText" text="Start">
      <formula>NOT(ISERROR(SEARCH("Start",E4)))</formula>
    </cfRule>
    <cfRule type="containsText" dxfId="2080" priority="336" operator="containsText" text="Continue">
      <formula>NOT(ISERROR(SEARCH("Continue",E4)))</formula>
    </cfRule>
  </conditionalFormatting>
  <conditionalFormatting sqref="E14">
    <cfRule type="containsText" dxfId="2079" priority="456" operator="containsText" text="Continue">
      <formula>NOT(ISERROR(SEARCH("Continue",E14)))</formula>
    </cfRule>
    <cfRule type="containsText" dxfId="2078" priority="457" operator="containsText" text="Stop">
      <formula>NOT(ISERROR(SEARCH("Stop",E14)))</formula>
    </cfRule>
    <cfRule type="containsText" dxfId="2077" priority="458" operator="containsText" text="Start">
      <formula>NOT(ISERROR(SEARCH("Start",E14)))</formula>
    </cfRule>
  </conditionalFormatting>
  <conditionalFormatting sqref="E28 E154 G154 E156 G156">
    <cfRule type="containsText" dxfId="2076" priority="391" operator="containsText" text="N/A">
      <formula>NOT(ISERROR(SEARCH("N/A",E28)))</formula>
    </cfRule>
    <cfRule type="containsText" dxfId="2075" priority="388" operator="containsText" text="Continue">
      <formula>NOT(ISERROR(SEARCH("Continue",E28)))</formula>
    </cfRule>
    <cfRule type="containsText" dxfId="2074" priority="393" operator="containsText" text="Meets">
      <formula>NOT(ISERROR(SEARCH("Meets",E28)))</formula>
    </cfRule>
    <cfRule type="containsText" dxfId="2073" priority="392" operator="containsText" text="Exceeds">
      <formula>NOT(ISERROR(SEARCH("Exceeds",E28)))</formula>
    </cfRule>
    <cfRule type="containsText" dxfId="2072" priority="390" operator="containsText" text="Start">
      <formula>NOT(ISERROR(SEARCH("Start",E28)))</formula>
    </cfRule>
    <cfRule type="containsText" dxfId="2071" priority="389" operator="containsText" text="Stop">
      <formula>NOT(ISERROR(SEARCH("Stop",E28)))</formula>
    </cfRule>
    <cfRule type="containsText" dxfId="2070" priority="394" operator="containsText" text="Under">
      <formula>NOT(ISERROR(SEARCH("Under",E28)))</formula>
    </cfRule>
  </conditionalFormatting>
  <conditionalFormatting sqref="E34">
    <cfRule type="containsText" dxfId="2069" priority="368" operator="containsText" text="Stop">
      <formula>NOT(ISERROR(SEARCH("Stop",E34)))</formula>
    </cfRule>
    <cfRule type="containsText" dxfId="2068" priority="373" operator="containsText" text="Under">
      <formula>NOT(ISERROR(SEARCH("Under",E34)))</formula>
    </cfRule>
    <cfRule type="containsText" dxfId="2067" priority="372" operator="containsText" text="Meets">
      <formula>NOT(ISERROR(SEARCH("Meets",E34)))</formula>
    </cfRule>
    <cfRule type="containsText" dxfId="2066" priority="371" operator="containsText" text="Exceeds">
      <formula>NOT(ISERROR(SEARCH("Exceeds",E34)))</formula>
    </cfRule>
    <cfRule type="containsText" dxfId="2065" priority="370" operator="containsText" text="N/A">
      <formula>NOT(ISERROR(SEARCH("N/A",E34)))</formula>
    </cfRule>
    <cfRule type="containsText" dxfId="2064" priority="369" operator="containsText" text="Start">
      <formula>NOT(ISERROR(SEARCH("Start",E34)))</formula>
    </cfRule>
    <cfRule type="containsText" dxfId="2063" priority="367" operator="containsText" text="Continue">
      <formula>NOT(ISERROR(SEARCH("Continue",E34)))</formula>
    </cfRule>
  </conditionalFormatting>
  <conditionalFormatting sqref="E40">
    <cfRule type="containsText" dxfId="2062" priority="364" operator="containsText" text="Exceeds">
      <formula>NOT(ISERROR(SEARCH("Exceeds",E40)))</formula>
    </cfRule>
    <cfRule type="containsText" dxfId="2061" priority="365" operator="containsText" text="Meets">
      <formula>NOT(ISERROR(SEARCH("Meets",E40)))</formula>
    </cfRule>
    <cfRule type="containsText" dxfId="2060" priority="366" operator="containsText" text="Under">
      <formula>NOT(ISERROR(SEARCH("Under",E40)))</formula>
    </cfRule>
    <cfRule type="containsText" dxfId="2059" priority="360" operator="containsText" text="Continue">
      <formula>NOT(ISERROR(SEARCH("Continue",E40)))</formula>
    </cfRule>
    <cfRule type="containsText" dxfId="2058" priority="362" operator="containsText" text="Start">
      <formula>NOT(ISERROR(SEARCH("Start",E40)))</formula>
    </cfRule>
    <cfRule type="containsText" dxfId="2057" priority="363" operator="containsText" text="N/A">
      <formula>NOT(ISERROR(SEARCH("N/A",E40)))</formula>
    </cfRule>
    <cfRule type="containsText" dxfId="2056" priority="361" operator="containsText" text="Stop">
      <formula>NOT(ISERROR(SEARCH("Stop",E40)))</formula>
    </cfRule>
  </conditionalFormatting>
  <conditionalFormatting sqref="E46">
    <cfRule type="containsText" dxfId="2055" priority="359" operator="containsText" text="Under">
      <formula>NOT(ISERROR(SEARCH("Under",E46)))</formula>
    </cfRule>
    <cfRule type="containsText" dxfId="2054" priority="358" operator="containsText" text="Meets">
      <formula>NOT(ISERROR(SEARCH("Meets",E46)))</formula>
    </cfRule>
    <cfRule type="containsText" dxfId="2053" priority="357" operator="containsText" text="Exceeds">
      <formula>NOT(ISERROR(SEARCH("Exceeds",E46)))</formula>
    </cfRule>
    <cfRule type="containsText" dxfId="2052" priority="356" operator="containsText" text="N/A">
      <formula>NOT(ISERROR(SEARCH("N/A",E46)))</formula>
    </cfRule>
    <cfRule type="containsText" dxfId="2051" priority="355" operator="containsText" text="Start">
      <formula>NOT(ISERROR(SEARCH("Start",E46)))</formula>
    </cfRule>
    <cfRule type="containsText" dxfId="2050" priority="354" operator="containsText" text="Stop">
      <formula>NOT(ISERROR(SEARCH("Stop",E46)))</formula>
    </cfRule>
    <cfRule type="containsText" dxfId="2049" priority="353" operator="containsText" text="Continue">
      <formula>NOT(ISERROR(SEARCH("Continue",E46)))</formula>
    </cfRule>
  </conditionalFormatting>
  <conditionalFormatting sqref="E52">
    <cfRule type="containsText" dxfId="2048" priority="349" operator="containsText" text="N/A">
      <formula>NOT(ISERROR(SEARCH("N/A",E52)))</formula>
    </cfRule>
    <cfRule type="containsText" dxfId="2047" priority="348" operator="containsText" text="Start">
      <formula>NOT(ISERROR(SEARCH("Start",E52)))</formula>
    </cfRule>
    <cfRule type="containsText" dxfId="2046" priority="347" operator="containsText" text="Stop">
      <formula>NOT(ISERROR(SEARCH("Stop",E52)))</formula>
    </cfRule>
    <cfRule type="containsText" dxfId="2045" priority="352" operator="containsText" text="Under">
      <formula>NOT(ISERROR(SEARCH("Under",E52)))</formula>
    </cfRule>
    <cfRule type="containsText" dxfId="2044" priority="351" operator="containsText" text="Meets">
      <formula>NOT(ISERROR(SEARCH("Meets",E52)))</formula>
    </cfRule>
    <cfRule type="containsText" dxfId="2043" priority="346" operator="containsText" text="Continue">
      <formula>NOT(ISERROR(SEARCH("Continue",E52)))</formula>
    </cfRule>
    <cfRule type="containsText" dxfId="2042" priority="350" operator="containsText" text="Exceeds">
      <formula>NOT(ISERROR(SEARCH("Exceeds",E52)))</formula>
    </cfRule>
  </conditionalFormatting>
  <conditionalFormatting sqref="E58">
    <cfRule type="containsText" dxfId="2041" priority="341" operator="containsText" text="Start">
      <formula>NOT(ISERROR(SEARCH("Start",E58)))</formula>
    </cfRule>
    <cfRule type="containsText" dxfId="2040" priority="342" operator="containsText" text="N/A">
      <formula>NOT(ISERROR(SEARCH("N/A",E58)))</formula>
    </cfRule>
    <cfRule type="containsText" dxfId="2039" priority="344" operator="containsText" text="Meets">
      <formula>NOT(ISERROR(SEARCH("Meets",E58)))</formula>
    </cfRule>
    <cfRule type="containsText" dxfId="2038" priority="343" operator="containsText" text="Exceeds">
      <formula>NOT(ISERROR(SEARCH("Exceeds",E58)))</formula>
    </cfRule>
    <cfRule type="containsText" dxfId="2037" priority="345" operator="containsText" text="Under">
      <formula>NOT(ISERROR(SEARCH("Under",E58)))</formula>
    </cfRule>
    <cfRule type="containsText" dxfId="2036" priority="339" operator="containsText" text="Continue">
      <formula>NOT(ISERROR(SEARCH("Continue",E58)))</formula>
    </cfRule>
    <cfRule type="containsText" dxfId="2035" priority="340" operator="containsText" text="Stop">
      <formula>NOT(ISERROR(SEARCH("Stop",E58)))</formula>
    </cfRule>
  </conditionalFormatting>
  <conditionalFormatting sqref="E64">
    <cfRule type="containsText" dxfId="2034" priority="242" operator="containsText" text="Stop">
      <formula>NOT(ISERROR(SEARCH("Stop",E64)))</formula>
    </cfRule>
    <cfRule type="containsText" dxfId="2033" priority="243" operator="containsText" text="Start">
      <formula>NOT(ISERROR(SEARCH("Start",E64)))</formula>
    </cfRule>
    <cfRule type="containsText" dxfId="2032" priority="245" operator="containsText" text="Exceeds">
      <formula>NOT(ISERROR(SEARCH("Exceeds",E64)))</formula>
    </cfRule>
    <cfRule type="containsText" dxfId="2031" priority="246" operator="containsText" text="Meets">
      <formula>NOT(ISERROR(SEARCH("Meets",E64)))</formula>
    </cfRule>
    <cfRule type="containsText" dxfId="2030" priority="247" operator="containsText" text="Under">
      <formula>NOT(ISERROR(SEARCH("Under",E64)))</formula>
    </cfRule>
    <cfRule type="containsText" dxfId="2029" priority="244" operator="containsText" text="N/A">
      <formula>NOT(ISERROR(SEARCH("N/A",E64)))</formula>
    </cfRule>
    <cfRule type="containsText" dxfId="2028" priority="241" operator="containsText" text="Continue">
      <formula>NOT(ISERROR(SEARCH("Continue",E64)))</formula>
    </cfRule>
  </conditionalFormatting>
  <conditionalFormatting sqref="E159 E164">
    <cfRule type="containsText" dxfId="2027" priority="431" operator="containsText" text="Exceeds">
      <formula>NOT(ISERROR(SEARCH("Exceeds",E159)))</formula>
    </cfRule>
    <cfRule type="containsText" dxfId="2026" priority="430" operator="containsText" text="N/A">
      <formula>NOT(ISERROR(SEARCH("N/A",E159)))</formula>
    </cfRule>
    <cfRule type="containsText" dxfId="2025" priority="429" operator="containsText" text="Start">
      <formula>NOT(ISERROR(SEARCH("Start",E159)))</formula>
    </cfRule>
    <cfRule type="containsText" dxfId="2024" priority="428" operator="containsText" text="Stop">
      <formula>NOT(ISERROR(SEARCH("Stop",E159)))</formula>
    </cfRule>
    <cfRule type="containsText" dxfId="2023" priority="427" operator="containsText" text="Continue">
      <formula>NOT(ISERROR(SEARCH("Continue",E159)))</formula>
    </cfRule>
    <cfRule type="containsText" dxfId="2022" priority="432" operator="containsText" text="Meets">
      <formula>NOT(ISERROR(SEARCH("Meets",E159)))</formula>
    </cfRule>
    <cfRule type="containsText" dxfId="2021" priority="433" operator="containsText" text="Under">
      <formula>NOT(ISERROR(SEARCH("Under",E159)))</formula>
    </cfRule>
  </conditionalFormatting>
  <conditionalFormatting sqref="E161 E166">
    <cfRule type="containsText" dxfId="2020" priority="426" operator="containsText" text="Under">
      <formula>NOT(ISERROR(SEARCH("Under",E161)))</formula>
    </cfRule>
    <cfRule type="containsText" dxfId="2019" priority="425" operator="containsText" text="Meets">
      <formula>NOT(ISERROR(SEARCH("Meets",E161)))</formula>
    </cfRule>
    <cfRule type="containsText" dxfId="2018" priority="424" operator="containsText" text="Exceeds">
      <formula>NOT(ISERROR(SEARCH("Exceeds",E161)))</formula>
    </cfRule>
    <cfRule type="containsText" dxfId="2017" priority="423" operator="containsText" text="N/A">
      <formula>NOT(ISERROR(SEARCH("N/A",E161)))</formula>
    </cfRule>
    <cfRule type="containsText" dxfId="2016" priority="422" operator="containsText" text="Start">
      <formula>NOT(ISERROR(SEARCH("Start",E161)))</formula>
    </cfRule>
    <cfRule type="containsText" dxfId="2015" priority="421" operator="containsText" text="Stop">
      <formula>NOT(ISERROR(SEARCH("Stop",E161)))</formula>
    </cfRule>
    <cfRule type="containsText" dxfId="2014" priority="420" operator="containsText" text="Continue">
      <formula>NOT(ISERROR(SEARCH("Continue",E161)))</formula>
    </cfRule>
  </conditionalFormatting>
  <conditionalFormatting sqref="E169">
    <cfRule type="containsText" dxfId="2013" priority="443" operator="containsText" text="Start">
      <formula>NOT(ISERROR(SEARCH("Start",E169)))</formula>
    </cfRule>
    <cfRule type="containsText" dxfId="2012" priority="442" operator="containsText" text="Stop">
      <formula>NOT(ISERROR(SEARCH("Stop",E169)))</formula>
    </cfRule>
    <cfRule type="containsText" dxfId="2011" priority="441" operator="containsText" text="Continue">
      <formula>NOT(ISERROR(SEARCH("Continue",E169)))</formula>
    </cfRule>
    <cfRule type="containsText" dxfId="2010" priority="447" operator="containsText" text="Under">
      <formula>NOT(ISERROR(SEARCH("Under",E169)))</formula>
    </cfRule>
    <cfRule type="containsText" dxfId="2009" priority="446" operator="containsText" text="Meets">
      <formula>NOT(ISERROR(SEARCH("Meets",E169)))</formula>
    </cfRule>
    <cfRule type="containsText" dxfId="2008" priority="445" operator="containsText" text="Exceeds">
      <formula>NOT(ISERROR(SEARCH("Exceeds",E169)))</formula>
    </cfRule>
    <cfRule type="containsText" dxfId="2007" priority="444" operator="containsText" text="N/A">
      <formula>NOT(ISERROR(SEARCH("N/A",E169)))</formula>
    </cfRule>
  </conditionalFormatting>
  <conditionalFormatting sqref="E171">
    <cfRule type="containsText" dxfId="2006" priority="398" operator="containsText" text="N/A">
      <formula>NOT(ISERROR(SEARCH("N/A",E171)))</formula>
    </cfRule>
    <cfRule type="containsText" dxfId="2005" priority="399" operator="containsText" text="Exceeds">
      <formula>NOT(ISERROR(SEARCH("Exceeds",E171)))</formula>
    </cfRule>
    <cfRule type="containsText" dxfId="2004" priority="400" operator="containsText" text="Meets">
      <formula>NOT(ISERROR(SEARCH("Meets",E171)))</formula>
    </cfRule>
    <cfRule type="containsText" dxfId="2003" priority="401" operator="containsText" text="Under">
      <formula>NOT(ISERROR(SEARCH("Under",E171)))</formula>
    </cfRule>
    <cfRule type="containsText" dxfId="2002" priority="395" operator="containsText" text="Continue">
      <formula>NOT(ISERROR(SEARCH("Continue",E171)))</formula>
    </cfRule>
    <cfRule type="containsText" dxfId="2001" priority="396" operator="containsText" text="Stop">
      <formula>NOT(ISERROR(SEARCH("Stop",E171)))</formula>
    </cfRule>
    <cfRule type="containsText" dxfId="2000" priority="397" operator="containsText" text="Start">
      <formula>NOT(ISERROR(SEARCH("Start",E171)))</formula>
    </cfRule>
  </conditionalFormatting>
  <conditionalFormatting sqref="E12:L13">
    <cfRule type="containsText" dxfId="1999" priority="333" operator="containsText" text="Continue">
      <formula>NOT(ISERROR(SEARCH("Continue",E12)))</formula>
    </cfRule>
    <cfRule type="containsText" dxfId="1998" priority="334" operator="containsText" text="Stop">
      <formula>NOT(ISERROR(SEARCH("Stop",E12)))</formula>
    </cfRule>
    <cfRule type="containsText" dxfId="1997"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{F1BC6584-EFF1-43E5-AF41-73E9813CF5CC}</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{D308A892-55A3-4EC2-AE13-260B1737DEAB}</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{91C0C1D8-E7C5-4C09-8042-EE9C63E1BD3E}</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{9A5DF36C-D9EE-49DF-A031-46A7355C99D4}</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{1721BD83-598F-4F51-A56A-1AC61D795152}</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{1A917121-117D-46CE-BACF-2C84EC856F1F}</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{DFDD840B-D0FB-40FD-A752-A767D7CBD9D4}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{791F70D3-2B4D-4413-8A66-C2BBB368C100}</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{8339088B-F026-492E-A5FA-F7F341BA94ED}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{2CB8AA88-7BE0-47DB-B33E-142DA08A73B8}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{C84C9913-EF46-44B9-A8B1-8BCDF2E3BC9A}</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{4337B14A-458A-4FC8-BF5C-49069A4FC385}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{ACE8E384-2171-4A35-8A2B-9B7BD92E3C6D}</x14:id>
        </ext>
      </extLst>
    </cfRule>
  </conditionalFormatting>
  <conditionalFormatting sqref="F157">
    <cfRule type="containsText" dxfId="1996" priority="404" operator="containsText" text="Stop">
      <formula>NOT(ISERROR(SEARCH("Stop",F157)))</formula>
    </cfRule>
    <cfRule type="containsText" dxfId="1995"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{D64DF44B-67DC-4DAD-AC10-2CFF617BCC50}</x14:id>
        </ext>
      </extLst>
    </cfRule>
    <cfRule type="containsText" dxfId="1994" priority="409" operator="containsText" text="Under">
      <formula>NOT(ISERROR(SEARCH("Under",F157)))</formula>
    </cfRule>
    <cfRule type="containsText" dxfId="1993" priority="408" operator="containsText" text="Meets">
      <formula>NOT(ISERROR(SEARCH("Meets",F157)))</formula>
    </cfRule>
    <cfRule type="containsText" dxfId="1992" priority="407" operator="containsText" text="Exceeds">
      <formula>NOT(ISERROR(SEARCH("Exceeds",F157)))</formula>
    </cfRule>
    <cfRule type="containsText" dxfId="1991"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{7520A4A5-22AE-4D4C-BB67-85CE8EB83010}</x14:id>
        </ext>
      </extLst>
    </cfRule>
    <cfRule type="containsText" dxfId="1990" priority="405" operator="containsText" text="Start">
      <formula>NOT(ISERROR(SEARCH("Start",F157)))</formula>
    </cfRule>
  </conditionalFormatting>
  <conditionalFormatting sqref="F162">
    <cfRule type="containsText" dxfId="1989" priority="320" operator="containsText" text="Exceeds">
      <formula>NOT(ISERROR(SEARCH("Exceeds",F162)))</formula>
    </cfRule>
    <cfRule type="containsText" dxfId="1988" priority="321" operator="containsText" text="Meets">
      <formula>NOT(ISERROR(SEARCH("Meets",F162)))</formula>
    </cfRule>
    <cfRule type="containsText" dxfId="1987"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{5C10D21B-130B-41B6-BE1D-F857A08D6CB2}</x14:id>
        </ext>
      </extLst>
    </cfRule>
    <cfRule type="containsText" dxfId="1986" priority="318" operator="containsText" text="Start">
      <formula>NOT(ISERROR(SEARCH("Start",F162)))</formula>
    </cfRule>
    <cfRule type="containsText" dxfId="1985"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{AC8B0B57-D44B-4BF9-94A1-7CC2C3E2823D}</x14:id>
        </ext>
      </extLst>
    </cfRule>
    <cfRule type="containsText" dxfId="1984" priority="319" operator="containsText" text="N/A">
      <formula>NOT(ISERROR(SEARCH("N/A",F162)))</formula>
    </cfRule>
    <cfRule type="containsText" dxfId="1983"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{ED5CCEDB-1545-49BF-8C1A-62659B677999}</x14:id>
        </ext>
      </extLst>
    </cfRule>
    <cfRule type="containsText" dxfId="1982" priority="299" operator="containsText" text="Under">
      <formula>NOT(ISERROR(SEARCH("Under",F167)))</formula>
    </cfRule>
    <cfRule type="containsText" dxfId="1981" priority="298" operator="containsText" text="Meets">
      <formula>NOT(ISERROR(SEARCH("Meets",F167)))</formula>
    </cfRule>
    <cfRule type="containsText" dxfId="1980"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{045A0DC2-854E-409A-B0EE-C6B6BA22E048}</x14:id>
        </ext>
      </extLst>
    </cfRule>
    <cfRule type="containsText" dxfId="1979" priority="293" operator="containsText" text="Continue">
      <formula>NOT(ISERROR(SEARCH("Continue",F167)))</formula>
    </cfRule>
    <cfRule type="containsText" dxfId="1978" priority="295" operator="containsText" text="Start">
      <formula>NOT(ISERROR(SEARCH("Start",F167)))</formula>
    </cfRule>
    <cfRule type="containsText" dxfId="1977" priority="297" operator="containsText" text="Exceeds">
      <formula>NOT(ISERROR(SEARCH("Exceeds",F167)))</formula>
    </cfRule>
    <cfRule type="containsText" dxfId="1976"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{7D833A53-48DB-4924-B932-81BE84C9E793}</x14:id>
        </ext>
      </extLst>
    </cfRule>
    <cfRule type="containsText" dxfId="1975" priority="269" operator="containsText" text="Under">
      <formula>NOT(ISERROR(SEARCH("Under",F172)))</formula>
    </cfRule>
    <cfRule type="containsText" dxfId="1974" priority="268" operator="containsText" text="Meets">
      <formula>NOT(ISERROR(SEARCH("Meets",F172)))</formula>
    </cfRule>
    <cfRule type="containsText" dxfId="1973" priority="267" operator="containsText" text="Exceeds">
      <formula>NOT(ISERROR(SEARCH("Exceeds",F172)))</formula>
    </cfRule>
    <cfRule type="containsText" dxfId="1972"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{2A460C8C-8591-4CDF-9CDD-125840BF36EC}</x14:id>
        </ext>
      </extLst>
    </cfRule>
    <cfRule type="containsText" dxfId="1971" priority="265" operator="containsText" text="Start">
      <formula>NOT(ISERROR(SEARCH("Start",F172)))</formula>
    </cfRule>
    <cfRule type="containsText" dxfId="1970" priority="264" operator="containsText" text="Stop">
      <formula>NOT(ISERROR(SEARCH("Stop",F172)))</formula>
    </cfRule>
    <cfRule type="containsText" dxfId="1969"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{3F3D98C3-5E65-427A-9884-29BDE58CB75C}</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{9A49CDC1-9F75-42DA-A1FD-142CDC5A6C0E}</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{E3BE7522-D6D6-445E-916E-C239500B61D5}</x14:id>
        </ext>
      </extLst>
    </cfRule>
    <cfRule type="containsText" dxfId="1968" priority="412" operator="containsText" text="Continue">
      <formula>NOT(ISERROR(SEARCH("Continue",F155)))</formula>
    </cfRule>
    <cfRule type="containsText" dxfId="1967" priority="413" operator="containsText" text="Stop">
      <formula>NOT(ISERROR(SEARCH("Stop",F155)))</formula>
    </cfRule>
    <cfRule type="containsText" dxfId="1966" priority="414" operator="containsText" text="Start">
      <formula>NOT(ISERROR(SEARCH("Start",F155)))</formula>
    </cfRule>
    <cfRule type="containsText" dxfId="1965" priority="415" operator="containsText" text="N/A">
      <formula>NOT(ISERROR(SEARCH("N/A",F155)))</formula>
    </cfRule>
    <cfRule type="containsText" dxfId="1964" priority="416" operator="containsText" text="Exceeds">
      <formula>NOT(ISERROR(SEARCH("Exceeds",F155)))</formula>
    </cfRule>
    <cfRule type="containsText" dxfId="1963" priority="417" operator="containsText" text="Meets">
      <formula>NOT(ISERROR(SEARCH("Meets",F155)))</formula>
    </cfRule>
    <cfRule type="containsText" dxfId="1962"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{4DBBD331-4BD1-4FF2-81CB-A5740D94B6E6}</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{2C4FF909-A75E-46CE-BCBD-CA8A37804180}</x14:id>
        </ext>
      </extLst>
    </cfRule>
    <cfRule type="containsText" dxfId="1961" priority="331" operator="containsText" text="Under">
      <formula>NOT(ISERROR(SEARCH("Under",F160)))</formula>
    </cfRule>
    <cfRule type="containsText" dxfId="1960" priority="330" operator="containsText" text="Meets">
      <formula>NOT(ISERROR(SEARCH("Meets",F160)))</formula>
    </cfRule>
    <cfRule type="containsText" dxfId="1959" priority="329" operator="containsText" text="Exceeds">
      <formula>NOT(ISERROR(SEARCH("Exceeds",F160)))</formula>
    </cfRule>
    <cfRule type="containsText" dxfId="1958" priority="328" operator="containsText" text="N/A">
      <formula>NOT(ISERROR(SEARCH("N/A",F160)))</formula>
    </cfRule>
    <cfRule type="containsText" dxfId="1957" priority="327" operator="containsText" text="Start">
      <formula>NOT(ISERROR(SEARCH("Start",F160)))</formula>
    </cfRule>
    <cfRule type="containsText" dxfId="1956" priority="326" operator="containsText" text="Stop">
      <formula>NOT(ISERROR(SEARCH("Stop",F160)))</formula>
    </cfRule>
    <cfRule type="containsText" dxfId="1955"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{2494F7C9-8399-4D5C-8B76-8FE9B9824EFD}</x14:id>
        </ext>
      </extLst>
    </cfRule>
  </conditionalFormatting>
  <conditionalFormatting sqref="F165:G165">
    <cfRule type="containsText" dxfId="1954" priority="238" operator="containsText" text="Meets">
      <formula>NOT(ISERROR(SEARCH("Meets",F165)))</formula>
    </cfRule>
    <cfRule type="containsText" dxfId="1953" priority="235" operator="containsText" text="Start">
      <formula>NOT(ISERROR(SEARCH("Start",F165)))</formula>
    </cfRule>
    <cfRule type="containsText" dxfId="1952"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{D071B08E-FA81-4B1D-9622-C4D61FD071B9}</x14:id>
        </ext>
      </extLst>
    </cfRule>
    <cfRule type="containsText" dxfId="1951" priority="233" operator="containsText" text="Continue">
      <formula>NOT(ISERROR(SEARCH("Continue",F165)))</formula>
    </cfRule>
    <cfRule type="containsText" dxfId="1950" priority="236" operator="containsText" text="N/A">
      <formula>NOT(ISERROR(SEARCH("N/A",F165)))</formula>
    </cfRule>
    <cfRule type="containsText" dxfId="1949" priority="234" operator="containsText" text="Stop">
      <formula>NOT(ISERROR(SEARCH("Stop",F165)))</formula>
    </cfRule>
    <cfRule type="containsText" dxfId="1948"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{718EACF8-DA16-4477-BE23-B57E588973E0}</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{E6E5169D-5CA2-4CAC-BEF4-62EE4ED46D67}</x14:id>
        </ext>
      </extLst>
    </cfRule>
    <cfRule type="containsText" dxfId="1947" priority="225" operator="containsText" text="Stop">
      <formula>NOT(ISERROR(SEARCH("Stop",F170)))</formula>
    </cfRule>
    <cfRule type="containsText" dxfId="1946" priority="224" operator="containsText" text="Continue">
      <formula>NOT(ISERROR(SEARCH("Continue",F170)))</formula>
    </cfRule>
    <cfRule type="containsText" dxfId="1945" priority="226" operator="containsText" text="Start">
      <formula>NOT(ISERROR(SEARCH("Start",F170)))</formula>
    </cfRule>
    <cfRule type="containsText" dxfId="1944" priority="227" operator="containsText" text="N/A">
      <formula>NOT(ISERROR(SEARCH("N/A",F170)))</formula>
    </cfRule>
    <cfRule type="containsText" dxfId="1943" priority="228" operator="containsText" text="Exceeds">
      <formula>NOT(ISERROR(SEARCH("Exceeds",F170)))</formula>
    </cfRule>
    <cfRule type="containsText" dxfId="1942"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{BD950648-B2A2-43B1-8738-D32A84FF9AF9}</x14:id>
        </ext>
      </extLst>
    </cfRule>
    <cfRule type="containsText" dxfId="1941"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{C8B6CBE8-8B21-4A47-8E07-75B1616CD9D2}</x14:id>
        </ext>
      </extLst>
    </cfRule>
    <cfRule type="containsText" dxfId="1940" priority="218" operator="containsText" text="N/A">
      <formula>NOT(ISERROR(SEARCH("N/A",F178)))</formula>
    </cfRule>
    <cfRule type="containsText" dxfId="1939"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{5D21A742-2DA6-4D03-9733-DA91F546D5CA}</x14:id>
        </ext>
      </extLst>
    </cfRule>
    <cfRule type="containsText" dxfId="1938" priority="215" operator="containsText" text="Continue">
      <formula>NOT(ISERROR(SEARCH("Continue",F178)))</formula>
    </cfRule>
    <cfRule type="containsText" dxfId="1937" priority="216" operator="containsText" text="Stop">
      <formula>NOT(ISERROR(SEARCH("Stop",F178)))</formula>
    </cfRule>
    <cfRule type="containsText" dxfId="1936" priority="217" operator="containsText" text="Start">
      <formula>NOT(ISERROR(SEARCH("Start",F178)))</formula>
    </cfRule>
    <cfRule type="containsText" dxfId="1935" priority="219" operator="containsText" text="Exceeds">
      <formula>NOT(ISERROR(SEARCH("Exceeds",F178)))</formula>
    </cfRule>
    <cfRule type="containsText" dxfId="1934" priority="220" operator="containsText" text="Meets">
      <formula>NOT(ISERROR(SEARCH("Meets",F178)))</formula>
    </cfRule>
  </conditionalFormatting>
  <conditionalFormatting sqref="G29">
    <cfRule type="containsText" dxfId="1933" priority="385" operator="containsText" text="Exceeds">
      <formula>NOT(ISERROR(SEARCH("Exceeds",G29)))</formula>
    </cfRule>
    <cfRule type="containsText" dxfId="1932" priority="387" operator="containsText" text="Under">
      <formula>NOT(ISERROR(SEARCH("Under",G29)))</formula>
    </cfRule>
    <cfRule type="containsText" dxfId="1931" priority="383" operator="containsText" text="Start">
      <formula>NOT(ISERROR(SEARCH("Start",G29)))</formula>
    </cfRule>
    <cfRule type="containsText" dxfId="1930" priority="382" operator="containsText" text="Stop">
      <formula>NOT(ISERROR(SEARCH("Stop",G29)))</formula>
    </cfRule>
    <cfRule type="containsText" dxfId="1929" priority="381" operator="containsText" text="Continue">
      <formula>NOT(ISERROR(SEARCH("Continue",G29)))</formula>
    </cfRule>
    <cfRule type="containsText" dxfId="1928" priority="386" operator="containsText" text="Meets">
      <formula>NOT(ISERROR(SEARCH("Meets",G29)))</formula>
    </cfRule>
    <cfRule type="containsText" dxfId="1927" priority="384" operator="containsText" text="N/A">
      <formula>NOT(ISERROR(SEARCH("N/A",G29)))</formula>
    </cfRule>
  </conditionalFormatting>
  <conditionalFormatting sqref="G31">
    <cfRule type="containsText" dxfId="1926" priority="34" operator="containsText" text="Meets">
      <formula>NOT(ISERROR(SEARCH("Meets",G31)))</formula>
    </cfRule>
    <cfRule type="containsText" dxfId="1925" priority="33" operator="containsText" text="Exceeds">
      <formula>NOT(ISERROR(SEARCH("Exceeds",G31)))</formula>
    </cfRule>
    <cfRule type="containsText" dxfId="1924" priority="31" operator="containsText" text="Start">
      <formula>NOT(ISERROR(SEARCH("Start",G31)))</formula>
    </cfRule>
    <cfRule type="containsText" dxfId="1923" priority="30" operator="containsText" text="Stop">
      <formula>NOT(ISERROR(SEARCH("Stop",G31)))</formula>
    </cfRule>
    <cfRule type="containsText" dxfId="1922" priority="29" operator="containsText" text="Continue">
      <formula>NOT(ISERROR(SEARCH("Continue",G31)))</formula>
    </cfRule>
    <cfRule type="containsText" dxfId="1921" priority="35" operator="containsText" text="Under">
      <formula>NOT(ISERROR(SEARCH("Under",G31)))</formula>
    </cfRule>
    <cfRule type="containsText" dxfId="1920" priority="32" operator="containsText" text="N/A">
      <formula>NOT(ISERROR(SEARCH("N/A",G31)))</formula>
    </cfRule>
  </conditionalFormatting>
  <conditionalFormatting sqref="G35">
    <cfRule type="containsText" dxfId="1919" priority="97" operator="containsText" text="Exceeds">
      <formula>NOT(ISERROR(SEARCH("Exceeds",G35)))</formula>
    </cfRule>
    <cfRule type="containsText" dxfId="1918" priority="98" operator="containsText" text="Meets">
      <formula>NOT(ISERROR(SEARCH("Meets",G35)))</formula>
    </cfRule>
    <cfRule type="containsText" dxfId="1917" priority="99" operator="containsText" text="Under">
      <formula>NOT(ISERROR(SEARCH("Under",G35)))</formula>
    </cfRule>
    <cfRule type="containsText" dxfId="1916" priority="94" operator="containsText" text="Stop">
      <formula>NOT(ISERROR(SEARCH("Stop",G35)))</formula>
    </cfRule>
    <cfRule type="containsText" dxfId="1915" priority="93" operator="containsText" text="Continue">
      <formula>NOT(ISERROR(SEARCH("Continue",G35)))</formula>
    </cfRule>
    <cfRule type="containsText" dxfId="1914" priority="96" operator="containsText" text="N/A">
      <formula>NOT(ISERROR(SEARCH("N/A",G35)))</formula>
    </cfRule>
    <cfRule type="containsText" dxfId="1913"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{6B504D0D-45ED-4A5B-A062-32BE5DCB7215}</x14:id>
        </ext>
      </extLst>
    </cfRule>
  </conditionalFormatting>
  <conditionalFormatting sqref="G37">
    <cfRule type="containsText" dxfId="1912" priority="25" operator="containsText" text="N/A">
      <formula>NOT(ISERROR(SEARCH("N/A",G37)))</formula>
    </cfRule>
    <cfRule type="containsText" dxfId="1911" priority="26" operator="containsText" text="Exceeds">
      <formula>NOT(ISERROR(SEARCH("Exceeds",G37)))</formula>
    </cfRule>
    <cfRule type="containsText" dxfId="1910" priority="27" operator="containsText" text="Meets">
      <formula>NOT(ISERROR(SEARCH("Meets",G37)))</formula>
    </cfRule>
    <cfRule type="containsText" dxfId="1909" priority="28" operator="containsText" text="Under">
      <formula>NOT(ISERROR(SEARCH("Under",G37)))</formula>
    </cfRule>
    <cfRule type="containsText" dxfId="1908" priority="22" operator="containsText" text="Continue">
      <formula>NOT(ISERROR(SEARCH("Continue",G37)))</formula>
    </cfRule>
    <cfRule type="containsText" dxfId="1907" priority="23" operator="containsText" text="Stop">
      <formula>NOT(ISERROR(SEARCH("Stop",G37)))</formula>
    </cfRule>
    <cfRule type="containsText" dxfId="1906" priority="24" operator="containsText" text="Start">
      <formula>NOT(ISERROR(SEARCH("Start",G37)))</formula>
    </cfRule>
  </conditionalFormatting>
  <conditionalFormatting sqref="G41">
    <cfRule type="containsText" dxfId="1905" priority="85" operator="containsText" text="Continue">
      <formula>NOT(ISERROR(SEARCH("Continue",G41)))</formula>
    </cfRule>
    <cfRule type="containsText" dxfId="1904" priority="86" operator="containsText" text="Stop">
      <formula>NOT(ISERROR(SEARCH("Stop",G41)))</formula>
    </cfRule>
    <cfRule type="containsText" dxfId="1903" priority="87" operator="containsText" text="Start">
      <formula>NOT(ISERROR(SEARCH("Start",G41)))</formula>
    </cfRule>
    <cfRule type="containsText" dxfId="1902" priority="88" operator="containsText" text="N/A">
      <formula>NOT(ISERROR(SEARCH("N/A",G41)))</formula>
    </cfRule>
    <cfRule type="containsText" dxfId="1901" priority="89" operator="containsText" text="Exceeds">
      <formula>NOT(ISERROR(SEARCH("Exceeds",G41)))</formula>
    </cfRule>
    <cfRule type="containsText" dxfId="1900" priority="90" operator="containsText" text="Meets">
      <formula>NOT(ISERROR(SEARCH("Meets",G41)))</formula>
    </cfRule>
    <cfRule type="containsText" dxfId="1899"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{3BF44689-FACC-44A9-B4BF-F1EF98CA1BE3}</x14:id>
        </ext>
      </extLst>
    </cfRule>
  </conditionalFormatting>
  <conditionalFormatting sqref="G43">
    <cfRule type="containsText" dxfId="1898" priority="17" operator="containsText" text="Start">
      <formula>NOT(ISERROR(SEARCH("Start",G43)))</formula>
    </cfRule>
    <cfRule type="containsText" dxfId="1897" priority="16" operator="containsText" text="Stop">
      <formula>NOT(ISERROR(SEARCH("Stop",G43)))</formula>
    </cfRule>
    <cfRule type="containsText" dxfId="1896" priority="20" operator="containsText" text="Meets">
      <formula>NOT(ISERROR(SEARCH("Meets",G43)))</formula>
    </cfRule>
    <cfRule type="containsText" dxfId="1895" priority="15" operator="containsText" text="Continue">
      <formula>NOT(ISERROR(SEARCH("Continue",G43)))</formula>
    </cfRule>
    <cfRule type="containsText" dxfId="1894" priority="19" operator="containsText" text="Exceeds">
      <formula>NOT(ISERROR(SEARCH("Exceeds",G43)))</formula>
    </cfRule>
    <cfRule type="containsText" dxfId="1893" priority="21" operator="containsText" text="Under">
      <formula>NOT(ISERROR(SEARCH("Under",G43)))</formula>
    </cfRule>
    <cfRule type="containsText" dxfId="1892" priority="18" operator="containsText" text="N/A">
      <formula>NOT(ISERROR(SEARCH("N/A",G43)))</formula>
    </cfRule>
  </conditionalFormatting>
  <conditionalFormatting sqref="G47">
    <cfRule type="containsText" dxfId="1891" priority="78" operator="containsText" text="Stop">
      <formula>NOT(ISERROR(SEARCH("Stop",G47)))</formula>
    </cfRule>
    <cfRule type="containsText" dxfId="1890" priority="77" operator="containsText" text="Continue">
      <formula>NOT(ISERROR(SEARCH("Continue",G47)))</formula>
    </cfRule>
    <cfRule type="containsText" dxfId="1889" priority="79" operator="containsText" text="Start">
      <formula>NOT(ISERROR(SEARCH("Start",G47)))</formula>
    </cfRule>
    <cfRule type="containsText" dxfId="1888" priority="80" operator="containsText" text="N/A">
      <formula>NOT(ISERROR(SEARCH("N/A",G47)))</formula>
    </cfRule>
    <cfRule type="containsText" dxfId="1887" priority="81" operator="containsText" text="Exceeds">
      <formula>NOT(ISERROR(SEARCH("Exceeds",G47)))</formula>
    </cfRule>
    <cfRule type="containsText" dxfId="1886" priority="82" operator="containsText" text="Meets">
      <formula>NOT(ISERROR(SEARCH("Meets",G47)))</formula>
    </cfRule>
    <cfRule type="containsText" dxfId="1885"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{2165B865-0850-4FDC-8413-D1808E558E50}</x14:id>
        </ext>
      </extLst>
    </cfRule>
  </conditionalFormatting>
  <conditionalFormatting sqref="G49">
    <cfRule type="containsText" dxfId="1884" priority="14" operator="containsText" text="Under">
      <formula>NOT(ISERROR(SEARCH("Under",G49)))</formula>
    </cfRule>
    <cfRule type="containsText" dxfId="1883" priority="13" operator="containsText" text="Meets">
      <formula>NOT(ISERROR(SEARCH("Meets",G49)))</formula>
    </cfRule>
    <cfRule type="containsText" dxfId="1882" priority="12" operator="containsText" text="Exceeds">
      <formula>NOT(ISERROR(SEARCH("Exceeds",G49)))</formula>
    </cfRule>
    <cfRule type="containsText" dxfId="1881" priority="11" operator="containsText" text="N/A">
      <formula>NOT(ISERROR(SEARCH("N/A",G49)))</formula>
    </cfRule>
    <cfRule type="containsText" dxfId="1880" priority="10" operator="containsText" text="Start">
      <formula>NOT(ISERROR(SEARCH("Start",G49)))</formula>
    </cfRule>
    <cfRule type="containsText" dxfId="1879" priority="9" operator="containsText" text="Stop">
      <formula>NOT(ISERROR(SEARCH("Stop",G49)))</formula>
    </cfRule>
    <cfRule type="containsText" dxfId="1878" priority="8" operator="containsText" text="Continue">
      <formula>NOT(ISERROR(SEARCH("Continue",G49)))</formula>
    </cfRule>
  </conditionalFormatting>
  <conditionalFormatting sqref="G53">
    <cfRule type="containsText" dxfId="1877" priority="73" operator="containsText" text="Exceeds">
      <formula>NOT(ISERROR(SEARCH("Exceeds",G53)))</formula>
    </cfRule>
    <cfRule type="containsText" dxfId="1876" priority="69" operator="containsText" text="Continue">
      <formula>NOT(ISERROR(SEARCH("Continue",G53)))</formula>
    </cfRule>
    <cfRule type="containsText" dxfId="1875" priority="74" operator="containsText" text="Meets">
      <formula>NOT(ISERROR(SEARCH("Meets",G53)))</formula>
    </cfRule>
    <cfRule type="containsText" dxfId="1874" priority="71" operator="containsText" text="Start">
      <formula>NOT(ISERROR(SEARCH("Start",G53)))</formula>
    </cfRule>
    <cfRule type="containsText" dxfId="1873" priority="72" operator="containsText" text="N/A">
      <formula>NOT(ISERROR(SEARCH("N/A",G53)))</formula>
    </cfRule>
    <cfRule type="containsText" dxfId="1872" priority="75" operator="containsText" text="Under">
      <formula>NOT(ISERROR(SEARCH("Under",G53)))</formula>
    </cfRule>
    <cfRule type="containsText" dxfId="1871"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{19FBCC2B-2CDD-417C-89B7-915392BDC7C5}</x14:id>
        </ext>
      </extLst>
    </cfRule>
  </conditionalFormatting>
  <conditionalFormatting sqref="G55">
    <cfRule type="containsText" dxfId="1870" priority="7" operator="containsText" text="Under">
      <formula>NOT(ISERROR(SEARCH("Under",G55)))</formula>
    </cfRule>
    <cfRule type="containsText" dxfId="1869" priority="1" operator="containsText" text="Continue">
      <formula>NOT(ISERROR(SEARCH("Continue",G55)))</formula>
    </cfRule>
    <cfRule type="containsText" dxfId="1868" priority="2" operator="containsText" text="Stop">
      <formula>NOT(ISERROR(SEARCH("Stop",G55)))</formula>
    </cfRule>
    <cfRule type="containsText" dxfId="1867" priority="3" operator="containsText" text="Start">
      <formula>NOT(ISERROR(SEARCH("Start",G55)))</formula>
    </cfRule>
    <cfRule type="containsText" dxfId="1866" priority="4" operator="containsText" text="N/A">
      <formula>NOT(ISERROR(SEARCH("N/A",G55)))</formula>
    </cfRule>
    <cfRule type="containsText" dxfId="1865" priority="5" operator="containsText" text="Exceeds">
      <formula>NOT(ISERROR(SEARCH("Exceeds",G55)))</formula>
    </cfRule>
    <cfRule type="containsText" dxfId="1864" priority="6" operator="containsText" text="Meets">
      <formula>NOT(ISERROR(SEARCH("Meets",G55)))</formula>
    </cfRule>
  </conditionalFormatting>
  <conditionalFormatting sqref="G59">
    <cfRule type="containsText" dxfId="1863" priority="67" operator="containsText" text="Under">
      <formula>NOT(ISERROR(SEARCH("Under",G59)))</formula>
    </cfRule>
    <cfRule type="containsText" dxfId="1862" priority="66" operator="containsText" text="Meets">
      <formula>NOT(ISERROR(SEARCH("Meets",G59)))</formula>
    </cfRule>
    <cfRule type="containsText" dxfId="1861" priority="65" operator="containsText" text="Exceeds">
      <formula>NOT(ISERROR(SEARCH("Exceeds",G59)))</formula>
    </cfRule>
    <cfRule type="containsText" dxfId="1860" priority="61" operator="containsText" text="Continue">
      <formula>NOT(ISERROR(SEARCH("Continue",G59)))</formula>
    </cfRule>
    <cfRule type="containsText" dxfId="1859" priority="62" operator="containsText" text="Stop">
      <formula>NOT(ISERROR(SEARCH("Stop",G59)))</formula>
    </cfRule>
    <cfRule type="containsText" dxfId="1858" priority="63" operator="containsText" text="Start">
      <formula>NOT(ISERROR(SEARCH("Start",G59)))</formula>
    </cfRule>
    <cfRule type="containsText" dxfId="1857"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{9111B758-D2CB-4014-9808-4C23B3382C8D}</x14:id>
        </ext>
      </extLst>
    </cfRule>
  </conditionalFormatting>
  <conditionalFormatting sqref="G61">
    <cfRule type="containsText" dxfId="1856" priority="41" operator="containsText" text="Exceeds">
      <formula>NOT(ISERROR(SEARCH("Exceeds",G61)))</formula>
    </cfRule>
    <cfRule type="containsText" dxfId="1855" priority="42" operator="containsText" text="Meets">
      <formula>NOT(ISERROR(SEARCH("Meets",G61)))</formula>
    </cfRule>
    <cfRule type="containsText" dxfId="1854" priority="43" operator="containsText" text="Under">
      <formula>NOT(ISERROR(SEARCH("Under",G61)))</formula>
    </cfRule>
    <cfRule type="containsText" dxfId="1853" priority="40" operator="containsText" text="N/A">
      <formula>NOT(ISERROR(SEARCH("N/A",G61)))</formula>
    </cfRule>
    <cfRule type="containsText" dxfId="1852" priority="39" operator="containsText" text="Start">
      <formula>NOT(ISERROR(SEARCH("Start",G61)))</formula>
    </cfRule>
    <cfRule type="containsText" dxfId="1851" priority="38" operator="containsText" text="Stop">
      <formula>NOT(ISERROR(SEARCH("Stop",G61)))</formula>
    </cfRule>
    <cfRule type="containsText" dxfId="1850"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{A79747BA-D432-4FC7-B5EB-9AF0BA114EA7}</x14:id>
        </ext>
      </extLst>
    </cfRule>
  </conditionalFormatting>
  <conditionalFormatting sqref="G65">
    <cfRule type="containsText" dxfId="1849" priority="59" operator="containsText" text="Under">
      <formula>NOT(ISERROR(SEARCH("Under",G65)))</formula>
    </cfRule>
    <cfRule type="containsText" dxfId="1848" priority="57" operator="containsText" text="Exceeds">
      <formula>NOT(ISERROR(SEARCH("Exceeds",G65)))</formula>
    </cfRule>
    <cfRule type="containsText" dxfId="1847" priority="56" operator="containsText" text="N/A">
      <formula>NOT(ISERROR(SEARCH("N/A",G65)))</formula>
    </cfRule>
    <cfRule type="containsText" dxfId="1846" priority="53" operator="containsText" text="Continue">
      <formula>NOT(ISERROR(SEARCH("Continue",G65)))</formula>
    </cfRule>
    <cfRule type="containsText" dxfId="1845" priority="54" operator="containsText" text="Stop">
      <formula>NOT(ISERROR(SEARCH("Stop",G65)))</formula>
    </cfRule>
    <cfRule type="containsText" dxfId="1844" priority="58" operator="containsText" text="Meets">
      <formula>NOT(ISERROR(SEARCH("Meets",G65)))</formula>
    </cfRule>
    <cfRule type="containsText" dxfId="1843"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{FB5D7F91-4685-4F04-8EB0-8AF29CE255E4}</x14:id>
        </ext>
      </extLst>
    </cfRule>
  </conditionalFormatting>
  <conditionalFormatting sqref="G67">
    <cfRule type="containsText" dxfId="1842" priority="45" operator="containsText" text="Continue">
      <formula>NOT(ISERROR(SEARCH("Continue",G67)))</formula>
    </cfRule>
    <cfRule type="containsText" dxfId="1841" priority="47" operator="containsText" text="Start">
      <formula>NOT(ISERROR(SEARCH("Start",G67)))</formula>
    </cfRule>
    <cfRule type="containsText" dxfId="1840" priority="48" operator="containsText" text="N/A">
      <formula>NOT(ISERROR(SEARCH("N/A",G67)))</formula>
    </cfRule>
    <cfRule type="containsText" dxfId="1839" priority="49" operator="containsText" text="Exceeds">
      <formula>NOT(ISERROR(SEARCH("Exceeds",G67)))</formula>
    </cfRule>
    <cfRule type="containsText" dxfId="1838" priority="50" operator="containsText" text="Meets">
      <formula>NOT(ISERROR(SEARCH("Meets",G67)))</formula>
    </cfRule>
    <cfRule type="containsText" dxfId="1837" priority="46" operator="containsText" text="Stop">
      <formula>NOT(ISERROR(SEARCH("Stop",G67)))</formula>
    </cfRule>
    <cfRule type="containsText" dxfId="1836"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{8E3475B4-46DB-43BF-B320-528056E8BF4A}</x14:id>
        </ext>
      </extLst>
    </cfRule>
  </conditionalFormatting>
  <conditionalFormatting sqref="G159 G161">
    <cfRule type="containsText" dxfId="1835" priority="308" operator="containsText" text="Continue">
      <formula>NOT(ISERROR(SEARCH("Continue",G159)))</formula>
    </cfRule>
    <cfRule type="containsText" dxfId="1834" priority="309" operator="containsText" text="Stop">
      <formula>NOT(ISERROR(SEARCH("Stop",G159)))</formula>
    </cfRule>
    <cfRule type="containsText" dxfId="1833" priority="310" operator="containsText" text="Start">
      <formula>NOT(ISERROR(SEARCH("Start",G159)))</formula>
    </cfRule>
    <cfRule type="containsText" dxfId="1832" priority="311" operator="containsText" text="N/A">
      <formula>NOT(ISERROR(SEARCH("N/A",G159)))</formula>
    </cfRule>
    <cfRule type="containsText" dxfId="1831" priority="312" operator="containsText" text="Exceeds">
      <formula>NOT(ISERROR(SEARCH("Exceeds",G159)))</formula>
    </cfRule>
    <cfRule type="containsText" dxfId="1830" priority="314" operator="containsText" text="Under">
      <formula>NOT(ISERROR(SEARCH("Under",G159)))</formula>
    </cfRule>
    <cfRule type="containsText" dxfId="1829" priority="313" operator="containsText" text="Meets">
      <formula>NOT(ISERROR(SEARCH("Meets",G159)))</formula>
    </cfRule>
  </conditionalFormatting>
  <conditionalFormatting sqref="G164 G166">
    <cfRule type="containsText" dxfId="1828" priority="291" operator="containsText" text="Under">
      <formula>NOT(ISERROR(SEARCH("Under",G164)))</formula>
    </cfRule>
    <cfRule type="containsText" dxfId="1827" priority="285" operator="containsText" text="Continue">
      <formula>NOT(ISERROR(SEARCH("Continue",G164)))</formula>
    </cfRule>
    <cfRule type="containsText" dxfId="1826" priority="286" operator="containsText" text="Stop">
      <formula>NOT(ISERROR(SEARCH("Stop",G164)))</formula>
    </cfRule>
    <cfRule type="containsText" dxfId="1825" priority="288" operator="containsText" text="N/A">
      <formula>NOT(ISERROR(SEARCH("N/A",G164)))</formula>
    </cfRule>
    <cfRule type="containsText" dxfId="1824" priority="289" operator="containsText" text="Exceeds">
      <formula>NOT(ISERROR(SEARCH("Exceeds",G164)))</formula>
    </cfRule>
    <cfRule type="containsText" dxfId="1823" priority="290" operator="containsText" text="Meets">
      <formula>NOT(ISERROR(SEARCH("Meets",G164)))</formula>
    </cfRule>
    <cfRule type="containsText" dxfId="1822" priority="287" operator="containsText" text="Start">
      <formula>NOT(ISERROR(SEARCH("Start",G164)))</formula>
    </cfRule>
  </conditionalFormatting>
  <conditionalFormatting sqref="G169 G171">
    <cfRule type="containsText" dxfId="1821" priority="258" operator="containsText" text="N/A">
      <formula>NOT(ISERROR(SEARCH("N/A",G169)))</formula>
    </cfRule>
    <cfRule type="containsText" dxfId="1820" priority="259" operator="containsText" text="Exceeds">
      <formula>NOT(ISERROR(SEARCH("Exceeds",G169)))</formula>
    </cfRule>
    <cfRule type="containsText" dxfId="1819" priority="260" operator="containsText" text="Meets">
      <formula>NOT(ISERROR(SEARCH("Meets",G169)))</formula>
    </cfRule>
    <cfRule type="containsText" dxfId="1818" priority="261" operator="containsText" text="Under">
      <formula>NOT(ISERROR(SEARCH("Under",G169)))</formula>
    </cfRule>
    <cfRule type="containsText" dxfId="1817" priority="256" operator="containsText" text="Stop">
      <formula>NOT(ISERROR(SEARCH("Stop",G169)))</formula>
    </cfRule>
    <cfRule type="containsText" dxfId="1816" priority="257" operator="containsText" text="Start">
      <formula>NOT(ISERROR(SEARCH("Start",G169)))</formula>
    </cfRule>
    <cfRule type="containsText" dxfId="1815" priority="255" operator="containsText" text="Continue">
      <formula>NOT(ISERROR(SEARCH("Continue",G169)))</formula>
    </cfRule>
  </conditionalFormatting>
  <conditionalFormatting sqref="J29">
    <cfRule type="containsText" dxfId="1814" priority="374" operator="containsText" text="Continue">
      <formula>NOT(ISERROR(SEARCH("Continue",J29)))</formula>
    </cfRule>
    <cfRule type="containsText" dxfId="1813" priority="379" operator="containsText" text="Meets">
      <formula>NOT(ISERROR(SEARCH("Meets",J29)))</formula>
    </cfRule>
    <cfRule type="containsText" dxfId="1812" priority="380" operator="containsText" text="Under">
      <formula>NOT(ISERROR(SEARCH("Under",J29)))</formula>
    </cfRule>
    <cfRule type="containsText" dxfId="1811" priority="378" operator="containsText" text="Exceeds">
      <formula>NOT(ISERROR(SEARCH("Exceeds",J29)))</formula>
    </cfRule>
    <cfRule type="containsText" dxfId="1810" priority="377" operator="containsText" text="N/A">
      <formula>NOT(ISERROR(SEARCH("N/A",J29)))</formula>
    </cfRule>
    <cfRule type="containsText" dxfId="1809" priority="376" operator="containsText" text="Start">
      <formula>NOT(ISERROR(SEARCH("Start",J29)))</formula>
    </cfRule>
    <cfRule type="containsText" dxfId="1808" priority="375" operator="containsText" text="Stop">
      <formula>NOT(ISERROR(SEARCH("Stop",J29)))</formula>
    </cfRule>
  </conditionalFormatting>
  <conditionalFormatting sqref="J31">
    <cfRule type="containsText" dxfId="1807" priority="208" operator="containsText" text="Stop">
      <formula>NOT(ISERROR(SEARCH("Stop",J31)))</formula>
    </cfRule>
    <cfRule type="containsText" dxfId="1806" priority="212" operator="containsText" text="Meets">
      <formula>NOT(ISERROR(SEARCH("Meets",J31)))</formula>
    </cfRule>
    <cfRule type="containsText" dxfId="1805" priority="211" operator="containsText" text="Exceeds">
      <formula>NOT(ISERROR(SEARCH("Exceeds",J31)))</formula>
    </cfRule>
    <cfRule type="containsText" dxfId="1804" priority="210" operator="containsText" text="N/A">
      <formula>NOT(ISERROR(SEARCH("N/A",J31)))</formula>
    </cfRule>
    <cfRule type="containsText" dxfId="1803" priority="209" operator="containsText" text="Start">
      <formula>NOT(ISERROR(SEARCH("Start",J31)))</formula>
    </cfRule>
    <cfRule type="containsText" dxfId="1802" priority="207" operator="containsText" text="Continue">
      <formula>NOT(ISERROR(SEARCH("Continue",J31)))</formula>
    </cfRule>
    <cfRule type="containsText" dxfId="1801" priority="213" operator="containsText" text="Under">
      <formula>NOT(ISERROR(SEARCH("Under",J31)))</formula>
    </cfRule>
  </conditionalFormatting>
  <conditionalFormatting sqref="J35">
    <cfRule type="containsText" dxfId="1800" priority="205" operator="containsText" text="Under">
      <formula>NOT(ISERROR(SEARCH("Under",J35)))</formula>
    </cfRule>
    <cfRule type="containsText" dxfId="1799" priority="199" operator="containsText" text="Continue">
      <formula>NOT(ISERROR(SEARCH("Continue",J35)))</formula>
    </cfRule>
    <cfRule type="containsText" dxfId="1798" priority="200" operator="containsText" text="Stop">
      <formula>NOT(ISERROR(SEARCH("Stop",J35)))</formula>
    </cfRule>
    <cfRule type="containsText" dxfId="1797" priority="201" operator="containsText" text="Start">
      <formula>NOT(ISERROR(SEARCH("Start",J35)))</formula>
    </cfRule>
    <cfRule type="containsText" dxfId="1796" priority="204" operator="containsText" text="Meets">
      <formula>NOT(ISERROR(SEARCH("Meets",J35)))</formula>
    </cfRule>
    <cfRule type="containsText" dxfId="1795" priority="203" operator="containsText" text="Exceeds">
      <formula>NOT(ISERROR(SEARCH("Exceeds",J35)))</formula>
    </cfRule>
    <cfRule type="containsText" dxfId="1794" priority="202" operator="containsText" text="N/A">
      <formula>NOT(ISERROR(SEARCH("N/A",J35)))</formula>
    </cfRule>
  </conditionalFormatting>
  <conditionalFormatting sqref="J37">
    <cfRule type="containsText" dxfId="1793" priority="195" operator="containsText" text="N/A">
      <formula>NOT(ISERROR(SEARCH("N/A",J37)))</formula>
    </cfRule>
    <cfRule type="containsText" dxfId="1792" priority="196" operator="containsText" text="Exceeds">
      <formula>NOT(ISERROR(SEARCH("Exceeds",J37)))</formula>
    </cfRule>
    <cfRule type="containsText" dxfId="1791" priority="194" operator="containsText" text="Start">
      <formula>NOT(ISERROR(SEARCH("Start",J37)))</formula>
    </cfRule>
    <cfRule type="containsText" dxfId="1790" priority="193" operator="containsText" text="Stop">
      <formula>NOT(ISERROR(SEARCH("Stop",J37)))</formula>
    </cfRule>
    <cfRule type="containsText" dxfId="1789" priority="192" operator="containsText" text="Continue">
      <formula>NOT(ISERROR(SEARCH("Continue",J37)))</formula>
    </cfRule>
    <cfRule type="containsText" dxfId="1788" priority="197" operator="containsText" text="Meets">
      <formula>NOT(ISERROR(SEARCH("Meets",J37)))</formula>
    </cfRule>
    <cfRule type="containsText" dxfId="1787" priority="198" operator="containsText" text="Under">
      <formula>NOT(ISERROR(SEARCH("Under",J37)))</formula>
    </cfRule>
  </conditionalFormatting>
  <conditionalFormatting sqref="J41">
    <cfRule type="containsText" dxfId="1786" priority="189" operator="containsText" text="Meets">
      <formula>NOT(ISERROR(SEARCH("Meets",J41)))</formula>
    </cfRule>
    <cfRule type="containsText" dxfId="1785" priority="186" operator="containsText" text="Start">
      <formula>NOT(ISERROR(SEARCH("Start",J41)))</formula>
    </cfRule>
    <cfRule type="containsText" dxfId="1784" priority="187" operator="containsText" text="N/A">
      <formula>NOT(ISERROR(SEARCH("N/A",J41)))</formula>
    </cfRule>
    <cfRule type="containsText" dxfId="1783" priority="188" operator="containsText" text="Exceeds">
      <formula>NOT(ISERROR(SEARCH("Exceeds",J41)))</formula>
    </cfRule>
    <cfRule type="containsText" dxfId="1782" priority="190" operator="containsText" text="Under">
      <formula>NOT(ISERROR(SEARCH("Under",J41)))</formula>
    </cfRule>
    <cfRule type="containsText" dxfId="1781" priority="184" operator="containsText" text="Continue">
      <formula>NOT(ISERROR(SEARCH("Continue",J41)))</formula>
    </cfRule>
    <cfRule type="containsText" dxfId="1780" priority="185" operator="containsText" text="Stop">
      <formula>NOT(ISERROR(SEARCH("Stop",J41)))</formula>
    </cfRule>
  </conditionalFormatting>
  <conditionalFormatting sqref="J43">
    <cfRule type="containsText" dxfId="1779" priority="179" operator="containsText" text="Start">
      <formula>NOT(ISERROR(SEARCH("Start",J43)))</formula>
    </cfRule>
    <cfRule type="containsText" dxfId="1778" priority="182" operator="containsText" text="Meets">
      <formula>NOT(ISERROR(SEARCH("Meets",J43)))</formula>
    </cfRule>
    <cfRule type="containsText" dxfId="1777" priority="177" operator="containsText" text="Continue">
      <formula>NOT(ISERROR(SEARCH("Continue",J43)))</formula>
    </cfRule>
    <cfRule type="containsText" dxfId="1776" priority="180" operator="containsText" text="N/A">
      <formula>NOT(ISERROR(SEARCH("N/A",J43)))</formula>
    </cfRule>
    <cfRule type="containsText" dxfId="1775" priority="183" operator="containsText" text="Under">
      <formula>NOT(ISERROR(SEARCH("Under",J43)))</formula>
    </cfRule>
    <cfRule type="containsText" dxfId="1774" priority="181" operator="containsText" text="Exceeds">
      <formula>NOT(ISERROR(SEARCH("Exceeds",J43)))</formula>
    </cfRule>
    <cfRule type="containsText" dxfId="1773" priority="178" operator="containsText" text="Stop">
      <formula>NOT(ISERROR(SEARCH("Stop",J43)))</formula>
    </cfRule>
  </conditionalFormatting>
  <conditionalFormatting sqref="J47">
    <cfRule type="containsText" dxfId="1772" priority="173" operator="containsText" text="Exceeds">
      <formula>NOT(ISERROR(SEARCH("Exceeds",J47)))</formula>
    </cfRule>
    <cfRule type="containsText" dxfId="1771" priority="169" operator="containsText" text="Continue">
      <formula>NOT(ISERROR(SEARCH("Continue",J47)))</formula>
    </cfRule>
    <cfRule type="containsText" dxfId="1770" priority="170" operator="containsText" text="Stop">
      <formula>NOT(ISERROR(SEARCH("Stop",J47)))</formula>
    </cfRule>
    <cfRule type="containsText" dxfId="1769" priority="172" operator="containsText" text="N/A">
      <formula>NOT(ISERROR(SEARCH("N/A",J47)))</formula>
    </cfRule>
    <cfRule type="containsText" dxfId="1768" priority="174" operator="containsText" text="Meets">
      <formula>NOT(ISERROR(SEARCH("Meets",J47)))</formula>
    </cfRule>
    <cfRule type="containsText" dxfId="1767" priority="175" operator="containsText" text="Under">
      <formula>NOT(ISERROR(SEARCH("Under",J47)))</formula>
    </cfRule>
    <cfRule type="containsText" dxfId="1766" priority="171" operator="containsText" text="Start">
      <formula>NOT(ISERROR(SEARCH("Start",J47)))</formula>
    </cfRule>
  </conditionalFormatting>
  <conditionalFormatting sqref="J49">
    <cfRule type="containsText" dxfId="1765" priority="168" operator="containsText" text="Under">
      <formula>NOT(ISERROR(SEARCH("Under",J49)))</formula>
    </cfRule>
    <cfRule type="containsText" dxfId="1764" priority="163" operator="containsText" text="Stop">
      <formula>NOT(ISERROR(SEARCH("Stop",J49)))</formula>
    </cfRule>
    <cfRule type="containsText" dxfId="1763" priority="167" operator="containsText" text="Meets">
      <formula>NOT(ISERROR(SEARCH("Meets",J49)))</formula>
    </cfRule>
    <cfRule type="containsText" dxfId="1762" priority="164" operator="containsText" text="Start">
      <formula>NOT(ISERROR(SEARCH("Start",J49)))</formula>
    </cfRule>
    <cfRule type="containsText" dxfId="1761" priority="162" operator="containsText" text="Continue">
      <formula>NOT(ISERROR(SEARCH("Continue",J49)))</formula>
    </cfRule>
    <cfRule type="containsText" dxfId="1760" priority="165" operator="containsText" text="N/A">
      <formula>NOT(ISERROR(SEARCH("N/A",J49)))</formula>
    </cfRule>
    <cfRule type="containsText" dxfId="1759" priority="166" operator="containsText" text="Exceeds">
      <formula>NOT(ISERROR(SEARCH("Exceeds",J49)))</formula>
    </cfRule>
  </conditionalFormatting>
  <conditionalFormatting sqref="J53">
    <cfRule type="containsText" dxfId="1758" priority="154" operator="containsText" text="Continue">
      <formula>NOT(ISERROR(SEARCH("Continue",J53)))</formula>
    </cfRule>
    <cfRule type="containsText" dxfId="1757" priority="155" operator="containsText" text="Stop">
      <formula>NOT(ISERROR(SEARCH("Stop",J53)))</formula>
    </cfRule>
    <cfRule type="containsText" dxfId="1756" priority="156" operator="containsText" text="Start">
      <formula>NOT(ISERROR(SEARCH("Start",J53)))</formula>
    </cfRule>
    <cfRule type="containsText" dxfId="1755" priority="157" operator="containsText" text="N/A">
      <formula>NOT(ISERROR(SEARCH("N/A",J53)))</formula>
    </cfRule>
    <cfRule type="containsText" dxfId="1754" priority="158" operator="containsText" text="Exceeds">
      <formula>NOT(ISERROR(SEARCH("Exceeds",J53)))</formula>
    </cfRule>
    <cfRule type="containsText" dxfId="1753" priority="159" operator="containsText" text="Meets">
      <formula>NOT(ISERROR(SEARCH("Meets",J53)))</formula>
    </cfRule>
    <cfRule type="containsText" dxfId="1752" priority="160" operator="containsText" text="Under">
      <formula>NOT(ISERROR(SEARCH("Under",J53)))</formula>
    </cfRule>
  </conditionalFormatting>
  <conditionalFormatting sqref="J55">
    <cfRule type="containsText" dxfId="1751" priority="147" operator="containsText" text="Continue">
      <formula>NOT(ISERROR(SEARCH("Continue",J55)))</formula>
    </cfRule>
    <cfRule type="containsText" dxfId="1750" priority="151" operator="containsText" text="Exceeds">
      <formula>NOT(ISERROR(SEARCH("Exceeds",J55)))</formula>
    </cfRule>
    <cfRule type="containsText" dxfId="1749" priority="152" operator="containsText" text="Meets">
      <formula>NOT(ISERROR(SEARCH("Meets",J55)))</formula>
    </cfRule>
    <cfRule type="containsText" dxfId="1748" priority="153" operator="containsText" text="Under">
      <formula>NOT(ISERROR(SEARCH("Under",J55)))</formula>
    </cfRule>
    <cfRule type="containsText" dxfId="1747" priority="148" operator="containsText" text="Stop">
      <formula>NOT(ISERROR(SEARCH("Stop",J55)))</formula>
    </cfRule>
    <cfRule type="containsText" dxfId="1746" priority="149" operator="containsText" text="Start">
      <formula>NOT(ISERROR(SEARCH("Start",J55)))</formula>
    </cfRule>
    <cfRule type="containsText" dxfId="1745" priority="150" operator="containsText" text="N/A">
      <formula>NOT(ISERROR(SEARCH("N/A",J55)))</formula>
    </cfRule>
  </conditionalFormatting>
  <conditionalFormatting sqref="J59">
    <cfRule type="containsText" dxfId="1744" priority="139" operator="containsText" text="Continue">
      <formula>NOT(ISERROR(SEARCH("Continue",J59)))</formula>
    </cfRule>
    <cfRule type="containsText" dxfId="1743" priority="140" operator="containsText" text="Stop">
      <formula>NOT(ISERROR(SEARCH("Stop",J59)))</formula>
    </cfRule>
    <cfRule type="containsText" dxfId="1742" priority="141" operator="containsText" text="Start">
      <formula>NOT(ISERROR(SEARCH("Start",J59)))</formula>
    </cfRule>
    <cfRule type="containsText" dxfId="1741" priority="142" operator="containsText" text="N/A">
      <formula>NOT(ISERROR(SEARCH("N/A",J59)))</formula>
    </cfRule>
    <cfRule type="containsText" dxfId="1740" priority="143" operator="containsText" text="Exceeds">
      <formula>NOT(ISERROR(SEARCH("Exceeds",J59)))</formula>
    </cfRule>
    <cfRule type="containsText" dxfId="1739" priority="144" operator="containsText" text="Meets">
      <formula>NOT(ISERROR(SEARCH("Meets",J59)))</formula>
    </cfRule>
    <cfRule type="containsText" dxfId="1738" priority="145" operator="containsText" text="Under">
      <formula>NOT(ISERROR(SEARCH("Under",J59)))</formula>
    </cfRule>
  </conditionalFormatting>
  <conditionalFormatting sqref="J61">
    <cfRule type="containsText" dxfId="1737" priority="134" operator="containsText" text="Start">
      <formula>NOT(ISERROR(SEARCH("Start",J61)))</formula>
    </cfRule>
    <cfRule type="containsText" dxfId="1736" priority="133" operator="containsText" text="Stop">
      <formula>NOT(ISERROR(SEARCH("Stop",J61)))</formula>
    </cfRule>
    <cfRule type="containsText" dxfId="1735" priority="135" operator="containsText" text="N/A">
      <formula>NOT(ISERROR(SEARCH("N/A",J61)))</formula>
    </cfRule>
    <cfRule type="containsText" dxfId="1734" priority="132" operator="containsText" text="Continue">
      <formula>NOT(ISERROR(SEARCH("Continue",J61)))</formula>
    </cfRule>
    <cfRule type="containsText" dxfId="1733" priority="136" operator="containsText" text="Exceeds">
      <formula>NOT(ISERROR(SEARCH("Exceeds",J61)))</formula>
    </cfRule>
    <cfRule type="containsText" dxfId="1732" priority="137" operator="containsText" text="Meets">
      <formula>NOT(ISERROR(SEARCH("Meets",J61)))</formula>
    </cfRule>
    <cfRule type="containsText" dxfId="1731" priority="138" operator="containsText" text="Under">
      <formula>NOT(ISERROR(SEARCH("Under",J61)))</formula>
    </cfRule>
  </conditionalFormatting>
  <conditionalFormatting sqref="J65">
    <cfRule type="containsText" dxfId="1730" priority="127" operator="containsText" text="N/A">
      <formula>NOT(ISERROR(SEARCH("N/A",J65)))</formula>
    </cfRule>
    <cfRule type="containsText" dxfId="1729" priority="126" operator="containsText" text="Start">
      <formula>NOT(ISERROR(SEARCH("Start",J65)))</formula>
    </cfRule>
    <cfRule type="containsText" dxfId="1728" priority="125" operator="containsText" text="Stop">
      <formula>NOT(ISERROR(SEARCH("Stop",J65)))</formula>
    </cfRule>
    <cfRule type="containsText" dxfId="1727" priority="124" operator="containsText" text="Continue">
      <formula>NOT(ISERROR(SEARCH("Continue",J65)))</formula>
    </cfRule>
    <cfRule type="containsText" dxfId="1726" priority="130" operator="containsText" text="Under">
      <formula>NOT(ISERROR(SEARCH("Under",J65)))</formula>
    </cfRule>
    <cfRule type="containsText" dxfId="1725" priority="129" operator="containsText" text="Meets">
      <formula>NOT(ISERROR(SEARCH("Meets",J65)))</formula>
    </cfRule>
    <cfRule type="containsText" dxfId="1724" priority="128" operator="containsText" text="Exceeds">
      <formula>NOT(ISERROR(SEARCH("Exceeds",J65)))</formula>
    </cfRule>
  </conditionalFormatting>
  <conditionalFormatting sqref="J67">
    <cfRule type="containsText" dxfId="1723" priority="121" operator="containsText" text="Exceeds">
      <formula>NOT(ISERROR(SEARCH("Exceeds",J67)))</formula>
    </cfRule>
    <cfRule type="containsText" dxfId="1722" priority="120" operator="containsText" text="N/A">
      <formula>NOT(ISERROR(SEARCH("N/A",J67)))</formula>
    </cfRule>
    <cfRule type="containsText" dxfId="1721" priority="119" operator="containsText" text="Start">
      <formula>NOT(ISERROR(SEARCH("Start",J67)))</formula>
    </cfRule>
    <cfRule type="containsText" dxfId="1720" priority="118" operator="containsText" text="Stop">
      <formula>NOT(ISERROR(SEARCH("Stop",J67)))</formula>
    </cfRule>
    <cfRule type="containsText" dxfId="1719" priority="117" operator="containsText" text="Continue">
      <formula>NOT(ISERROR(SEARCH("Continue",J67)))</formula>
    </cfRule>
    <cfRule type="containsText" dxfId="1718" priority="123" operator="containsText" text="Under">
      <formula>NOT(ISERROR(SEARCH("Under",J67)))</formula>
    </cfRule>
    <cfRule type="containsText" dxfId="1717" priority="122" operator="containsText" text="Meets">
      <formula>NOT(ISERROR(SEARCH("Meets",J67)))</formula>
    </cfRule>
  </conditionalFormatting>
  <conditionalFormatting sqref="J154:J156">
    <cfRule type="containsText" dxfId="1716" priority="106" operator="containsText" text="Under">
      <formula>NOT(ISERROR(SEARCH("Under",J154)))</formula>
    </cfRule>
    <cfRule type="containsText" dxfId="1715" priority="105" operator="containsText" text="Meets">
      <formula>NOT(ISERROR(SEARCH("Meets",J154)))</formula>
    </cfRule>
    <cfRule type="containsText" dxfId="1714" priority="104" operator="containsText" text="Exceeds">
      <formula>NOT(ISERROR(SEARCH("Exceeds",J154)))</formula>
    </cfRule>
    <cfRule type="containsText" dxfId="1713" priority="103" operator="containsText" text="N/A">
      <formula>NOT(ISERROR(SEARCH("N/A",J154)))</formula>
    </cfRule>
    <cfRule type="containsText" dxfId="1712" priority="102" operator="containsText" text="Start">
      <formula>NOT(ISERROR(SEARCH("Start",J154)))</formula>
    </cfRule>
    <cfRule type="containsText" dxfId="1711" priority="101" operator="containsText" text="Stop">
      <formula>NOT(ISERROR(SEARCH("Stop",J154)))</formula>
    </cfRule>
    <cfRule type="containsText" dxfId="1710"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{DEC23FE8-FA19-4982-B753-8D421C7A5B7F}</x14:id>
        </ext>
      </extLst>
    </cfRule>
    <cfRule type="dataBar" priority="107">
      <dataBar>
        <cfvo type="num" val="0"/>
        <cfvo type="num" val="1"/>
        <color theme="0" tint="-0.249977111117893"/>
      </dataBar>
      <extLst>
        <ext xmlns:x14="http://schemas.microsoft.com/office/spreadsheetml/2009/9/main" uri="{B025F937-C7B1-47D3-B67F-A62EFF666E3E}">
          <x14:id>{F3F82BB7-B195-47F2-8FE6-D16E3A59C64A}</x14:id>
        </ext>
      </extLst>
    </cfRule>
  </conditionalFormatting>
  <conditionalFormatting sqref="J159 J164">
    <cfRule type="containsText" dxfId="1709" priority="435" operator="containsText" text="Stop">
      <formula>NOT(ISERROR(SEARCH("Stop",J159)))</formula>
    </cfRule>
    <cfRule type="containsText" dxfId="1708" priority="437" operator="containsText" text="N/A">
      <formula>NOT(ISERROR(SEARCH("N/A",J159)))</formula>
    </cfRule>
    <cfRule type="containsText" dxfId="1707" priority="436" operator="containsText" text="Start">
      <formula>NOT(ISERROR(SEARCH("Start",J159)))</formula>
    </cfRule>
    <cfRule type="containsText" dxfId="1706" priority="438" operator="containsText" text="Exceeds">
      <formula>NOT(ISERROR(SEARCH("Exceeds",J159)))</formula>
    </cfRule>
    <cfRule type="containsText" dxfId="1705" priority="439" operator="containsText" text="Meets">
      <formula>NOT(ISERROR(SEARCH("Meets",J159)))</formula>
    </cfRule>
    <cfRule type="containsText" dxfId="1704" priority="440" operator="containsText" text="Under">
      <formula>NOT(ISERROR(SEARCH("Under",J159)))</formula>
    </cfRule>
    <cfRule type="containsText" dxfId="1703" priority="434" operator="containsText" text="Continue">
      <formula>NOT(ISERROR(SEARCH("Continue",J159)))</formula>
    </cfRule>
  </conditionalFormatting>
  <conditionalFormatting sqref="J161">
    <cfRule type="containsText" dxfId="1702" priority="306" operator="containsText" text="Meets">
      <formula>NOT(ISERROR(SEARCH("Meets",J161)))</formula>
    </cfRule>
    <cfRule type="containsText" dxfId="1701" priority="305" operator="containsText" text="Exceeds">
      <formula>NOT(ISERROR(SEARCH("Exceeds",J161)))</formula>
    </cfRule>
    <cfRule type="containsText" dxfId="1700" priority="304" operator="containsText" text="N/A">
      <formula>NOT(ISERROR(SEARCH("N/A",J161)))</formula>
    </cfRule>
    <cfRule type="containsText" dxfId="1699" priority="303" operator="containsText" text="Start">
      <formula>NOT(ISERROR(SEARCH("Start",J161)))</formula>
    </cfRule>
    <cfRule type="containsText" dxfId="1698" priority="302" operator="containsText" text="Stop">
      <formula>NOT(ISERROR(SEARCH("Stop",J161)))</formula>
    </cfRule>
    <cfRule type="containsText" dxfId="1697" priority="301" operator="containsText" text="Continue">
      <formula>NOT(ISERROR(SEARCH("Continue",J161)))</formula>
    </cfRule>
    <cfRule type="containsText" dxfId="1696" priority="307" operator="containsText" text="Under">
      <formula>NOT(ISERROR(SEARCH("Under",J161)))</formula>
    </cfRule>
  </conditionalFormatting>
  <conditionalFormatting sqref="J166">
    <cfRule type="containsText" dxfId="1695" priority="282" operator="containsText" text="Exceeds">
      <formula>NOT(ISERROR(SEARCH("Exceeds",J166)))</formula>
    </cfRule>
    <cfRule type="containsText" dxfId="1694" priority="284" operator="containsText" text="Under">
      <formula>NOT(ISERROR(SEARCH("Under",J166)))</formula>
    </cfRule>
    <cfRule type="containsText" dxfId="1693" priority="281" operator="containsText" text="N/A">
      <formula>NOT(ISERROR(SEARCH("N/A",J166)))</formula>
    </cfRule>
    <cfRule type="containsText" dxfId="1692" priority="280" operator="containsText" text="Start">
      <formula>NOT(ISERROR(SEARCH("Start",J166)))</formula>
    </cfRule>
    <cfRule type="containsText" dxfId="1691" priority="279" operator="containsText" text="Stop">
      <formula>NOT(ISERROR(SEARCH("Stop",J166)))</formula>
    </cfRule>
    <cfRule type="containsText" dxfId="1690" priority="278" operator="containsText" text="Continue">
      <formula>NOT(ISERROR(SEARCH("Continue",J166)))</formula>
    </cfRule>
    <cfRule type="containsText" dxfId="1689" priority="283" operator="containsText" text="Meets">
      <formula>NOT(ISERROR(SEARCH("Meets",J166)))</formula>
    </cfRule>
  </conditionalFormatting>
  <conditionalFormatting sqref="J169">
    <cfRule type="containsText" dxfId="1688" priority="273" operator="containsText" text="Start">
      <formula>NOT(ISERROR(SEARCH("Start",J169)))</formula>
    </cfRule>
    <cfRule type="containsText" dxfId="1687" priority="272" operator="containsText" text="Stop">
      <formula>NOT(ISERROR(SEARCH("Stop",J169)))</formula>
    </cfRule>
    <cfRule type="containsText" dxfId="1686" priority="276" operator="containsText" text="Meets">
      <formula>NOT(ISERROR(SEARCH("Meets",J169)))</formula>
    </cfRule>
    <cfRule type="containsText" dxfId="1685" priority="271" operator="containsText" text="Continue">
      <formula>NOT(ISERROR(SEARCH("Continue",J169)))</formula>
    </cfRule>
    <cfRule type="containsText" dxfId="1684" priority="277" operator="containsText" text="Under">
      <formula>NOT(ISERROR(SEARCH("Under",J169)))</formula>
    </cfRule>
    <cfRule type="containsText" dxfId="1683" priority="274" operator="containsText" text="N/A">
      <formula>NOT(ISERROR(SEARCH("N/A",J169)))</formula>
    </cfRule>
    <cfRule type="containsText" dxfId="1682" priority="275" operator="containsText" text="Exceeds">
      <formula>NOT(ISERROR(SEARCH("Exceeds",J169)))</formula>
    </cfRule>
  </conditionalFormatting>
  <conditionalFormatting sqref="J171">
    <cfRule type="containsText" dxfId="1681" priority="248" operator="containsText" text="Continue">
      <formula>NOT(ISERROR(SEARCH("Continue",J171)))</formula>
    </cfRule>
    <cfRule type="containsText" dxfId="1680" priority="249" operator="containsText" text="Stop">
      <formula>NOT(ISERROR(SEARCH("Stop",J171)))</formula>
    </cfRule>
    <cfRule type="containsText" dxfId="1679" priority="251" operator="containsText" text="N/A">
      <formula>NOT(ISERROR(SEARCH("N/A",J171)))</formula>
    </cfRule>
    <cfRule type="containsText" dxfId="1678" priority="252" operator="containsText" text="Exceeds">
      <formula>NOT(ISERROR(SEARCH("Exceeds",J171)))</formula>
    </cfRule>
    <cfRule type="containsText" dxfId="1677" priority="250" operator="containsText" text="Start">
      <formula>NOT(ISERROR(SEARCH("Start",J171)))</formula>
    </cfRule>
    <cfRule type="containsText" dxfId="1676" priority="253" operator="containsText" text="Meets">
      <formula>NOT(ISERROR(SEARCH("Meets",J171)))</formula>
    </cfRule>
    <cfRule type="containsText" dxfId="1675" priority="254" operator="containsText" text="Under">
      <formula>NOT(ISERROR(SEARCH("Under",J171)))</formula>
    </cfRule>
  </conditionalFormatting>
  <conditionalFormatting sqref="M62 M68">
    <cfRule type="containsText" dxfId="1674" priority="448" operator="containsText" text="N/A">
      <formula>NOT(ISERROR(SEARCH("N/A",M62)))</formula>
    </cfRule>
    <cfRule type="containsText" dxfId="1673" priority="449" operator="containsText" text="Exceeds">
      <formula>NOT(ISERROR(SEARCH("Exceeds",M62)))</formula>
    </cfRule>
    <cfRule type="containsText" dxfId="1672" priority="450" operator="containsText" text="Meets">
      <formula>NOT(ISERROR(SEARCH("Meets",M62)))</formula>
    </cfRule>
    <cfRule type="containsText" dxfId="1671" priority="451" operator="containsText" text="Under">
      <formula>NOT(ISERROR(SEARCH("Under",M62)))</formula>
    </cfRule>
  </conditionalFormatting>
  <conditionalFormatting sqref="Q14:Q16">
    <cfRule type="containsText" dxfId="1670" priority="453" operator="containsText" text="Exceeds">
      <formula>NOT(ISERROR(SEARCH("Exceeds",Q14)))</formula>
    </cfRule>
    <cfRule type="containsText" dxfId="1669" priority="454" operator="containsText" text="Meets">
      <formula>NOT(ISERROR(SEARCH("Meets",Q14)))</formula>
    </cfRule>
    <cfRule type="containsText" dxfId="1668" priority="455" operator="containsText" text="Under">
      <formula>NOT(ISERROR(SEARCH("Under",Q14)))</formula>
    </cfRule>
    <cfRule type="containsText" dxfId="1667" priority="452" operator="containsText" text="N/A">
      <formula>NOT(ISERROR(SEARCH("N/A",Q14)))</formula>
    </cfRule>
  </conditionalFormatting>
  <dataValidations count="8">
    <dataValidation type="list" allowBlank="1" showInputMessage="1" showErrorMessage="1" sqref="J73:J80" xr:uid="{B151917B-134E-4CDF-9ADB-1F25DD1E2E5D}">
      <formula1>"Yes, No"</formula1>
    </dataValidation>
    <dataValidation type="list" allowBlank="1" showInputMessage="1" showErrorMessage="1" sqref="G73:G80" xr:uid="{E38CADAE-84BF-46BA-B1FF-65A70994A206}">
      <formula1>"Online self-paced, Online, Hybrid, In person, Peer learning"</formula1>
    </dataValidation>
    <dataValidation type="list" allowBlank="1" showInputMessage="1" showErrorMessage="1" sqref="F178:F179" xr:uid="{E1863689-71B9-490D-9B67-21AAB050F079}">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C7DA65AF-1920-46B0-B3DD-A1E59D88C79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BAEDBFB5-2DD5-4524-B8E4-61E00B1B31C2}"/>
    <dataValidation allowBlank="1" showInputMessage="1" showErrorMessage="1" prompt="Cells I9 through BL9 contain the day number of the month for the Month represented in the cell block above each date cell and are auto calculated._x000a_Do not modify these cells._x000a_" sqref="A8:C8" xr:uid="{560C3F2F-84E9-4F88-94DA-ACFFD0A2E97D}"/>
    <dataValidation allowBlank="1" showInputMessage="1" showErrorMessage="1" prompt="Enter Company Name in cell B4._x000a_A legend is in cells I4 through AC4.  The Legend label is in cell G4." sqref="A2:C2" xr:uid="{A3E058ED-F7E3-4848-A720-2A7CA04D381D}"/>
    <dataValidation type="list" allowBlank="1" showInputMessage="1" showErrorMessage="1" sqref="L73:L80" xr:uid="{19260475-799E-4FA9-9329-51A73B0A4F82}">
      <formula1>"0, 1, 2, 3, 4, 5, 6, 7, 8, 9, 10"</formula1>
    </dataValidation>
  </dataValidations>
  <hyperlinks>
    <hyperlink ref="G85:H85" r:id="rId1" location=":~:text=use%20the%20method.-,Examples%20of%20SMART%20Goals,-We%20will%C2%A0create" display="Examples of SMART Goals" xr:uid="{1907C9FF-3AE4-44C7-9265-0DE52E1EAD13}"/>
    <hyperlink ref="G85" r:id="rId2" location=":~:text=Examples%20of%20S.M.A.R.T.%20Goals" display="https://www.forbes.com/advisor/business/smart-goals/#:~:text=Examples%20of%20S.M.A.R.T.%20Goals" xr:uid="{8E03887F-C315-4B93-B6BB-626BC712B780}"/>
    <hyperlink ref="I85" r:id="rId3" location=":~:text=use%20the%20method.-,Examples%20of%20SMART%20Goals,-We%20will%C2%A0create" display="Examples of SMART Goals" xr:uid="{5E72723E-2E49-45F3-B6CF-13A30D16E65E}"/>
  </hyperlinks>
  <printOptions horizontalCentered="1"/>
  <pageMargins left="0.23622047244094491" right="0.23622047244094491" top="0.39370078740157483" bottom="0.39370078740157483" header="0.39370078740157483" footer="0.31496062992125984"/>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F1BC6584-EFF1-43E5-AF41-73E9813CF5CC}">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D308A892-55A3-4EC2-AE13-260B1737DEAB}">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1C0C1D8-E7C5-4C09-8042-EE9C63E1BD3E}">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5DF36C-D9EE-49DF-A031-46A7355C99D4}">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1721BD83-598F-4F51-A56A-1AC61D795152}">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A917121-117D-46CE-BACF-2C84EC856F1F}">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DFDD840B-D0FB-40FD-A752-A767D7CBD9D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791F70D3-2B4D-4413-8A66-C2BBB368C100}">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8339088B-F026-492E-A5FA-F7F341BA94E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CB8AA88-7BE0-47DB-B33E-142DA08A7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C84C9913-EF46-44B9-A8B1-8BCDF2E3BC9A}">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337B14A-458A-4FC8-BF5C-49069A4FC38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CE8E384-2171-4A35-8A2B-9B7BD92E3C6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D64DF44B-67DC-4DAD-AC10-2CFF617BCC50}">
            <x14:dataBar minLength="0" maxLength="100" gradient="0">
              <x14:cfvo type="num">
                <xm:f>0</xm:f>
              </x14:cfvo>
              <x14:cfvo type="num">
                <xm:f>1</xm:f>
              </x14:cfvo>
              <x14:negativeFillColor rgb="FFFF0000"/>
              <x14:axisColor rgb="FF000000"/>
            </x14:dataBar>
          </x14:cfRule>
          <x14:cfRule type="dataBar" id="{7520A4A5-22AE-4D4C-BB67-85CE8EB8301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5C10D21B-130B-41B6-BE1D-F857A08D6CB2}">
            <x14:dataBar minLength="0" maxLength="100" gradient="0">
              <x14:cfvo type="num">
                <xm:f>0</xm:f>
              </x14:cfvo>
              <x14:cfvo type="num">
                <xm:f>1</xm:f>
              </x14:cfvo>
              <x14:negativeFillColor rgb="FFFF0000"/>
              <x14:axisColor rgb="FF000000"/>
            </x14:dataBar>
          </x14:cfRule>
          <x14:cfRule type="dataBar" id="{AC8B0B57-D44B-4BF9-94A1-7CC2C3E2823D}">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ED5CCEDB-1545-49BF-8C1A-62659B677999}">
            <x14:dataBar minLength="0" maxLength="100" gradient="0">
              <x14:cfvo type="num">
                <xm:f>0</xm:f>
              </x14:cfvo>
              <x14:cfvo type="num">
                <xm:f>1</xm:f>
              </x14:cfvo>
              <x14:negativeFillColor rgb="FFFF0000"/>
              <x14:axisColor rgb="FF000000"/>
            </x14:dataBar>
          </x14:cfRule>
          <x14:cfRule type="dataBar" id="{045A0DC2-854E-409A-B0EE-C6B6BA22E048}">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7D833A53-48DB-4924-B932-81BE84C9E793}">
            <x14:dataBar minLength="0" maxLength="100" gradient="0">
              <x14:cfvo type="num">
                <xm:f>0</xm:f>
              </x14:cfvo>
              <x14:cfvo type="num">
                <xm:f>1</xm:f>
              </x14:cfvo>
              <x14:negativeFillColor rgb="FFFF0000"/>
              <x14:axisColor rgb="FF000000"/>
            </x14:dataBar>
          </x14:cfRule>
          <x14:cfRule type="dataBar" id="{2A460C8C-8591-4CDF-9CDD-125840BF36EC}">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3F3D98C3-5E65-427A-9884-29BDE58CB75C}">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9A49CDC1-9F75-42DA-A1FD-142CDC5A6C0E}">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E3BE7522-D6D6-445E-916E-C239500B61D5}">
            <x14:dataBar minLength="0" maxLength="100" gradient="0">
              <x14:cfvo type="num">
                <xm:f>0</xm:f>
              </x14:cfvo>
              <x14:cfvo type="num">
                <xm:f>1</xm:f>
              </x14:cfvo>
              <x14:negativeFillColor rgb="FFFF0000"/>
              <x14:axisColor rgb="FF000000"/>
            </x14:dataBar>
          </x14:cfRule>
          <x14:cfRule type="dataBar" id="{4DBBD331-4BD1-4FF2-81CB-A5740D94B6E6}">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2C4FF909-A75E-46CE-BCBD-CA8A37804180}">
            <x14:dataBar minLength="0" maxLength="100" gradient="0">
              <x14:cfvo type="num">
                <xm:f>0</xm:f>
              </x14:cfvo>
              <x14:cfvo type="num">
                <xm:f>1</xm:f>
              </x14:cfvo>
              <x14:negativeFillColor rgb="FFFF0000"/>
              <x14:axisColor rgb="FF000000"/>
            </x14:dataBar>
          </x14:cfRule>
          <x14:cfRule type="dataBar" id="{2494F7C9-8399-4D5C-8B76-8FE9B9824EFD}">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D071B08E-FA81-4B1D-9622-C4D61FD071B9}">
            <x14:dataBar minLength="0" maxLength="100" gradient="0">
              <x14:cfvo type="num">
                <xm:f>0</xm:f>
              </x14:cfvo>
              <x14:cfvo type="num">
                <xm:f>1</xm:f>
              </x14:cfvo>
              <x14:negativeFillColor rgb="FFFF0000"/>
              <x14:axisColor rgb="FF000000"/>
            </x14:dataBar>
          </x14:cfRule>
          <x14:cfRule type="dataBar" id="{718EACF8-DA16-4477-BE23-B57E588973E0}">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E6E5169D-5CA2-4CAC-BEF4-62EE4ED46D67}">
            <x14:dataBar minLength="0" maxLength="100" gradient="0">
              <x14:cfvo type="num">
                <xm:f>0</xm:f>
              </x14:cfvo>
              <x14:cfvo type="num">
                <xm:f>1</xm:f>
              </x14:cfvo>
              <x14:negativeFillColor rgb="FFFF0000"/>
              <x14:axisColor rgb="FF000000"/>
            </x14:dataBar>
          </x14:cfRule>
          <x14:cfRule type="dataBar" id="{BD950648-B2A2-43B1-8738-D32A84FF9AF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C8B6CBE8-8B21-4A47-8E07-75B1616CD9D2}">
            <x14:dataBar minLength="0" maxLength="100" gradient="0">
              <x14:cfvo type="num">
                <xm:f>0</xm:f>
              </x14:cfvo>
              <x14:cfvo type="num">
                <xm:f>1</xm:f>
              </x14:cfvo>
              <x14:negativeFillColor rgb="FFFF0000"/>
              <x14:axisColor rgb="FF000000"/>
            </x14:dataBar>
          </x14:cfRule>
          <x14:cfRule type="dataBar" id="{5D21A742-2DA6-4D03-9733-DA91F546D5C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6B504D0D-45ED-4A5B-A062-32BE5DCB7215}">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3BF44689-FACC-44A9-B4BF-F1EF98CA1BE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165B865-0850-4FDC-8413-D1808E558E50}">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9FBCC2B-2CDD-417C-89B7-915392BDC7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9111B758-D2CB-4014-9808-4C23B3382C8D}">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A79747BA-D432-4FC7-B5EB-9AF0BA114EA7}">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FB5D7F91-4685-4F04-8EB0-8AF29CE255E4}">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8E3475B4-46DB-43BF-B320-528056E8BF4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DEC23FE8-FA19-4982-B753-8D421C7A5B7F}">
            <x14:dataBar minLength="0" maxLength="100" gradient="0">
              <x14:cfvo type="num">
                <xm:f>0</xm:f>
              </x14:cfvo>
              <x14:cfvo type="num">
                <xm:f>1</xm:f>
              </x14:cfvo>
              <x14:negativeFillColor rgb="FFFF0000"/>
              <x14:axisColor rgb="FF000000"/>
            </x14:dataBar>
          </x14:cfRule>
          <x14:cfRule type="dataBar" id="{F3F82BB7-B195-47F2-8FE6-D16E3A59C64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1DB-3FBF-4463-9401-673078E40422}">
  <sheetPr>
    <pageSetUpPr autoPageBreaks="0" fitToPage="1"/>
  </sheetPr>
  <dimension ref="A1:Q191"/>
  <sheetViews>
    <sheetView topLeftCell="A162"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22" t="str">
        <f>'CC 2023'!E2</f>
        <v>Employee Name</v>
      </c>
      <c r="F2" s="522"/>
      <c r="G2" s="522"/>
      <c r="H2" s="522"/>
      <c r="I2" s="150"/>
      <c r="J2" s="150"/>
      <c r="K2" s="133"/>
      <c r="L2" s="144" t="e">
        <f>CONCATENATE(G146,"/",Q174)</f>
        <v>#DIV/0!</v>
      </c>
      <c r="M2" s="151"/>
      <c r="O2" s="149"/>
    </row>
    <row r="3" spans="1:17" s="148" customFormat="1" ht="23.25" customHeight="1" x14ac:dyDescent="0.25">
      <c r="A3" s="100"/>
      <c r="B3" s="100"/>
      <c r="C3" s="101"/>
      <c r="D3" s="107"/>
      <c r="E3" s="152">
        <v>2024</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235" t="str">
        <f>'CC 2024'!F6</f>
        <v xml:space="preserve">Full Stack Developer </v>
      </c>
      <c r="G6" s="236"/>
      <c r="H6" s="236"/>
      <c r="I6" s="236"/>
      <c r="J6" s="236"/>
      <c r="K6" s="236"/>
      <c r="L6" s="237"/>
      <c r="M6" s="154"/>
      <c r="O6" s="124"/>
    </row>
    <row r="7" spans="1:17" s="148" customFormat="1" ht="50.45" customHeight="1" x14ac:dyDescent="0.35">
      <c r="A7" s="100"/>
      <c r="B7" s="100"/>
      <c r="C7" s="101"/>
      <c r="D7" s="107"/>
      <c r="E7" s="105" t="s">
        <v>3</v>
      </c>
      <c r="F7" s="238" t="str">
        <f>'CC 2024'!F7</f>
        <v xml:space="preserve">Anael </v>
      </c>
      <c r="G7" s="239"/>
      <c r="H7" s="239"/>
      <c r="I7" s="239"/>
      <c r="J7" s="239"/>
      <c r="K7" s="239"/>
      <c r="L7" s="240"/>
      <c r="M7" s="154"/>
      <c r="O7" s="124"/>
    </row>
    <row r="8" spans="1:17" s="148" customFormat="1" ht="50.45" customHeight="1" thickBot="1" x14ac:dyDescent="0.4">
      <c r="A8" s="100"/>
      <c r="B8" s="100"/>
      <c r="C8" s="101"/>
      <c r="D8" s="103"/>
      <c r="E8" s="106" t="s">
        <v>4</v>
      </c>
      <c r="F8" s="241">
        <f>'CC 2024'!F8</f>
        <v>45475</v>
      </c>
      <c r="G8" s="242"/>
      <c r="H8" s="242"/>
      <c r="I8" s="242"/>
      <c r="J8" s="242"/>
      <c r="K8" s="242"/>
      <c r="L8" s="243"/>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t="s">
        <v>216</v>
      </c>
      <c r="G10" s="245"/>
      <c r="H10" s="245"/>
      <c r="I10" s="245"/>
      <c r="J10" s="245"/>
      <c r="K10" s="245"/>
      <c r="L10" s="246"/>
      <c r="M10" s="151"/>
      <c r="O10" s="149"/>
      <c r="Q10" s="124"/>
    </row>
    <row r="11" spans="1:17" s="148" customFormat="1" ht="50.45" customHeight="1" thickBot="1" x14ac:dyDescent="0.4">
      <c r="C11" s="155"/>
      <c r="D11" s="156"/>
      <c r="E11" s="106" t="s">
        <v>6</v>
      </c>
      <c r="F11" s="247" t="s">
        <v>216</v>
      </c>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TBD</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thickBot="1" x14ac:dyDescent="0.4">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TBD</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thickBot="1" x14ac:dyDescent="0.4">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286" t="str">
        <f>'CC 2024'!F28</f>
        <v>Technology – Spring Boot, Java ,  MySQL , Graph DB , Docker, Groovy, Node.js , Angular , SQL, Unix , shell scripts</v>
      </c>
      <c r="G28" s="286"/>
      <c r="H28" s="286"/>
      <c r="I28" s="286"/>
      <c r="J28" s="286"/>
      <c r="K28" s="286"/>
      <c r="L28" s="287"/>
      <c r="M28" s="44"/>
    </row>
    <row r="29" spans="4:13" ht="43.5" customHeight="1" x14ac:dyDescent="0.35">
      <c r="D29" s="158"/>
      <c r="E29" s="270" t="str">
        <f>CONCATENATE("Mid-year meeting - ", TEXT($F$10,"dd/mm/yyyy"))</f>
        <v>Mid-year meeting - TBD</v>
      </c>
      <c r="F29" s="117"/>
      <c r="G29" s="272" t="str">
        <f>'CC 2023'!E2</f>
        <v>Employee Name</v>
      </c>
      <c r="H29" s="273"/>
      <c r="I29" s="274"/>
      <c r="J29" s="275" t="str">
        <f>F7</f>
        <v xml:space="preserve">Anael </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TBD</v>
      </c>
      <c r="F31" s="117"/>
      <c r="G31" s="272" t="str">
        <f>'CC 2023'!E2</f>
        <v>Employee Name</v>
      </c>
      <c r="H31" s="273"/>
      <c r="I31" s="274"/>
      <c r="J31" s="275" t="str">
        <f>F7</f>
        <v xml:space="preserve">Anael </v>
      </c>
      <c r="K31" s="273"/>
      <c r="L31" s="276"/>
      <c r="M31" s="44"/>
    </row>
    <row r="32" spans="4:13" ht="110.25" customHeight="1" thickBot="1" x14ac:dyDescent="0.4">
      <c r="D32" s="158"/>
      <c r="E32" s="271"/>
      <c r="F32" s="99"/>
      <c r="G32" s="277"/>
      <c r="H32" s="278"/>
      <c r="I32" s="279"/>
      <c r="J32" s="280"/>
      <c r="K32" s="278"/>
      <c r="L32" s="281"/>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282" t="str">
        <f>'CC 2024'!F34</f>
        <v>Tools  - Grafana, GitLab, Jenkins , Confluence , OTRS , JIRA, OpenNMS , MariaDb , Postgres DB</v>
      </c>
      <c r="G34" s="283"/>
      <c r="H34" s="283"/>
      <c r="I34" s="283"/>
      <c r="J34" s="283"/>
      <c r="K34" s="283"/>
      <c r="L34" s="284"/>
      <c r="M34" s="44"/>
    </row>
    <row r="35" spans="4:13" ht="43.5" customHeight="1" x14ac:dyDescent="0.35">
      <c r="D35" s="158"/>
      <c r="E35" s="270" t="str">
        <f>CONCATENATE("Mid-year meeting - ", TEXT($F$10,"dd/mm/yyyy"))</f>
        <v>Mid-year meeting - TBD</v>
      </c>
      <c r="F35" s="117"/>
      <c r="G35" s="272" t="str">
        <f>'CC 2023'!E2</f>
        <v>Employee Name</v>
      </c>
      <c r="H35" s="273"/>
      <c r="I35" s="274"/>
      <c r="J35" s="275" t="str">
        <f>F7</f>
        <v xml:space="preserve">Anael </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TBD</v>
      </c>
      <c r="F37" s="117"/>
      <c r="G37" s="272" t="str">
        <f>'CC 2023'!E2</f>
        <v>Employee Name</v>
      </c>
      <c r="H37" s="273"/>
      <c r="I37" s="274"/>
      <c r="J37" s="275" t="str">
        <f>F7</f>
        <v xml:space="preserve">Anael </v>
      </c>
      <c r="K37" s="273"/>
      <c r="L37" s="276"/>
      <c r="M37" s="44"/>
    </row>
    <row r="38" spans="4:13" ht="144.94999999999999" customHeight="1" thickBot="1" x14ac:dyDescent="0.4">
      <c r="D38" s="158"/>
      <c r="E38" s="271"/>
      <c r="F38" s="99"/>
      <c r="G38" s="277"/>
      <c r="H38" s="278"/>
      <c r="I38" s="279"/>
      <c r="J38" s="280"/>
      <c r="K38" s="278"/>
      <c r="L38" s="281"/>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282" t="str">
        <f>'CC 2024'!F40</f>
        <v>Integration – Pentahu</v>
      </c>
      <c r="G40" s="283"/>
      <c r="H40" s="283"/>
      <c r="I40" s="283"/>
      <c r="J40" s="283"/>
      <c r="K40" s="283"/>
      <c r="L40" s="284"/>
      <c r="M40" s="44"/>
    </row>
    <row r="41" spans="4:13" ht="43.5" customHeight="1" x14ac:dyDescent="0.35">
      <c r="D41" s="158"/>
      <c r="E41" s="270" t="str">
        <f>CONCATENATE("Mid-year meeting - ", TEXT($F$10,"dd/mm/yyyy"))</f>
        <v>Mid-year meeting - TBD</v>
      </c>
      <c r="F41" s="117"/>
      <c r="G41" s="272" t="str">
        <f>'CC 2023'!E2</f>
        <v>Employee Name</v>
      </c>
      <c r="H41" s="273"/>
      <c r="I41" s="274"/>
      <c r="J41" s="275" t="str">
        <f>F7</f>
        <v xml:space="preserve">Anael </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TBD</v>
      </c>
      <c r="F43" s="117"/>
      <c r="G43" s="272" t="str">
        <f>'CC 2023'!E2</f>
        <v>Employee Name</v>
      </c>
      <c r="H43" s="273"/>
      <c r="I43" s="274"/>
      <c r="J43" s="275" t="str">
        <f>F7</f>
        <v xml:space="preserve">Anael </v>
      </c>
      <c r="K43" s="273"/>
      <c r="L43" s="276"/>
      <c r="M43" s="44"/>
    </row>
    <row r="44" spans="4:13" ht="113.45" customHeight="1" thickBot="1" x14ac:dyDescent="0.4">
      <c r="D44" s="158"/>
      <c r="E44" s="271"/>
      <c r="F44" s="99"/>
      <c r="G44" s="294"/>
      <c r="H44" s="295"/>
      <c r="I44" s="296"/>
      <c r="J44" s="280"/>
      <c r="K44" s="278"/>
      <c r="L44" s="281"/>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282">
        <f>'CC 2024'!F46</f>
        <v>0</v>
      </c>
      <c r="G46" s="283"/>
      <c r="H46" s="283"/>
      <c r="I46" s="283"/>
      <c r="J46" s="283"/>
      <c r="K46" s="283"/>
      <c r="L46" s="284"/>
      <c r="M46" s="44"/>
    </row>
    <row r="47" spans="4:13" ht="43.5" customHeight="1" x14ac:dyDescent="0.35">
      <c r="D47" s="156"/>
      <c r="E47" s="270" t="str">
        <f>CONCATENATE("Mid-year meeting - ", TEXT($F$10,"dd/mm/yyyy"))</f>
        <v>Mid-year meeting - TBD</v>
      </c>
      <c r="F47" s="117"/>
      <c r="G47" s="272" t="str">
        <f>'CC 2023'!E2</f>
        <v>Employee Name</v>
      </c>
      <c r="H47" s="273"/>
      <c r="I47" s="274"/>
      <c r="J47" s="275" t="str">
        <f>F7</f>
        <v xml:space="preserve">Anael </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TBD</v>
      </c>
      <c r="F49" s="117"/>
      <c r="G49" s="272" t="str">
        <f>'CC 2023'!E2</f>
        <v>Employee Name</v>
      </c>
      <c r="H49" s="273"/>
      <c r="I49" s="274"/>
      <c r="J49" s="275" t="str">
        <f>F7</f>
        <v xml:space="preserve">Anael </v>
      </c>
      <c r="K49" s="273"/>
      <c r="L49" s="276"/>
      <c r="M49" s="44"/>
    </row>
    <row r="50" spans="4:13" ht="110.25" customHeight="1" thickBot="1" x14ac:dyDescent="0.4">
      <c r="D50" s="156"/>
      <c r="E50" s="271"/>
      <c r="F50" s="99"/>
      <c r="G50" s="277"/>
      <c r="H50" s="278"/>
      <c r="I50" s="279"/>
      <c r="J50" s="280"/>
      <c r="K50" s="278"/>
      <c r="L50" s="281"/>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282">
        <f>'CC 2024'!F52</f>
        <v>0</v>
      </c>
      <c r="G52" s="283"/>
      <c r="H52" s="283"/>
      <c r="I52" s="283"/>
      <c r="J52" s="283"/>
      <c r="K52" s="283"/>
      <c r="L52" s="284"/>
      <c r="M52" s="44"/>
    </row>
    <row r="53" spans="4:13" ht="43.5" customHeight="1" x14ac:dyDescent="0.35">
      <c r="D53" s="156"/>
      <c r="E53" s="270" t="str">
        <f>CONCATENATE("Mid-year meeting - ", TEXT($F$10,"dd/mm/yyyy"))</f>
        <v>Mid-year meeting - TBD</v>
      </c>
      <c r="F53" s="117"/>
      <c r="G53" s="272" t="str">
        <f>'CC 2023'!E2</f>
        <v>Employee Name</v>
      </c>
      <c r="H53" s="273"/>
      <c r="I53" s="274"/>
      <c r="J53" s="275" t="str">
        <f>F7</f>
        <v xml:space="preserve">Anael </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TBD</v>
      </c>
      <c r="F55" s="117"/>
      <c r="G55" s="272" t="str">
        <f>'CC 2023'!E2</f>
        <v>Employee Name</v>
      </c>
      <c r="H55" s="273"/>
      <c r="I55" s="274"/>
      <c r="J55" s="275" t="str">
        <f>F7</f>
        <v xml:space="preserve">Anael </v>
      </c>
      <c r="K55" s="273"/>
      <c r="L55" s="276"/>
      <c r="M55" s="44"/>
    </row>
    <row r="56" spans="4:13" ht="110.25" customHeight="1" thickBot="1" x14ac:dyDescent="0.4">
      <c r="D56" s="156"/>
      <c r="E56" s="271"/>
      <c r="F56" s="99"/>
      <c r="G56" s="277"/>
      <c r="H56" s="278"/>
      <c r="I56" s="279"/>
      <c r="J56" s="280"/>
      <c r="K56" s="278"/>
      <c r="L56" s="281"/>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286">
        <f>'CC 2024'!F58</f>
        <v>0</v>
      </c>
      <c r="G58" s="286"/>
      <c r="H58" s="286"/>
      <c r="I58" s="286"/>
      <c r="J58" s="286"/>
      <c r="K58" s="286"/>
      <c r="L58" s="287"/>
      <c r="M58" s="44"/>
    </row>
    <row r="59" spans="4:13" ht="43.5" customHeight="1" x14ac:dyDescent="0.35">
      <c r="D59" s="156"/>
      <c r="E59" s="270" t="str">
        <f>CONCATENATE("Mid-year meeting - ", TEXT($F$10,"dd/mm/yyyy"))</f>
        <v>Mid-year meeting - TBD</v>
      </c>
      <c r="F59" s="117"/>
      <c r="G59" s="272" t="str">
        <f>'CC 2023'!E2</f>
        <v>Employee Name</v>
      </c>
      <c r="H59" s="273"/>
      <c r="I59" s="274"/>
      <c r="J59" s="275" t="str">
        <f>F7</f>
        <v xml:space="preserve">Anael </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TBD</v>
      </c>
      <c r="F61" s="117"/>
      <c r="G61" s="272" t="str">
        <f>'CC 2023'!E2</f>
        <v>Employee Name</v>
      </c>
      <c r="H61" s="273"/>
      <c r="I61" s="274"/>
      <c r="J61" s="275" t="str">
        <f>F7</f>
        <v xml:space="preserve">Anael </v>
      </c>
      <c r="K61" s="273"/>
      <c r="L61" s="276"/>
      <c r="M61" s="44"/>
    </row>
    <row r="62" spans="4:13" ht="110.25" customHeight="1" thickBot="1" x14ac:dyDescent="0.4">
      <c r="D62" s="156"/>
      <c r="E62" s="271"/>
      <c r="F62" s="145"/>
      <c r="G62" s="297"/>
      <c r="H62" s="298"/>
      <c r="I62" s="299"/>
      <c r="J62" s="280"/>
      <c r="K62" s="278"/>
      <c r="L62" s="281"/>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286">
        <f>'CC 2024'!F64</f>
        <v>0</v>
      </c>
      <c r="G64" s="286"/>
      <c r="H64" s="286"/>
      <c r="I64" s="286"/>
      <c r="J64" s="286"/>
      <c r="K64" s="286"/>
      <c r="L64" s="287"/>
      <c r="M64" s="44"/>
    </row>
    <row r="65" spans="3:15" ht="43.5" customHeight="1" x14ac:dyDescent="0.35">
      <c r="D65" s="156"/>
      <c r="E65" s="270" t="str">
        <f>CONCATENATE("Mid-year meeting - ", TEXT($F$10,"dd/mm/yyyy"))</f>
        <v>Mid-year meeting - TBD</v>
      </c>
      <c r="F65" s="117"/>
      <c r="G65" s="272" t="str">
        <f>'CC 2023'!E2</f>
        <v>Employee Name</v>
      </c>
      <c r="H65" s="273"/>
      <c r="I65" s="274"/>
      <c r="J65" s="275" t="str">
        <f>F7</f>
        <v xml:space="preserve">Anael </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TBD</v>
      </c>
      <c r="F67" s="117"/>
      <c r="G67" s="272" t="str">
        <f>'CC 2023'!E2</f>
        <v>Employee Name</v>
      </c>
      <c r="H67" s="273"/>
      <c r="I67" s="274"/>
      <c r="J67" s="275" t="str">
        <f>F7</f>
        <v xml:space="preserve">Anael </v>
      </c>
      <c r="K67" s="273"/>
      <c r="L67" s="276"/>
      <c r="M67" s="44"/>
    </row>
    <row r="68" spans="3:15" ht="110.25" customHeight="1" thickBot="1" x14ac:dyDescent="0.4">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60" t="s">
        <v>25</v>
      </c>
      <c r="F71" s="260"/>
      <c r="G71" s="260"/>
      <c r="H71" s="260"/>
      <c r="I71" s="260"/>
      <c r="J71" s="260"/>
      <c r="K71" s="260"/>
      <c r="L71" s="260"/>
      <c r="M71" s="44"/>
    </row>
    <row r="72" spans="3:15" s="163" customFormat="1" ht="78.599999999999994" customHeight="1" thickBot="1" x14ac:dyDescent="0.4">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2"/>
      <c r="K74" s="81"/>
      <c r="L74" s="89"/>
      <c r="M74" s="44"/>
    </row>
    <row r="75" spans="3:15" ht="77.25"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thickBot="1" x14ac:dyDescent="0.4">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thickBot="1" x14ac:dyDescent="0.4">
      <c r="D85" s="158"/>
      <c r="E85" s="260" t="s">
        <v>35</v>
      </c>
      <c r="F85" s="260"/>
      <c r="G85" s="123" t="s">
        <v>36</v>
      </c>
      <c r="H85" s="123"/>
      <c r="I85" s="123"/>
      <c r="J85" s="107"/>
      <c r="K85" s="107"/>
      <c r="L85" s="107"/>
      <c r="M85" s="44"/>
    </row>
    <row r="86" spans="3:15" ht="74.25" customHeight="1" thickBot="1" x14ac:dyDescent="0.4">
      <c r="C86" s="164"/>
      <c r="D86" s="158"/>
      <c r="E86" s="57"/>
      <c r="F86" s="306" t="s">
        <v>37</v>
      </c>
      <c r="G86" s="306"/>
      <c r="H86" s="306"/>
      <c r="I86" s="306"/>
      <c r="J86" s="306"/>
      <c r="K86" s="306"/>
      <c r="L86" s="307"/>
      <c r="M86" s="44"/>
      <c r="O86" s="124"/>
    </row>
    <row r="87" spans="3:15" ht="91.5" customHeight="1" x14ac:dyDescent="0.35">
      <c r="C87" s="164"/>
      <c r="D87" s="158"/>
      <c r="E87" s="56" t="s">
        <v>38</v>
      </c>
      <c r="F87" s="539" t="str">
        <f>'CC 2024'!F87</f>
        <v>Support container architecture</v>
      </c>
      <c r="G87" s="313"/>
      <c r="H87" s="313"/>
      <c r="I87" s="313"/>
      <c r="J87" s="313"/>
      <c r="K87" s="313"/>
      <c r="L87" s="314"/>
      <c r="M87" s="44"/>
      <c r="O87" s="124"/>
    </row>
    <row r="88" spans="3:15" ht="53.45" customHeight="1" x14ac:dyDescent="0.35">
      <c r="C88" s="164"/>
      <c r="D88" s="158"/>
      <c r="E88" s="315" t="s">
        <v>40</v>
      </c>
      <c r="F88" s="316" t="s">
        <v>41</v>
      </c>
      <c r="G88" s="317"/>
      <c r="H88" s="318"/>
      <c r="I88" s="70" t="s">
        <v>42</v>
      </c>
      <c r="J88" s="70" t="s">
        <v>43</v>
      </c>
      <c r="K88" s="70" t="s">
        <v>44</v>
      </c>
      <c r="L88" s="125" t="s">
        <v>45</v>
      </c>
      <c r="M88" s="44"/>
    </row>
    <row r="89" spans="3:15" ht="131.1" customHeight="1" x14ac:dyDescent="0.35">
      <c r="C89" s="164"/>
      <c r="D89" s="158"/>
      <c r="E89" s="315"/>
      <c r="F89" s="344" t="str">
        <f>'CC 2024'!F89</f>
        <v xml:space="preserve">Be proficient on troubleshooting the newly migrated servers onto containers. </v>
      </c>
      <c r="G89" s="345"/>
      <c r="H89" s="346"/>
      <c r="I89" s="143" t="str">
        <f>'CC 2024'!I89</f>
        <v>Be able to fix issues</v>
      </c>
      <c r="J89" s="143" t="str">
        <f>'CC 2024'!J89</f>
        <v>With Akshat knowledge transfer</v>
      </c>
      <c r="K89" s="143" t="str">
        <f>'CC 2024'!K89</f>
        <v>We need a ressource able to maintain this when Akshat has left.</v>
      </c>
      <c r="L89" s="75" t="str">
        <f>'CC 2024'!L89</f>
        <v>By 31/05/2024</v>
      </c>
      <c r="M89" s="44"/>
      <c r="O89" s="322" t="b">
        <f>IF(L89="Fails to meet objective", 4, IF(L89="Partially meets objective", 3, IF(L89="Meets expectations", 2, IF(L89="Exceeds expectations", 1,IF(L89="To be done", "")))))</f>
        <v>0</v>
      </c>
    </row>
    <row r="90" spans="3:15" ht="53.45" customHeight="1" x14ac:dyDescent="0.35">
      <c r="C90" s="164"/>
      <c r="D90" s="158"/>
      <c r="E90" s="315"/>
      <c r="F90" s="323" t="str">
        <f>'CC 2023'!E2</f>
        <v>Employee Name</v>
      </c>
      <c r="G90" s="324"/>
      <c r="H90" s="324"/>
      <c r="I90" s="324"/>
      <c r="J90" s="324"/>
      <c r="K90" s="324"/>
      <c r="L90" s="325"/>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TBD</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TBD</v>
      </c>
      <c r="F93" s="330"/>
      <c r="G93" s="331"/>
      <c r="H93" s="334"/>
      <c r="I93" s="335"/>
      <c r="J93" s="335"/>
      <c r="K93" s="335"/>
      <c r="L93" s="336"/>
      <c r="M93" s="44"/>
      <c r="O93" s="322"/>
    </row>
    <row r="94" spans="3:15" ht="53.45" customHeight="1" x14ac:dyDescent="0.35">
      <c r="C94" s="164"/>
      <c r="D94" s="158"/>
      <c r="E94" s="315"/>
      <c r="F94" s="342" t="str">
        <f>F7</f>
        <v xml:space="preserve">Anael </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TBD</v>
      </c>
      <c r="F96" s="330"/>
      <c r="G96" s="331"/>
      <c r="H96" s="330"/>
      <c r="I96" s="332"/>
      <c r="J96" s="332"/>
      <c r="K96" s="332"/>
      <c r="L96" s="333"/>
      <c r="M96" s="44"/>
      <c r="O96" s="322"/>
    </row>
    <row r="97" spans="3:15" ht="135.94999999999999" customHeight="1" thickBot="1" x14ac:dyDescent="0.4">
      <c r="C97" s="164"/>
      <c r="D97" s="158"/>
      <c r="E97" s="126" t="str">
        <f>CONCATENATE("End-of-year meeting - ", TEXT($F$11,"dd/mm/yyyy"))</f>
        <v>End-of-year meeting - TBD</v>
      </c>
      <c r="F97" s="330"/>
      <c r="G97" s="331"/>
      <c r="H97" s="334"/>
      <c r="I97" s="335"/>
      <c r="J97" s="335"/>
      <c r="K97" s="335"/>
      <c r="L97" s="336"/>
      <c r="M97" s="44"/>
      <c r="O97" s="322"/>
    </row>
    <row r="98" spans="3:15" ht="74.25" customHeight="1" thickBot="1" x14ac:dyDescent="0.4">
      <c r="C98" s="164"/>
      <c r="D98" s="158"/>
      <c r="E98" s="57"/>
      <c r="F98" s="306" t="s">
        <v>53</v>
      </c>
      <c r="G98" s="306"/>
      <c r="H98" s="306"/>
      <c r="I98" s="306"/>
      <c r="J98" s="306"/>
      <c r="K98" s="306"/>
      <c r="L98" s="307"/>
      <c r="M98" s="44"/>
      <c r="O98" s="124"/>
    </row>
    <row r="99" spans="3:15" ht="91.5" customHeight="1" x14ac:dyDescent="0.35">
      <c r="C99" s="164"/>
      <c r="D99" s="158"/>
      <c r="E99" s="56" t="s">
        <v>38</v>
      </c>
      <c r="F99" s="338" t="str">
        <f>'CC 2024'!F99</f>
        <v>Improve NRMS usability</v>
      </c>
      <c r="G99" s="338"/>
      <c r="H99" s="338"/>
      <c r="I99" s="338"/>
      <c r="J99" s="338"/>
      <c r="K99" s="338"/>
      <c r="L99" s="339"/>
      <c r="M99" s="44"/>
      <c r="O99" s="124"/>
    </row>
    <row r="100" spans="3:15" ht="53.45" customHeight="1" x14ac:dyDescent="0.35">
      <c r="C100" s="164"/>
      <c r="D100" s="158"/>
      <c r="E100" s="315" t="s">
        <v>40</v>
      </c>
      <c r="F100" s="340" t="s">
        <v>41</v>
      </c>
      <c r="G100" s="340"/>
      <c r="H100" s="340"/>
      <c r="I100" s="70" t="s">
        <v>42</v>
      </c>
      <c r="J100" s="70" t="s">
        <v>43</v>
      </c>
      <c r="K100" s="70" t="s">
        <v>44</v>
      </c>
      <c r="L100" s="125" t="s">
        <v>45</v>
      </c>
      <c r="M100" s="44"/>
    </row>
    <row r="101" spans="3:15" ht="177.75" customHeight="1" x14ac:dyDescent="0.35">
      <c r="C101" s="164"/>
      <c r="D101" s="158"/>
      <c r="E101" s="315"/>
      <c r="F101" s="344" t="str">
        <f>'CC 2024'!F101</f>
        <v xml:space="preserve">In collaboration with NOC and Thasa, evaluate, prioritize, and improve features/GUI to make NRMS more user friendly. </v>
      </c>
      <c r="G101" s="345"/>
      <c r="H101" s="346"/>
      <c r="I101" s="143" t="str">
        <f>'CC 2024'!I101</f>
        <v>Based on targets defined by Thasa/NOC</v>
      </c>
      <c r="J101" s="143" t="str">
        <f>'CC 2024'!J101</f>
        <v>With support of NOC &amp; Thasa</v>
      </c>
      <c r="K101" s="143" t="str">
        <f>'CC 2024'!K101</f>
        <v>NRMS is our primary tool to manage ressources and it must be "sexy" to use.</v>
      </c>
      <c r="L101" s="75" t="str">
        <f>'CC 2024'!L101</f>
        <v>Q3 2024</v>
      </c>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TBD</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TBD</v>
      </c>
      <c r="F105" s="330"/>
      <c r="G105" s="331"/>
      <c r="H105" s="334"/>
      <c r="I105" s="335"/>
      <c r="J105" s="335"/>
      <c r="K105" s="335"/>
      <c r="L105" s="336"/>
      <c r="M105" s="44"/>
      <c r="N105" s="165"/>
      <c r="O105" s="322"/>
    </row>
    <row r="106" spans="3:15" ht="53.45" customHeight="1" x14ac:dyDescent="0.35">
      <c r="C106" s="164"/>
      <c r="D106" s="158"/>
      <c r="E106" s="315"/>
      <c r="F106" s="342" t="str">
        <f>F7</f>
        <v xml:space="preserve">Anael </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TBD</v>
      </c>
      <c r="F108" s="330"/>
      <c r="G108" s="331"/>
      <c r="H108" s="330"/>
      <c r="I108" s="332"/>
      <c r="J108" s="332"/>
      <c r="K108" s="332"/>
      <c r="L108" s="333"/>
      <c r="M108" s="44"/>
      <c r="N108" s="165"/>
      <c r="O108" s="322"/>
    </row>
    <row r="109" spans="3:15" ht="135.94999999999999" customHeight="1" thickBot="1" x14ac:dyDescent="0.4">
      <c r="C109" s="164"/>
      <c r="D109" s="158"/>
      <c r="E109" s="126" t="str">
        <f>CONCATENATE("End-of-year meeting - ", TEXT($F$11,"dd/mm/yyyy"))</f>
        <v>End-of-year meeting - TBD</v>
      </c>
      <c r="F109" s="330"/>
      <c r="G109" s="331"/>
      <c r="H109" s="334"/>
      <c r="I109" s="335"/>
      <c r="J109" s="335"/>
      <c r="K109" s="335"/>
      <c r="L109" s="336"/>
      <c r="M109" s="44"/>
      <c r="N109" s="165"/>
      <c r="O109" s="322"/>
    </row>
    <row r="110" spans="3:15" ht="74.25" customHeight="1" thickBot="1" x14ac:dyDescent="0.4">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338" t="str">
        <f>'CC 2024'!F111</f>
        <v>Allow Service delivery team to provision new services on stats portal &amp; NRMS</v>
      </c>
      <c r="G111" s="338"/>
      <c r="H111" s="338"/>
      <c r="I111" s="338"/>
      <c r="J111" s="338"/>
      <c r="K111" s="338"/>
      <c r="L111" s="339"/>
      <c r="M111" s="44"/>
      <c r="O111" s="124"/>
    </row>
    <row r="112" spans="3:15" ht="53.45" customHeight="1" x14ac:dyDescent="0.35">
      <c r="C112" s="164"/>
      <c r="D112" s="158"/>
      <c r="E112" s="315" t="s">
        <v>40</v>
      </c>
      <c r="F112" s="340" t="s">
        <v>41</v>
      </c>
      <c r="G112" s="340"/>
      <c r="H112" s="340"/>
      <c r="I112" s="127" t="s">
        <v>42</v>
      </c>
      <c r="J112" s="127" t="s">
        <v>43</v>
      </c>
      <c r="K112" s="127" t="s">
        <v>44</v>
      </c>
      <c r="L112" s="128" t="s">
        <v>45</v>
      </c>
      <c r="M112" s="44"/>
    </row>
    <row r="113" spans="3:15" ht="186.75" customHeight="1" x14ac:dyDescent="0.35">
      <c r="C113" s="164"/>
      <c r="D113" s="158"/>
      <c r="E113" s="315"/>
      <c r="F113" s="344" t="str">
        <f>'CC 2024'!F113</f>
        <v xml:space="preserve">Each time we onboard or remove a circuit/customer, IT-Dev is involved to manually create the entries in Stats portal, NRMS and Customer Portal. I'd like this process to be handled by Service Delivery team. </v>
      </c>
      <c r="G113" s="345"/>
      <c r="H113" s="346"/>
      <c r="I113" s="143" t="str">
        <f>'CC 2024'!I113</f>
        <v xml:space="preserve">100% successfull usage by Service Delivery team </v>
      </c>
      <c r="J113" s="143" t="str">
        <f>'CC 2024'!J113</f>
        <v xml:space="preserve">by designing and implementing tool </v>
      </c>
      <c r="K113" s="143" t="str">
        <f>'CC 2024'!K113</f>
        <v>To reduce load on IT-DEV and allow SD to be autonomous</v>
      </c>
      <c r="L113" s="75" t="str">
        <f>'CC 2024'!L113</f>
        <v>Q4 2024</v>
      </c>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TBD</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TBD</v>
      </c>
      <c r="F117" s="330"/>
      <c r="G117" s="331"/>
      <c r="H117" s="334"/>
      <c r="I117" s="335"/>
      <c r="J117" s="335"/>
      <c r="K117" s="335"/>
      <c r="L117" s="336"/>
      <c r="M117" s="44"/>
      <c r="O117" s="322"/>
    </row>
    <row r="118" spans="3:15" ht="53.45" customHeight="1" x14ac:dyDescent="0.35">
      <c r="C118" s="164"/>
      <c r="D118" s="158"/>
      <c r="E118" s="315"/>
      <c r="F118" s="342" t="str">
        <f>F7</f>
        <v xml:space="preserve">Anael </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TBD</v>
      </c>
      <c r="F120" s="330"/>
      <c r="G120" s="331"/>
      <c r="H120" s="330"/>
      <c r="I120" s="332"/>
      <c r="J120" s="332"/>
      <c r="K120" s="332"/>
      <c r="L120" s="333"/>
      <c r="M120" s="44"/>
      <c r="O120" s="322"/>
    </row>
    <row r="121" spans="3:15" ht="135.94999999999999" customHeight="1" thickBot="1" x14ac:dyDescent="0.4">
      <c r="C121" s="164"/>
      <c r="D121" s="158"/>
      <c r="E121" s="126" t="str">
        <f>CONCATENATE("End-of-year meeting - ", TEXT($F$11,"dd/mm/yyyy"))</f>
        <v>End-of-year meeting - TBD</v>
      </c>
      <c r="F121" s="330"/>
      <c r="G121" s="331"/>
      <c r="H121" s="334"/>
      <c r="I121" s="335"/>
      <c r="J121" s="335"/>
      <c r="K121" s="335"/>
      <c r="L121" s="336"/>
      <c r="M121" s="44"/>
      <c r="O121" s="322"/>
    </row>
    <row r="122" spans="3:15" ht="74.25" customHeight="1" thickBot="1" x14ac:dyDescent="0.4">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539" t="str">
        <f>'CC 2024'!F123</f>
        <v>Investigate how a chatbot / AI can help NOC operations</v>
      </c>
      <c r="G123" s="313"/>
      <c r="H123" s="313"/>
      <c r="I123" s="313"/>
      <c r="J123" s="313"/>
      <c r="K123" s="313"/>
      <c r="L123" s="314"/>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t="str">
        <f>'CC 2024'!F125</f>
        <v>Based on the ticket information, NRMS data, Stats portal data, identify and suggest how AI/Chatbot can help daily operations of the NOC / Service Delivery</v>
      </c>
      <c r="G125" s="345"/>
      <c r="H125" s="346"/>
      <c r="I125" s="143" t="str">
        <f>'CC 2024'!I125</f>
        <v>prototype delivered to Anael / roadmap ready to be implemented in 2025</v>
      </c>
      <c r="J125" s="143" t="str">
        <f>'CC 2024'!J125</f>
        <v xml:space="preserve">thanks to Exploration / gather Akshat researchs </v>
      </c>
      <c r="K125" s="143" t="str">
        <f>'CC 2024'!K125</f>
        <v>To facilitate NOC / Service delivery gathering of information</v>
      </c>
      <c r="L125" s="75" t="str">
        <f>'CC 2024'!L125</f>
        <v>Q4 2024</v>
      </c>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TBD</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TBD</v>
      </c>
      <c r="F129" s="330"/>
      <c r="G129" s="331"/>
      <c r="H129" s="334"/>
      <c r="I129" s="335"/>
      <c r="J129" s="335"/>
      <c r="K129" s="335"/>
      <c r="L129" s="336"/>
      <c r="M129" s="44"/>
      <c r="O129" s="322"/>
    </row>
    <row r="130" spans="3:15" ht="53.45" customHeight="1" x14ac:dyDescent="0.35">
      <c r="C130" s="164"/>
      <c r="D130" s="158"/>
      <c r="E130" s="315"/>
      <c r="F130" s="342" t="str">
        <f>F7</f>
        <v xml:space="preserve">Anael </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TBD</v>
      </c>
      <c r="F132" s="330"/>
      <c r="G132" s="331"/>
      <c r="H132" s="330"/>
      <c r="I132" s="332"/>
      <c r="J132" s="332"/>
      <c r="K132" s="332"/>
      <c r="L132" s="333"/>
      <c r="M132" s="44"/>
      <c r="O132" s="322"/>
    </row>
    <row r="133" spans="3:15" ht="135.94999999999999" customHeight="1" thickBot="1" x14ac:dyDescent="0.4">
      <c r="C133" s="164"/>
      <c r="D133" s="158"/>
      <c r="E133" s="126" t="str">
        <f>CONCATENATE("End-of-year meeting - ", TEXT($F$11,"dd/mm/yyyy"))</f>
        <v>End-of-year meeting - TBD</v>
      </c>
      <c r="F133" s="330"/>
      <c r="G133" s="331"/>
      <c r="H133" s="334"/>
      <c r="I133" s="335"/>
      <c r="J133" s="335"/>
      <c r="K133" s="335"/>
      <c r="L133" s="336"/>
      <c r="M133" s="44"/>
      <c r="O133" s="322"/>
    </row>
    <row r="134" spans="3:15" ht="74.25" customHeight="1" thickBot="1" x14ac:dyDescent="0.4">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338" t="str">
        <f>'CC 2024'!F135</f>
        <v xml:space="preserve">Deliver on User Requests </v>
      </c>
      <c r="G135" s="338"/>
      <c r="H135" s="338"/>
      <c r="I135" s="338"/>
      <c r="J135" s="338"/>
      <c r="K135" s="338"/>
      <c r="L135" s="339"/>
      <c r="M135" s="44"/>
      <c r="O135" s="124"/>
    </row>
    <row r="136" spans="3:15" ht="53.45" customHeight="1" x14ac:dyDescent="0.35">
      <c r="C136" s="164"/>
      <c r="D136" s="158"/>
      <c r="E136" s="352" t="s">
        <v>40</v>
      </c>
      <c r="F136" s="340" t="s">
        <v>41</v>
      </c>
      <c r="G136" s="340"/>
      <c r="H136" s="340"/>
      <c r="I136" s="127" t="s">
        <v>42</v>
      </c>
      <c r="J136" s="127" t="s">
        <v>43</v>
      </c>
      <c r="K136" s="127" t="s">
        <v>44</v>
      </c>
      <c r="L136" s="128" t="s">
        <v>45</v>
      </c>
      <c r="M136" s="44"/>
    </row>
    <row r="137" spans="3:15" ht="220.5" customHeight="1" x14ac:dyDescent="0.35">
      <c r="C137" s="164"/>
      <c r="D137" s="158"/>
      <c r="E137" s="352"/>
      <c r="F137" s="344" t="str">
        <f>'CC 2024'!F137</f>
        <v xml:space="preserve">To be able to support Eng, NOC, Service Delivery teams new feature requests and support existing systems </v>
      </c>
      <c r="G137" s="345"/>
      <c r="H137" s="346"/>
      <c r="I137" s="143" t="str">
        <f>'CC 2024'!I137</f>
        <v xml:space="preserve">1-100 % New feature requests implemented 
2- support - No major concern raised by relevant teams &amp; most of the issues should get fixed within resonable timeframes  </v>
      </c>
      <c r="J137" s="143" t="str">
        <f>'CC 2024'!J137</f>
        <v xml:space="preserve">Yes, after knowledge transfer </v>
      </c>
      <c r="K137" s="143" t="str">
        <f>'CC 2024'!K137</f>
        <v xml:space="preserve">To be able to maintain existing resources managed by Dev Team </v>
      </c>
      <c r="L137" s="75" t="str">
        <f>'CC 2024'!L137</f>
        <v>Q2 2024</v>
      </c>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TBD</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TBD</v>
      </c>
      <c r="F141" s="330"/>
      <c r="G141" s="331"/>
      <c r="H141" s="334"/>
      <c r="I141" s="335"/>
      <c r="J141" s="335"/>
      <c r="K141" s="335"/>
      <c r="L141" s="336"/>
      <c r="M141" s="44"/>
      <c r="O141" s="322"/>
    </row>
    <row r="142" spans="3:15" ht="53.45" customHeight="1" x14ac:dyDescent="0.35">
      <c r="C142" s="164"/>
      <c r="D142" s="158"/>
      <c r="E142" s="352"/>
      <c r="F142" s="359" t="str">
        <f>F7</f>
        <v xml:space="preserve">Anael </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TBD</v>
      </c>
      <c r="F144" s="330"/>
      <c r="G144" s="331"/>
      <c r="H144" s="330"/>
      <c r="I144" s="332"/>
      <c r="J144" s="332"/>
      <c r="K144" s="332"/>
      <c r="L144" s="333"/>
      <c r="M144" s="44"/>
      <c r="O144" s="322"/>
    </row>
    <row r="145" spans="3:17" ht="135.94999999999999" customHeight="1" thickBot="1" x14ac:dyDescent="0.4">
      <c r="C145" s="164"/>
      <c r="D145" s="158"/>
      <c r="E145" s="129" t="str">
        <f>CONCATENATE("End-of-year meeting - ", TEXT($F$11,"dd/mm/yyyy"))</f>
        <v>End-of-year meeting - TBD</v>
      </c>
      <c r="F145" s="540"/>
      <c r="G145" s="541"/>
      <c r="H145" s="542"/>
      <c r="I145" s="543"/>
      <c r="J145" s="543"/>
      <c r="K145" s="543"/>
      <c r="L145" s="544"/>
      <c r="M145" s="44"/>
      <c r="O145" s="322"/>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thickBot="1" x14ac:dyDescent="0.4">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TBD</v>
      </c>
      <c r="F154" s="224" t="s">
        <v>64</v>
      </c>
      <c r="G154" s="368" t="str">
        <f>'CC 2023'!E2</f>
        <v>Employee Name</v>
      </c>
      <c r="H154" s="368"/>
      <c r="I154" s="368"/>
      <c r="J154" s="368" t="str">
        <f>F7</f>
        <v xml:space="preserve">Anael </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TBD</v>
      </c>
      <c r="F156" s="224" t="s">
        <v>64</v>
      </c>
      <c r="G156" s="361" t="str">
        <f>'CC 2023'!E2</f>
        <v>Employee Name</v>
      </c>
      <c r="H156" s="361"/>
      <c r="I156" s="361"/>
      <c r="J156" s="361" t="str">
        <f>F7</f>
        <v xml:space="preserve">Anael </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thickBot="1" x14ac:dyDescent="0.4">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TBD</v>
      </c>
      <c r="F159" s="224" t="s">
        <v>64</v>
      </c>
      <c r="G159" s="377" t="str">
        <f>'CC 2023'!E2</f>
        <v>Employee Name</v>
      </c>
      <c r="H159" s="378"/>
      <c r="I159" s="379"/>
      <c r="J159" s="380" t="str">
        <f>F7</f>
        <v xml:space="preserve">Anael </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TBD</v>
      </c>
      <c r="F161" s="224" t="s">
        <v>64</v>
      </c>
      <c r="G161" s="391" t="str">
        <f>'CC 2023'!E2</f>
        <v>Employee Name</v>
      </c>
      <c r="H161" s="392"/>
      <c r="I161" s="393"/>
      <c r="J161" s="394" t="str">
        <f>F7</f>
        <v xml:space="preserve">Anael </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thickBot="1" x14ac:dyDescent="0.4">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TBD</v>
      </c>
      <c r="F164" s="224" t="s">
        <v>64</v>
      </c>
      <c r="G164" s="377" t="str">
        <f>'CC 2023'!E2</f>
        <v>Employee Name</v>
      </c>
      <c r="H164" s="378"/>
      <c r="I164" s="379"/>
      <c r="J164" s="377" t="str">
        <f>F7</f>
        <v xml:space="preserve">Anael </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TBD</v>
      </c>
      <c r="F166" s="224" t="s">
        <v>64</v>
      </c>
      <c r="G166" s="391" t="str">
        <f>'CC 2023'!E2</f>
        <v>Employee Name</v>
      </c>
      <c r="H166" s="392"/>
      <c r="I166" s="393"/>
      <c r="J166" s="391" t="str">
        <f>F7</f>
        <v xml:space="preserve">Anael </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thickBot="1" x14ac:dyDescent="0.4">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TBD</v>
      </c>
      <c r="F169" s="224" t="s">
        <v>64</v>
      </c>
      <c r="G169" s="368" t="str">
        <f>'CC 2023'!E2</f>
        <v>Employee Name</v>
      </c>
      <c r="H169" s="368"/>
      <c r="I169" s="368"/>
      <c r="J169" s="368" t="str">
        <f>F7</f>
        <v xml:space="preserve">Anael </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TBD</v>
      </c>
      <c r="F171" s="224" t="s">
        <v>64</v>
      </c>
      <c r="G171" s="361" t="str">
        <f>'CC 2023'!E2</f>
        <v>Employee Name</v>
      </c>
      <c r="H171" s="361"/>
      <c r="I171" s="361"/>
      <c r="J171" s="361" t="str">
        <f>F7</f>
        <v xml:space="preserve">Anael </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t="str">
        <f>F7</f>
        <v xml:space="preserve">Anael </v>
      </c>
      <c r="K177" s="415"/>
      <c r="L177" s="416"/>
      <c r="M177" s="44"/>
      <c r="Q177" s="148"/>
    </row>
    <row r="178" spans="4:17" ht="111" customHeight="1" x14ac:dyDescent="0.35">
      <c r="D178" s="158"/>
      <c r="E178" s="139" t="str">
        <f>CONCATENATE("Mid-year meeting - ",TEXT($F$10,"dd/mm/yyyy"))</f>
        <v>Mid-year meeting - TBD</v>
      </c>
      <c r="F178" s="176"/>
      <c r="G178" s="373"/>
      <c r="H178" s="373"/>
      <c r="I178" s="373"/>
      <c r="J178" s="418"/>
      <c r="K178" s="418"/>
      <c r="L178" s="419"/>
      <c r="M178" s="44"/>
    </row>
    <row r="179" spans="4:17" ht="111" customHeight="1" x14ac:dyDescent="0.35">
      <c r="D179" s="158"/>
      <c r="E179" s="140" t="str">
        <f>CONCATENATE("End-of-year meeting - ", TEXT($F$11,"dd/mm/yyyy"))</f>
        <v>End-of-year meeting - TBD</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8" t="s">
        <v>80</v>
      </c>
      <c r="I186" s="428"/>
      <c r="J186" s="428"/>
      <c r="K186" s="428" t="s">
        <v>81</v>
      </c>
      <c r="L186" s="428"/>
      <c r="M186" s="44"/>
    </row>
    <row r="187" spans="4:17" ht="129.75" customHeight="1" x14ac:dyDescent="0.35">
      <c r="D187" s="158"/>
      <c r="E187" s="141" t="str">
        <f>CONCATENATE("Mid-year meeting - ",TEXT($F$10,"dd/mm/yyyy"))</f>
        <v>Mid-year meeting - TBD</v>
      </c>
      <c r="F187" s="422"/>
      <c r="G187" s="422"/>
      <c r="H187" s="422"/>
      <c r="I187" s="422"/>
      <c r="J187" s="422"/>
      <c r="K187" s="422"/>
      <c r="L187" s="422"/>
      <c r="M187" s="44"/>
    </row>
    <row r="188" spans="4:17" ht="129.75" customHeight="1" x14ac:dyDescent="0.35">
      <c r="D188" s="158"/>
      <c r="E188" s="142" t="str">
        <f>CONCATENATE("End-of-year meeting - ", TEXT($F$11,"dd/mm/yyyy"))</f>
        <v>End-of-year meeting - TBD</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wVnl6M6ynIUTLHeiCZXhskfLHhfys6b9y4fNFrigkxO19FrDCTnlVUvuhQWv8I5ndoluhrtvoXKb9dNDmTgOxg==" saltValue="HjGu1w4L1HfoL9EsU76KsQ==" spinCount="100000" sheet="1" formatCells="0" formatColumns="0" formatRows="0"/>
  <mergeCells count="286">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F168:L168"/>
    <mergeCell ref="F163:L163"/>
    <mergeCell ref="E164:E165"/>
    <mergeCell ref="G164:I164"/>
    <mergeCell ref="J164:L164"/>
    <mergeCell ref="G165:I165"/>
    <mergeCell ref="J165:L165"/>
    <mergeCell ref="E175:L175"/>
    <mergeCell ref="E176:L176"/>
    <mergeCell ref="E161:E162"/>
    <mergeCell ref="G161:I161"/>
    <mergeCell ref="J161:L161"/>
    <mergeCell ref="G162:I162"/>
    <mergeCell ref="J162:L162"/>
    <mergeCell ref="E166:E167"/>
    <mergeCell ref="G166:I166"/>
    <mergeCell ref="J166:L166"/>
    <mergeCell ref="G167:I167"/>
    <mergeCell ref="J167:L16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O137:O145"/>
    <mergeCell ref="E138:E139"/>
    <mergeCell ref="F138:L138"/>
    <mergeCell ref="F139:G139"/>
    <mergeCell ref="H139:L139"/>
    <mergeCell ref="F140:G140"/>
    <mergeCell ref="H140:L140"/>
    <mergeCell ref="F144:G144"/>
    <mergeCell ref="H144:L144"/>
    <mergeCell ref="F145:G145"/>
    <mergeCell ref="H145:L145"/>
    <mergeCell ref="F134:L134"/>
    <mergeCell ref="F135:L135"/>
    <mergeCell ref="F129:G129"/>
    <mergeCell ref="H129:L129"/>
    <mergeCell ref="E130:E131"/>
    <mergeCell ref="F130:L130"/>
    <mergeCell ref="F131:G131"/>
    <mergeCell ref="H131:L131"/>
    <mergeCell ref="E136:E137"/>
    <mergeCell ref="F136:H136"/>
    <mergeCell ref="F137:H137"/>
    <mergeCell ref="O125:O133"/>
    <mergeCell ref="E126:E127"/>
    <mergeCell ref="F126:L126"/>
    <mergeCell ref="F127:G127"/>
    <mergeCell ref="H127:L127"/>
    <mergeCell ref="F128:G128"/>
    <mergeCell ref="H128:L128"/>
    <mergeCell ref="F132:G132"/>
    <mergeCell ref="H132:L132"/>
    <mergeCell ref="F133:G133"/>
    <mergeCell ref="H133:L133"/>
    <mergeCell ref="F122:L122"/>
    <mergeCell ref="F123:L123"/>
    <mergeCell ref="F117:G117"/>
    <mergeCell ref="H117:L117"/>
    <mergeCell ref="E118:E119"/>
    <mergeCell ref="F118:L118"/>
    <mergeCell ref="F119:G119"/>
    <mergeCell ref="H119:L119"/>
    <mergeCell ref="E124:E125"/>
    <mergeCell ref="F124:H124"/>
    <mergeCell ref="F125:H125"/>
    <mergeCell ref="O113:O121"/>
    <mergeCell ref="E114:E115"/>
    <mergeCell ref="F114:L114"/>
    <mergeCell ref="F115:G115"/>
    <mergeCell ref="H115:L115"/>
    <mergeCell ref="F116:G116"/>
    <mergeCell ref="H116:L116"/>
    <mergeCell ref="F120:G120"/>
    <mergeCell ref="H120:L120"/>
    <mergeCell ref="F121:G121"/>
    <mergeCell ref="H121:L121"/>
    <mergeCell ref="F110:L110"/>
    <mergeCell ref="F111:L111"/>
    <mergeCell ref="F105:G105"/>
    <mergeCell ref="H105:L105"/>
    <mergeCell ref="E106:E107"/>
    <mergeCell ref="F106:L106"/>
    <mergeCell ref="F107:G107"/>
    <mergeCell ref="H107:L107"/>
    <mergeCell ref="E112:E113"/>
    <mergeCell ref="F112:H112"/>
    <mergeCell ref="F113:H113"/>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E78:F78"/>
    <mergeCell ref="E79:F79"/>
    <mergeCell ref="E80:F80"/>
    <mergeCell ref="E84:L84"/>
    <mergeCell ref="E85:F85"/>
    <mergeCell ref="F86:L86"/>
    <mergeCell ref="E72:F72"/>
    <mergeCell ref="E73:F73"/>
    <mergeCell ref="E74:F74"/>
    <mergeCell ref="E75:F75"/>
    <mergeCell ref="E76:F76"/>
    <mergeCell ref="E77:F77"/>
    <mergeCell ref="E67:E68"/>
    <mergeCell ref="G67:I67"/>
    <mergeCell ref="J67:L67"/>
    <mergeCell ref="G68:I68"/>
    <mergeCell ref="J68:L68"/>
    <mergeCell ref="E71:L71"/>
    <mergeCell ref="F64:L64"/>
    <mergeCell ref="E65:E66"/>
    <mergeCell ref="G65:I65"/>
    <mergeCell ref="J65:L65"/>
    <mergeCell ref="G66:I66"/>
    <mergeCell ref="J66:L66"/>
    <mergeCell ref="E59:E60"/>
    <mergeCell ref="G59:I59"/>
    <mergeCell ref="J59:L59"/>
    <mergeCell ref="G60:I60"/>
    <mergeCell ref="J60:L60"/>
    <mergeCell ref="E61:E62"/>
    <mergeCell ref="G61:I61"/>
    <mergeCell ref="J61:L61"/>
    <mergeCell ref="G62:I62"/>
    <mergeCell ref="J62:L62"/>
    <mergeCell ref="E55:E56"/>
    <mergeCell ref="G55:I55"/>
    <mergeCell ref="J55:L55"/>
    <mergeCell ref="G56:I56"/>
    <mergeCell ref="J56:L56"/>
    <mergeCell ref="F58:L58"/>
    <mergeCell ref="F52:L52"/>
    <mergeCell ref="E53:E54"/>
    <mergeCell ref="G53:I53"/>
    <mergeCell ref="J53:L53"/>
    <mergeCell ref="G54:I54"/>
    <mergeCell ref="J54:L54"/>
    <mergeCell ref="E47:E48"/>
    <mergeCell ref="G47:I47"/>
    <mergeCell ref="J47:L47"/>
    <mergeCell ref="G48:I48"/>
    <mergeCell ref="J48:L48"/>
    <mergeCell ref="E49:E50"/>
    <mergeCell ref="G49:I49"/>
    <mergeCell ref="J49:L49"/>
    <mergeCell ref="G50:I50"/>
    <mergeCell ref="J50:L50"/>
    <mergeCell ref="E43:E44"/>
    <mergeCell ref="G43:I43"/>
    <mergeCell ref="J43:L43"/>
    <mergeCell ref="G44:I44"/>
    <mergeCell ref="J44:L44"/>
    <mergeCell ref="F46:L46"/>
    <mergeCell ref="F40:L40"/>
    <mergeCell ref="E41:E42"/>
    <mergeCell ref="G41:I41"/>
    <mergeCell ref="J41:L41"/>
    <mergeCell ref="G42:I42"/>
    <mergeCell ref="J42:L42"/>
    <mergeCell ref="E35:E36"/>
    <mergeCell ref="G35:I35"/>
    <mergeCell ref="J35:L35"/>
    <mergeCell ref="G36:I36"/>
    <mergeCell ref="J36:L36"/>
    <mergeCell ref="E37:E38"/>
    <mergeCell ref="G37:I37"/>
    <mergeCell ref="J37:L37"/>
    <mergeCell ref="G38:I38"/>
    <mergeCell ref="J38:L3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s>
  <conditionalFormatting sqref="E4">
    <cfRule type="containsText" dxfId="1666" priority="337" operator="containsText" text="Stop">
      <formula>NOT(ISERROR(SEARCH("Stop",E4)))</formula>
    </cfRule>
    <cfRule type="containsText" dxfId="1665" priority="338" operator="containsText" text="Start">
      <formula>NOT(ISERROR(SEARCH("Start",E4)))</formula>
    </cfRule>
    <cfRule type="containsText" dxfId="1664" priority="336" operator="containsText" text="Continue">
      <formula>NOT(ISERROR(SEARCH("Continue",E4)))</formula>
    </cfRule>
  </conditionalFormatting>
  <conditionalFormatting sqref="E14">
    <cfRule type="containsText" dxfId="1663" priority="456" operator="containsText" text="Continue">
      <formula>NOT(ISERROR(SEARCH("Continue",E14)))</formula>
    </cfRule>
    <cfRule type="containsText" dxfId="1662" priority="457" operator="containsText" text="Stop">
      <formula>NOT(ISERROR(SEARCH("Stop",E14)))</formula>
    </cfRule>
    <cfRule type="containsText" dxfId="1661" priority="458" operator="containsText" text="Start">
      <formula>NOT(ISERROR(SEARCH("Start",E14)))</formula>
    </cfRule>
  </conditionalFormatting>
  <conditionalFormatting sqref="E28 E154 G154 E156 G156">
    <cfRule type="containsText" dxfId="1660" priority="391" operator="containsText" text="N/A">
      <formula>NOT(ISERROR(SEARCH("N/A",E28)))</formula>
    </cfRule>
    <cfRule type="containsText" dxfId="1659" priority="388" operator="containsText" text="Continue">
      <formula>NOT(ISERROR(SEARCH("Continue",E28)))</formula>
    </cfRule>
    <cfRule type="containsText" dxfId="1658" priority="393" operator="containsText" text="Meets">
      <formula>NOT(ISERROR(SEARCH("Meets",E28)))</formula>
    </cfRule>
    <cfRule type="containsText" dxfId="1657" priority="392" operator="containsText" text="Exceeds">
      <formula>NOT(ISERROR(SEARCH("Exceeds",E28)))</formula>
    </cfRule>
    <cfRule type="containsText" dxfId="1656" priority="390" operator="containsText" text="Start">
      <formula>NOT(ISERROR(SEARCH("Start",E28)))</formula>
    </cfRule>
    <cfRule type="containsText" dxfId="1655" priority="389" operator="containsText" text="Stop">
      <formula>NOT(ISERROR(SEARCH("Stop",E28)))</formula>
    </cfRule>
    <cfRule type="containsText" dxfId="1654" priority="394" operator="containsText" text="Under">
      <formula>NOT(ISERROR(SEARCH("Under",E28)))</formula>
    </cfRule>
  </conditionalFormatting>
  <conditionalFormatting sqref="E34">
    <cfRule type="containsText" dxfId="1653" priority="368" operator="containsText" text="Stop">
      <formula>NOT(ISERROR(SEARCH("Stop",E34)))</formula>
    </cfRule>
    <cfRule type="containsText" dxfId="1652" priority="373" operator="containsText" text="Under">
      <formula>NOT(ISERROR(SEARCH("Under",E34)))</formula>
    </cfRule>
    <cfRule type="containsText" dxfId="1651" priority="372" operator="containsText" text="Meets">
      <formula>NOT(ISERROR(SEARCH("Meets",E34)))</formula>
    </cfRule>
    <cfRule type="containsText" dxfId="1650" priority="371" operator="containsText" text="Exceeds">
      <formula>NOT(ISERROR(SEARCH("Exceeds",E34)))</formula>
    </cfRule>
    <cfRule type="containsText" dxfId="1649" priority="370" operator="containsText" text="N/A">
      <formula>NOT(ISERROR(SEARCH("N/A",E34)))</formula>
    </cfRule>
    <cfRule type="containsText" dxfId="1648" priority="369" operator="containsText" text="Start">
      <formula>NOT(ISERROR(SEARCH("Start",E34)))</formula>
    </cfRule>
    <cfRule type="containsText" dxfId="1647" priority="367" operator="containsText" text="Continue">
      <formula>NOT(ISERROR(SEARCH("Continue",E34)))</formula>
    </cfRule>
  </conditionalFormatting>
  <conditionalFormatting sqref="E40">
    <cfRule type="containsText" dxfId="1646" priority="364" operator="containsText" text="Exceeds">
      <formula>NOT(ISERROR(SEARCH("Exceeds",E40)))</formula>
    </cfRule>
    <cfRule type="containsText" dxfId="1645" priority="365" operator="containsText" text="Meets">
      <formula>NOT(ISERROR(SEARCH("Meets",E40)))</formula>
    </cfRule>
    <cfRule type="containsText" dxfId="1644" priority="366" operator="containsText" text="Under">
      <formula>NOT(ISERROR(SEARCH("Under",E40)))</formula>
    </cfRule>
    <cfRule type="containsText" dxfId="1643" priority="360" operator="containsText" text="Continue">
      <formula>NOT(ISERROR(SEARCH("Continue",E40)))</formula>
    </cfRule>
    <cfRule type="containsText" dxfId="1642" priority="362" operator="containsText" text="Start">
      <formula>NOT(ISERROR(SEARCH("Start",E40)))</formula>
    </cfRule>
    <cfRule type="containsText" dxfId="1641" priority="363" operator="containsText" text="N/A">
      <formula>NOT(ISERROR(SEARCH("N/A",E40)))</formula>
    </cfRule>
    <cfRule type="containsText" dxfId="1640" priority="361" operator="containsText" text="Stop">
      <formula>NOT(ISERROR(SEARCH("Stop",E40)))</formula>
    </cfRule>
  </conditionalFormatting>
  <conditionalFormatting sqref="E46">
    <cfRule type="containsText" dxfId="1639" priority="359" operator="containsText" text="Under">
      <formula>NOT(ISERROR(SEARCH("Under",E46)))</formula>
    </cfRule>
    <cfRule type="containsText" dxfId="1638" priority="358" operator="containsText" text="Meets">
      <formula>NOT(ISERROR(SEARCH("Meets",E46)))</formula>
    </cfRule>
    <cfRule type="containsText" dxfId="1637" priority="357" operator="containsText" text="Exceeds">
      <formula>NOT(ISERROR(SEARCH("Exceeds",E46)))</formula>
    </cfRule>
    <cfRule type="containsText" dxfId="1636" priority="356" operator="containsText" text="N/A">
      <formula>NOT(ISERROR(SEARCH("N/A",E46)))</formula>
    </cfRule>
    <cfRule type="containsText" dxfId="1635" priority="355" operator="containsText" text="Start">
      <formula>NOT(ISERROR(SEARCH("Start",E46)))</formula>
    </cfRule>
    <cfRule type="containsText" dxfId="1634" priority="354" operator="containsText" text="Stop">
      <formula>NOT(ISERROR(SEARCH("Stop",E46)))</formula>
    </cfRule>
    <cfRule type="containsText" dxfId="1633" priority="353" operator="containsText" text="Continue">
      <formula>NOT(ISERROR(SEARCH("Continue",E46)))</formula>
    </cfRule>
  </conditionalFormatting>
  <conditionalFormatting sqref="E52">
    <cfRule type="containsText" dxfId="1632" priority="349" operator="containsText" text="N/A">
      <formula>NOT(ISERROR(SEARCH("N/A",E52)))</formula>
    </cfRule>
    <cfRule type="containsText" dxfId="1631" priority="348" operator="containsText" text="Start">
      <formula>NOT(ISERROR(SEARCH("Start",E52)))</formula>
    </cfRule>
    <cfRule type="containsText" dxfId="1630" priority="347" operator="containsText" text="Stop">
      <formula>NOT(ISERROR(SEARCH("Stop",E52)))</formula>
    </cfRule>
    <cfRule type="containsText" dxfId="1629" priority="352" operator="containsText" text="Under">
      <formula>NOT(ISERROR(SEARCH("Under",E52)))</formula>
    </cfRule>
    <cfRule type="containsText" dxfId="1628" priority="351" operator="containsText" text="Meets">
      <formula>NOT(ISERROR(SEARCH("Meets",E52)))</formula>
    </cfRule>
    <cfRule type="containsText" dxfId="1627" priority="346" operator="containsText" text="Continue">
      <formula>NOT(ISERROR(SEARCH("Continue",E52)))</formula>
    </cfRule>
    <cfRule type="containsText" dxfId="1626" priority="350" operator="containsText" text="Exceeds">
      <formula>NOT(ISERROR(SEARCH("Exceeds",E52)))</formula>
    </cfRule>
  </conditionalFormatting>
  <conditionalFormatting sqref="E58">
    <cfRule type="containsText" dxfId="1625" priority="341" operator="containsText" text="Start">
      <formula>NOT(ISERROR(SEARCH("Start",E58)))</formula>
    </cfRule>
    <cfRule type="containsText" dxfId="1624" priority="342" operator="containsText" text="N/A">
      <formula>NOT(ISERROR(SEARCH("N/A",E58)))</formula>
    </cfRule>
    <cfRule type="containsText" dxfId="1623" priority="344" operator="containsText" text="Meets">
      <formula>NOT(ISERROR(SEARCH("Meets",E58)))</formula>
    </cfRule>
    <cfRule type="containsText" dxfId="1622" priority="343" operator="containsText" text="Exceeds">
      <formula>NOT(ISERROR(SEARCH("Exceeds",E58)))</formula>
    </cfRule>
    <cfRule type="containsText" dxfId="1621" priority="345" operator="containsText" text="Under">
      <formula>NOT(ISERROR(SEARCH("Under",E58)))</formula>
    </cfRule>
    <cfRule type="containsText" dxfId="1620" priority="339" operator="containsText" text="Continue">
      <formula>NOT(ISERROR(SEARCH("Continue",E58)))</formula>
    </cfRule>
    <cfRule type="containsText" dxfId="1619" priority="340" operator="containsText" text="Stop">
      <formula>NOT(ISERROR(SEARCH("Stop",E58)))</formula>
    </cfRule>
  </conditionalFormatting>
  <conditionalFormatting sqref="E64">
    <cfRule type="containsText" dxfId="1618" priority="242" operator="containsText" text="Stop">
      <formula>NOT(ISERROR(SEARCH("Stop",E64)))</formula>
    </cfRule>
    <cfRule type="containsText" dxfId="1617" priority="243" operator="containsText" text="Start">
      <formula>NOT(ISERROR(SEARCH("Start",E64)))</formula>
    </cfRule>
    <cfRule type="containsText" dxfId="1616" priority="245" operator="containsText" text="Exceeds">
      <formula>NOT(ISERROR(SEARCH("Exceeds",E64)))</formula>
    </cfRule>
    <cfRule type="containsText" dxfId="1615" priority="246" operator="containsText" text="Meets">
      <formula>NOT(ISERROR(SEARCH("Meets",E64)))</formula>
    </cfRule>
    <cfRule type="containsText" dxfId="1614" priority="247" operator="containsText" text="Under">
      <formula>NOT(ISERROR(SEARCH("Under",E64)))</formula>
    </cfRule>
    <cfRule type="containsText" dxfId="1613" priority="244" operator="containsText" text="N/A">
      <formula>NOT(ISERROR(SEARCH("N/A",E64)))</formula>
    </cfRule>
    <cfRule type="containsText" dxfId="1612" priority="241" operator="containsText" text="Continue">
      <formula>NOT(ISERROR(SEARCH("Continue",E64)))</formula>
    </cfRule>
  </conditionalFormatting>
  <conditionalFormatting sqref="E159 E164">
    <cfRule type="containsText" dxfId="1611" priority="431" operator="containsText" text="Exceeds">
      <formula>NOT(ISERROR(SEARCH("Exceeds",E159)))</formula>
    </cfRule>
    <cfRule type="containsText" dxfId="1610" priority="430" operator="containsText" text="N/A">
      <formula>NOT(ISERROR(SEARCH("N/A",E159)))</formula>
    </cfRule>
    <cfRule type="containsText" dxfId="1609" priority="429" operator="containsText" text="Start">
      <formula>NOT(ISERROR(SEARCH("Start",E159)))</formula>
    </cfRule>
    <cfRule type="containsText" dxfId="1608" priority="428" operator="containsText" text="Stop">
      <formula>NOT(ISERROR(SEARCH("Stop",E159)))</formula>
    </cfRule>
    <cfRule type="containsText" dxfId="1607" priority="427" operator="containsText" text="Continue">
      <formula>NOT(ISERROR(SEARCH("Continue",E159)))</formula>
    </cfRule>
    <cfRule type="containsText" dxfId="1606" priority="432" operator="containsText" text="Meets">
      <formula>NOT(ISERROR(SEARCH("Meets",E159)))</formula>
    </cfRule>
    <cfRule type="containsText" dxfId="1605" priority="433" operator="containsText" text="Under">
      <formula>NOT(ISERROR(SEARCH("Under",E159)))</formula>
    </cfRule>
  </conditionalFormatting>
  <conditionalFormatting sqref="E161 E166">
    <cfRule type="containsText" dxfId="1604" priority="426" operator="containsText" text="Under">
      <formula>NOT(ISERROR(SEARCH("Under",E161)))</formula>
    </cfRule>
    <cfRule type="containsText" dxfId="1603" priority="425" operator="containsText" text="Meets">
      <formula>NOT(ISERROR(SEARCH("Meets",E161)))</formula>
    </cfRule>
    <cfRule type="containsText" dxfId="1602" priority="424" operator="containsText" text="Exceeds">
      <formula>NOT(ISERROR(SEARCH("Exceeds",E161)))</formula>
    </cfRule>
    <cfRule type="containsText" dxfId="1601" priority="423" operator="containsText" text="N/A">
      <formula>NOT(ISERROR(SEARCH("N/A",E161)))</formula>
    </cfRule>
    <cfRule type="containsText" dxfId="1600" priority="422" operator="containsText" text="Start">
      <formula>NOT(ISERROR(SEARCH("Start",E161)))</formula>
    </cfRule>
    <cfRule type="containsText" dxfId="1599" priority="421" operator="containsText" text="Stop">
      <formula>NOT(ISERROR(SEARCH("Stop",E161)))</formula>
    </cfRule>
    <cfRule type="containsText" dxfId="1598" priority="420" operator="containsText" text="Continue">
      <formula>NOT(ISERROR(SEARCH("Continue",E161)))</formula>
    </cfRule>
  </conditionalFormatting>
  <conditionalFormatting sqref="E169">
    <cfRule type="containsText" dxfId="1597" priority="443" operator="containsText" text="Start">
      <formula>NOT(ISERROR(SEARCH("Start",E169)))</formula>
    </cfRule>
    <cfRule type="containsText" dxfId="1596" priority="442" operator="containsText" text="Stop">
      <formula>NOT(ISERROR(SEARCH("Stop",E169)))</formula>
    </cfRule>
    <cfRule type="containsText" dxfId="1595" priority="441" operator="containsText" text="Continue">
      <formula>NOT(ISERROR(SEARCH("Continue",E169)))</formula>
    </cfRule>
    <cfRule type="containsText" dxfId="1594" priority="447" operator="containsText" text="Under">
      <formula>NOT(ISERROR(SEARCH("Under",E169)))</formula>
    </cfRule>
    <cfRule type="containsText" dxfId="1593" priority="446" operator="containsText" text="Meets">
      <formula>NOT(ISERROR(SEARCH("Meets",E169)))</formula>
    </cfRule>
    <cfRule type="containsText" dxfId="1592" priority="445" operator="containsText" text="Exceeds">
      <formula>NOT(ISERROR(SEARCH("Exceeds",E169)))</formula>
    </cfRule>
    <cfRule type="containsText" dxfId="1591" priority="444" operator="containsText" text="N/A">
      <formula>NOT(ISERROR(SEARCH("N/A",E169)))</formula>
    </cfRule>
  </conditionalFormatting>
  <conditionalFormatting sqref="E171">
    <cfRule type="containsText" dxfId="1590" priority="398" operator="containsText" text="N/A">
      <formula>NOT(ISERROR(SEARCH("N/A",E171)))</formula>
    </cfRule>
    <cfRule type="containsText" dxfId="1589" priority="399" operator="containsText" text="Exceeds">
      <formula>NOT(ISERROR(SEARCH("Exceeds",E171)))</formula>
    </cfRule>
    <cfRule type="containsText" dxfId="1588" priority="400" operator="containsText" text="Meets">
      <formula>NOT(ISERROR(SEARCH("Meets",E171)))</formula>
    </cfRule>
    <cfRule type="containsText" dxfId="1587" priority="401" operator="containsText" text="Under">
      <formula>NOT(ISERROR(SEARCH("Under",E171)))</formula>
    </cfRule>
    <cfRule type="containsText" dxfId="1586" priority="395" operator="containsText" text="Continue">
      <formula>NOT(ISERROR(SEARCH("Continue",E171)))</formula>
    </cfRule>
    <cfRule type="containsText" dxfId="1585" priority="396" operator="containsText" text="Stop">
      <formula>NOT(ISERROR(SEARCH("Stop",E171)))</formula>
    </cfRule>
    <cfRule type="containsText" dxfId="1584" priority="397" operator="containsText" text="Start">
      <formula>NOT(ISERROR(SEARCH("Start",E171)))</formula>
    </cfRule>
  </conditionalFormatting>
  <conditionalFormatting sqref="E12:L13">
    <cfRule type="containsText" dxfId="1583" priority="333" operator="containsText" text="Continue">
      <formula>NOT(ISERROR(SEARCH("Continue",E12)))</formula>
    </cfRule>
    <cfRule type="containsText" dxfId="1582" priority="334" operator="containsText" text="Stop">
      <formula>NOT(ISERROR(SEARCH("Stop",E12)))</formula>
    </cfRule>
    <cfRule type="containsText" dxfId="1581"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{55634CDB-541E-41D4-91D8-C04E49ADF116}</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{68777929-9CA3-4E00-88C8-1B0296B893D7}</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{E58FF74C-6544-472F-B115-28C04581F012}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{DE72D105-AB36-48AB-BEDF-0946A12EBAA9}</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{08DC31CF-C913-44A9-9336-7E331692124E}</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{ABFAE3E0-CA12-4E54-9012-09E537CF9C4B}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{CCA23D02-AC10-4DD7-A36D-5D2672A60484}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{677B7E12-719E-4B3F-8777-C513D128CD0D}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{4B69377B-814F-4F35-8E6C-33EC7E0868D0}</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{1747C670-D13D-4E87-A318-6DB219C79652}</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{58DC2E3C-70BA-4E49-9D9A-81DA71BCA67C}</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{20BEFE14-65A0-4CEC-9CA0-2AB50D6F5E3B}</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{FA9027CC-A546-4D2E-9A28-0A0D069E9FBD}</x14:id>
        </ext>
      </extLst>
    </cfRule>
  </conditionalFormatting>
  <conditionalFormatting sqref="F157">
    <cfRule type="containsText" dxfId="1580" priority="404" operator="containsText" text="Stop">
      <formula>NOT(ISERROR(SEARCH("Stop",F157)))</formula>
    </cfRule>
    <cfRule type="containsText" dxfId="1579"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{3955F601-22AF-47DE-B39B-DCE4C91E6551}</x14:id>
        </ext>
      </extLst>
    </cfRule>
    <cfRule type="containsText" dxfId="1578" priority="409" operator="containsText" text="Under">
      <formula>NOT(ISERROR(SEARCH("Under",F157)))</formula>
    </cfRule>
    <cfRule type="containsText" dxfId="1577" priority="408" operator="containsText" text="Meets">
      <formula>NOT(ISERROR(SEARCH("Meets",F157)))</formula>
    </cfRule>
    <cfRule type="containsText" dxfId="1576" priority="407" operator="containsText" text="Exceeds">
      <formula>NOT(ISERROR(SEARCH("Exceeds",F157)))</formula>
    </cfRule>
    <cfRule type="containsText" dxfId="1575"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{D71AC4A4-E250-44A5-90A4-EB3F8A153F15}</x14:id>
        </ext>
      </extLst>
    </cfRule>
    <cfRule type="containsText" dxfId="1574" priority="405" operator="containsText" text="Start">
      <formula>NOT(ISERROR(SEARCH("Start",F157)))</formula>
    </cfRule>
  </conditionalFormatting>
  <conditionalFormatting sqref="F162">
    <cfRule type="containsText" dxfId="1573" priority="320" operator="containsText" text="Exceeds">
      <formula>NOT(ISERROR(SEARCH("Exceeds",F162)))</formula>
    </cfRule>
    <cfRule type="containsText" dxfId="1572" priority="321" operator="containsText" text="Meets">
      <formula>NOT(ISERROR(SEARCH("Meets",F162)))</formula>
    </cfRule>
    <cfRule type="containsText" dxfId="1571"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{027CEF64-81EF-422C-A6C5-DFFCCD1AACDA}</x14:id>
        </ext>
      </extLst>
    </cfRule>
    <cfRule type="containsText" dxfId="1570" priority="318" operator="containsText" text="Start">
      <formula>NOT(ISERROR(SEARCH("Start",F162)))</formula>
    </cfRule>
    <cfRule type="containsText" dxfId="1569"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{0523F2F3-8E8B-48F3-9F6D-DEB20D33167A}</x14:id>
        </ext>
      </extLst>
    </cfRule>
    <cfRule type="containsText" dxfId="1568" priority="319" operator="containsText" text="N/A">
      <formula>NOT(ISERROR(SEARCH("N/A",F162)))</formula>
    </cfRule>
    <cfRule type="containsText" dxfId="1567"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{C213BCD6-652E-43C6-96DA-416FEDF67339}</x14:id>
        </ext>
      </extLst>
    </cfRule>
    <cfRule type="containsText" dxfId="1566" priority="299" operator="containsText" text="Under">
      <formula>NOT(ISERROR(SEARCH("Under",F167)))</formula>
    </cfRule>
    <cfRule type="containsText" dxfId="1565" priority="298" operator="containsText" text="Meets">
      <formula>NOT(ISERROR(SEARCH("Meets",F167)))</formula>
    </cfRule>
    <cfRule type="containsText" dxfId="1564"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{FBEF74DE-EE70-4F2A-B65C-5AA274A996BF}</x14:id>
        </ext>
      </extLst>
    </cfRule>
    <cfRule type="containsText" dxfId="1563" priority="293" operator="containsText" text="Continue">
      <formula>NOT(ISERROR(SEARCH("Continue",F167)))</formula>
    </cfRule>
    <cfRule type="containsText" dxfId="1562" priority="295" operator="containsText" text="Start">
      <formula>NOT(ISERROR(SEARCH("Start",F167)))</formula>
    </cfRule>
    <cfRule type="containsText" dxfId="1561" priority="297" operator="containsText" text="Exceeds">
      <formula>NOT(ISERROR(SEARCH("Exceeds",F167)))</formula>
    </cfRule>
    <cfRule type="containsText" dxfId="1560"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{2E6C2990-00D9-4BB1-A266-6D34F79A2835}</x14:id>
        </ext>
      </extLst>
    </cfRule>
    <cfRule type="containsText" dxfId="1559" priority="269" operator="containsText" text="Under">
      <formula>NOT(ISERROR(SEARCH("Under",F172)))</formula>
    </cfRule>
    <cfRule type="containsText" dxfId="1558" priority="268" operator="containsText" text="Meets">
      <formula>NOT(ISERROR(SEARCH("Meets",F172)))</formula>
    </cfRule>
    <cfRule type="containsText" dxfId="1557" priority="267" operator="containsText" text="Exceeds">
      <formula>NOT(ISERROR(SEARCH("Exceeds",F172)))</formula>
    </cfRule>
    <cfRule type="containsText" dxfId="1556"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{3F043EDC-EFAD-48F6-9A16-6C3FD5C72E5E}</x14:id>
        </ext>
      </extLst>
    </cfRule>
    <cfRule type="containsText" dxfId="1555" priority="265" operator="containsText" text="Start">
      <formula>NOT(ISERROR(SEARCH("Start",F172)))</formula>
    </cfRule>
    <cfRule type="containsText" dxfId="1554" priority="264" operator="containsText" text="Stop">
      <formula>NOT(ISERROR(SEARCH("Stop",F172)))</formula>
    </cfRule>
    <cfRule type="containsText" dxfId="1553"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{EDED589E-CBA2-4367-9F07-65AA428D857D}</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{DF5D4C78-3555-4529-A13C-B1CF24FA084A}</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{693C60D4-A2B9-4AD2-9AB1-D7EF672E8B62}</x14:id>
        </ext>
      </extLst>
    </cfRule>
    <cfRule type="containsText" dxfId="1552" priority="412" operator="containsText" text="Continue">
      <formula>NOT(ISERROR(SEARCH("Continue",F155)))</formula>
    </cfRule>
    <cfRule type="containsText" dxfId="1551" priority="413" operator="containsText" text="Stop">
      <formula>NOT(ISERROR(SEARCH("Stop",F155)))</formula>
    </cfRule>
    <cfRule type="containsText" dxfId="1550" priority="414" operator="containsText" text="Start">
      <formula>NOT(ISERROR(SEARCH("Start",F155)))</formula>
    </cfRule>
    <cfRule type="containsText" dxfId="1549" priority="415" operator="containsText" text="N/A">
      <formula>NOT(ISERROR(SEARCH("N/A",F155)))</formula>
    </cfRule>
    <cfRule type="containsText" dxfId="1548" priority="416" operator="containsText" text="Exceeds">
      <formula>NOT(ISERROR(SEARCH("Exceeds",F155)))</formula>
    </cfRule>
    <cfRule type="containsText" dxfId="1547" priority="417" operator="containsText" text="Meets">
      <formula>NOT(ISERROR(SEARCH("Meets",F155)))</formula>
    </cfRule>
    <cfRule type="containsText" dxfId="1546"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{CB49FDB1-AAA2-4865-AEAB-EC22AB7CDC94}</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{E4A8953A-00C4-4936-898D-CBB4FA437FF3}</x14:id>
        </ext>
      </extLst>
    </cfRule>
    <cfRule type="containsText" dxfId="1545" priority="331" operator="containsText" text="Under">
      <formula>NOT(ISERROR(SEARCH("Under",F160)))</formula>
    </cfRule>
    <cfRule type="containsText" dxfId="1544" priority="330" operator="containsText" text="Meets">
      <formula>NOT(ISERROR(SEARCH("Meets",F160)))</formula>
    </cfRule>
    <cfRule type="containsText" dxfId="1543" priority="329" operator="containsText" text="Exceeds">
      <formula>NOT(ISERROR(SEARCH("Exceeds",F160)))</formula>
    </cfRule>
    <cfRule type="containsText" dxfId="1542" priority="328" operator="containsText" text="N/A">
      <formula>NOT(ISERROR(SEARCH("N/A",F160)))</formula>
    </cfRule>
    <cfRule type="containsText" dxfId="1541" priority="327" operator="containsText" text="Start">
      <formula>NOT(ISERROR(SEARCH("Start",F160)))</formula>
    </cfRule>
    <cfRule type="containsText" dxfId="1540" priority="326" operator="containsText" text="Stop">
      <formula>NOT(ISERROR(SEARCH("Stop",F160)))</formula>
    </cfRule>
    <cfRule type="containsText" dxfId="1539"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{B87851C1-92C5-4995-AA40-5F973C21F087}</x14:id>
        </ext>
      </extLst>
    </cfRule>
  </conditionalFormatting>
  <conditionalFormatting sqref="F165:G165">
    <cfRule type="containsText" dxfId="1538" priority="238" operator="containsText" text="Meets">
      <formula>NOT(ISERROR(SEARCH("Meets",F165)))</formula>
    </cfRule>
    <cfRule type="containsText" dxfId="1537" priority="235" operator="containsText" text="Start">
      <formula>NOT(ISERROR(SEARCH("Start",F165)))</formula>
    </cfRule>
    <cfRule type="containsText" dxfId="1536"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{EB77D0C3-899C-44C5-847D-14E6D6BC0AB0}</x14:id>
        </ext>
      </extLst>
    </cfRule>
    <cfRule type="containsText" dxfId="1535" priority="233" operator="containsText" text="Continue">
      <formula>NOT(ISERROR(SEARCH("Continue",F165)))</formula>
    </cfRule>
    <cfRule type="containsText" dxfId="1534" priority="236" operator="containsText" text="N/A">
      <formula>NOT(ISERROR(SEARCH("N/A",F165)))</formula>
    </cfRule>
    <cfRule type="containsText" dxfId="1533" priority="234" operator="containsText" text="Stop">
      <formula>NOT(ISERROR(SEARCH("Stop",F165)))</formula>
    </cfRule>
    <cfRule type="containsText" dxfId="1532"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{61373046-B30F-4762-8A2A-2B4DCEF36FD5}</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{8BE174E0-73B4-4A73-8975-701F8016C2F2}</x14:id>
        </ext>
      </extLst>
    </cfRule>
    <cfRule type="containsText" dxfId="1531" priority="225" operator="containsText" text="Stop">
      <formula>NOT(ISERROR(SEARCH("Stop",F170)))</formula>
    </cfRule>
    <cfRule type="containsText" dxfId="1530" priority="224" operator="containsText" text="Continue">
      <formula>NOT(ISERROR(SEARCH("Continue",F170)))</formula>
    </cfRule>
    <cfRule type="containsText" dxfId="1529" priority="226" operator="containsText" text="Start">
      <formula>NOT(ISERROR(SEARCH("Start",F170)))</formula>
    </cfRule>
    <cfRule type="containsText" dxfId="1528" priority="227" operator="containsText" text="N/A">
      <formula>NOT(ISERROR(SEARCH("N/A",F170)))</formula>
    </cfRule>
    <cfRule type="containsText" dxfId="1527" priority="228" operator="containsText" text="Exceeds">
      <formula>NOT(ISERROR(SEARCH("Exceeds",F170)))</formula>
    </cfRule>
    <cfRule type="containsText" dxfId="1526"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{EFFA4B78-6631-4A7E-B5E0-3D41F0A04D69}</x14:id>
        </ext>
      </extLst>
    </cfRule>
    <cfRule type="containsText" dxfId="1525"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{42C3B146-44E9-4061-9F47-67D0178239D5}</x14:id>
        </ext>
      </extLst>
    </cfRule>
    <cfRule type="containsText" dxfId="1524" priority="218" operator="containsText" text="N/A">
      <formula>NOT(ISERROR(SEARCH("N/A",F178)))</formula>
    </cfRule>
    <cfRule type="containsText" dxfId="1523"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{EA5E9B4C-A78D-496E-B7DB-27D77D6535ED}</x14:id>
        </ext>
      </extLst>
    </cfRule>
    <cfRule type="containsText" dxfId="1522" priority="215" operator="containsText" text="Continue">
      <formula>NOT(ISERROR(SEARCH("Continue",F178)))</formula>
    </cfRule>
    <cfRule type="containsText" dxfId="1521" priority="216" operator="containsText" text="Stop">
      <formula>NOT(ISERROR(SEARCH("Stop",F178)))</formula>
    </cfRule>
    <cfRule type="containsText" dxfId="1520" priority="217" operator="containsText" text="Start">
      <formula>NOT(ISERROR(SEARCH("Start",F178)))</formula>
    </cfRule>
    <cfRule type="containsText" dxfId="1519" priority="219" operator="containsText" text="Exceeds">
      <formula>NOT(ISERROR(SEARCH("Exceeds",F178)))</formula>
    </cfRule>
    <cfRule type="containsText" dxfId="1518" priority="220" operator="containsText" text="Meets">
      <formula>NOT(ISERROR(SEARCH("Meets",F178)))</formula>
    </cfRule>
  </conditionalFormatting>
  <conditionalFormatting sqref="G29">
    <cfRule type="containsText" dxfId="1517" priority="385" operator="containsText" text="Exceeds">
      <formula>NOT(ISERROR(SEARCH("Exceeds",G29)))</formula>
    </cfRule>
    <cfRule type="containsText" dxfId="1516" priority="387" operator="containsText" text="Under">
      <formula>NOT(ISERROR(SEARCH("Under",G29)))</formula>
    </cfRule>
    <cfRule type="containsText" dxfId="1515" priority="383" operator="containsText" text="Start">
      <formula>NOT(ISERROR(SEARCH("Start",G29)))</formula>
    </cfRule>
    <cfRule type="containsText" dxfId="1514" priority="382" operator="containsText" text="Stop">
      <formula>NOT(ISERROR(SEARCH("Stop",G29)))</formula>
    </cfRule>
    <cfRule type="containsText" dxfId="1513" priority="381" operator="containsText" text="Continue">
      <formula>NOT(ISERROR(SEARCH("Continue",G29)))</formula>
    </cfRule>
    <cfRule type="containsText" dxfId="1512" priority="386" operator="containsText" text="Meets">
      <formula>NOT(ISERROR(SEARCH("Meets",G29)))</formula>
    </cfRule>
    <cfRule type="containsText" dxfId="1511" priority="384" operator="containsText" text="N/A">
      <formula>NOT(ISERROR(SEARCH("N/A",G29)))</formula>
    </cfRule>
  </conditionalFormatting>
  <conditionalFormatting sqref="G31">
    <cfRule type="containsText" dxfId="1510" priority="34" operator="containsText" text="Meets">
      <formula>NOT(ISERROR(SEARCH("Meets",G31)))</formula>
    </cfRule>
    <cfRule type="containsText" dxfId="1509" priority="33" operator="containsText" text="Exceeds">
      <formula>NOT(ISERROR(SEARCH("Exceeds",G31)))</formula>
    </cfRule>
    <cfRule type="containsText" dxfId="1508" priority="31" operator="containsText" text="Start">
      <formula>NOT(ISERROR(SEARCH("Start",G31)))</formula>
    </cfRule>
    <cfRule type="containsText" dxfId="1507" priority="30" operator="containsText" text="Stop">
      <formula>NOT(ISERROR(SEARCH("Stop",G31)))</formula>
    </cfRule>
    <cfRule type="containsText" dxfId="1506" priority="29" operator="containsText" text="Continue">
      <formula>NOT(ISERROR(SEARCH("Continue",G31)))</formula>
    </cfRule>
    <cfRule type="containsText" dxfId="1505" priority="35" operator="containsText" text="Under">
      <formula>NOT(ISERROR(SEARCH("Under",G31)))</formula>
    </cfRule>
    <cfRule type="containsText" dxfId="1504" priority="32" operator="containsText" text="N/A">
      <formula>NOT(ISERROR(SEARCH("N/A",G31)))</formula>
    </cfRule>
  </conditionalFormatting>
  <conditionalFormatting sqref="G35">
    <cfRule type="containsText" dxfId="1503" priority="97" operator="containsText" text="Exceeds">
      <formula>NOT(ISERROR(SEARCH("Exceeds",G35)))</formula>
    </cfRule>
    <cfRule type="containsText" dxfId="1502" priority="98" operator="containsText" text="Meets">
      <formula>NOT(ISERROR(SEARCH("Meets",G35)))</formula>
    </cfRule>
    <cfRule type="containsText" dxfId="1501" priority="99" operator="containsText" text="Under">
      <formula>NOT(ISERROR(SEARCH("Under",G35)))</formula>
    </cfRule>
    <cfRule type="containsText" dxfId="1500" priority="94" operator="containsText" text="Stop">
      <formula>NOT(ISERROR(SEARCH("Stop",G35)))</formula>
    </cfRule>
    <cfRule type="containsText" dxfId="1499" priority="93" operator="containsText" text="Continue">
      <formula>NOT(ISERROR(SEARCH("Continue",G35)))</formula>
    </cfRule>
    <cfRule type="containsText" dxfId="1498" priority="96" operator="containsText" text="N/A">
      <formula>NOT(ISERROR(SEARCH("N/A",G35)))</formula>
    </cfRule>
    <cfRule type="containsText" dxfId="1497"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{3670346A-1086-45AD-BAB7-BA340BD61EA7}</x14:id>
        </ext>
      </extLst>
    </cfRule>
  </conditionalFormatting>
  <conditionalFormatting sqref="G37">
    <cfRule type="containsText" dxfId="1496" priority="25" operator="containsText" text="N/A">
      <formula>NOT(ISERROR(SEARCH("N/A",G37)))</formula>
    </cfRule>
    <cfRule type="containsText" dxfId="1495" priority="26" operator="containsText" text="Exceeds">
      <formula>NOT(ISERROR(SEARCH("Exceeds",G37)))</formula>
    </cfRule>
    <cfRule type="containsText" dxfId="1494" priority="27" operator="containsText" text="Meets">
      <formula>NOT(ISERROR(SEARCH("Meets",G37)))</formula>
    </cfRule>
    <cfRule type="containsText" dxfId="1493" priority="28" operator="containsText" text="Under">
      <formula>NOT(ISERROR(SEARCH("Under",G37)))</formula>
    </cfRule>
    <cfRule type="containsText" dxfId="1492" priority="22" operator="containsText" text="Continue">
      <formula>NOT(ISERROR(SEARCH("Continue",G37)))</formula>
    </cfRule>
    <cfRule type="containsText" dxfId="1491" priority="23" operator="containsText" text="Stop">
      <formula>NOT(ISERROR(SEARCH("Stop",G37)))</formula>
    </cfRule>
    <cfRule type="containsText" dxfId="1490" priority="24" operator="containsText" text="Start">
      <formula>NOT(ISERROR(SEARCH("Start",G37)))</formula>
    </cfRule>
  </conditionalFormatting>
  <conditionalFormatting sqref="G41">
    <cfRule type="containsText" dxfId="1489" priority="85" operator="containsText" text="Continue">
      <formula>NOT(ISERROR(SEARCH("Continue",G41)))</formula>
    </cfRule>
    <cfRule type="containsText" dxfId="1488" priority="86" operator="containsText" text="Stop">
      <formula>NOT(ISERROR(SEARCH("Stop",G41)))</formula>
    </cfRule>
    <cfRule type="containsText" dxfId="1487" priority="87" operator="containsText" text="Start">
      <formula>NOT(ISERROR(SEARCH("Start",G41)))</formula>
    </cfRule>
    <cfRule type="containsText" dxfId="1486" priority="88" operator="containsText" text="N/A">
      <formula>NOT(ISERROR(SEARCH("N/A",G41)))</formula>
    </cfRule>
    <cfRule type="containsText" dxfId="1485" priority="89" operator="containsText" text="Exceeds">
      <formula>NOT(ISERROR(SEARCH("Exceeds",G41)))</formula>
    </cfRule>
    <cfRule type="containsText" dxfId="1484" priority="90" operator="containsText" text="Meets">
      <formula>NOT(ISERROR(SEARCH("Meets",G41)))</formula>
    </cfRule>
    <cfRule type="containsText" dxfId="1483"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{203529EB-A735-4278-BA17-60D5A15F0203}</x14:id>
        </ext>
      </extLst>
    </cfRule>
  </conditionalFormatting>
  <conditionalFormatting sqref="G43">
    <cfRule type="containsText" dxfId="1482" priority="17" operator="containsText" text="Start">
      <formula>NOT(ISERROR(SEARCH("Start",G43)))</formula>
    </cfRule>
    <cfRule type="containsText" dxfId="1481" priority="16" operator="containsText" text="Stop">
      <formula>NOT(ISERROR(SEARCH("Stop",G43)))</formula>
    </cfRule>
    <cfRule type="containsText" dxfId="1480" priority="20" operator="containsText" text="Meets">
      <formula>NOT(ISERROR(SEARCH("Meets",G43)))</formula>
    </cfRule>
    <cfRule type="containsText" dxfId="1479" priority="15" operator="containsText" text="Continue">
      <formula>NOT(ISERROR(SEARCH("Continue",G43)))</formula>
    </cfRule>
    <cfRule type="containsText" dxfId="1478" priority="19" operator="containsText" text="Exceeds">
      <formula>NOT(ISERROR(SEARCH("Exceeds",G43)))</formula>
    </cfRule>
    <cfRule type="containsText" dxfId="1477" priority="21" operator="containsText" text="Under">
      <formula>NOT(ISERROR(SEARCH("Under",G43)))</formula>
    </cfRule>
    <cfRule type="containsText" dxfId="1476" priority="18" operator="containsText" text="N/A">
      <formula>NOT(ISERROR(SEARCH("N/A",G43)))</formula>
    </cfRule>
  </conditionalFormatting>
  <conditionalFormatting sqref="G47">
    <cfRule type="containsText" dxfId="1475" priority="78" operator="containsText" text="Stop">
      <formula>NOT(ISERROR(SEARCH("Stop",G47)))</formula>
    </cfRule>
    <cfRule type="containsText" dxfId="1474" priority="77" operator="containsText" text="Continue">
      <formula>NOT(ISERROR(SEARCH("Continue",G47)))</formula>
    </cfRule>
    <cfRule type="containsText" dxfId="1473" priority="79" operator="containsText" text="Start">
      <formula>NOT(ISERROR(SEARCH("Start",G47)))</formula>
    </cfRule>
    <cfRule type="containsText" dxfId="1472" priority="80" operator="containsText" text="N/A">
      <formula>NOT(ISERROR(SEARCH("N/A",G47)))</formula>
    </cfRule>
    <cfRule type="containsText" dxfId="1471" priority="81" operator="containsText" text="Exceeds">
      <formula>NOT(ISERROR(SEARCH("Exceeds",G47)))</formula>
    </cfRule>
    <cfRule type="containsText" dxfId="1470" priority="82" operator="containsText" text="Meets">
      <formula>NOT(ISERROR(SEARCH("Meets",G47)))</formula>
    </cfRule>
    <cfRule type="containsText" dxfId="1469"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{759AC34C-90EC-44A6-9B3D-BA2D5411A866}</x14:id>
        </ext>
      </extLst>
    </cfRule>
  </conditionalFormatting>
  <conditionalFormatting sqref="G49">
    <cfRule type="containsText" dxfId="1468" priority="14" operator="containsText" text="Under">
      <formula>NOT(ISERROR(SEARCH("Under",G49)))</formula>
    </cfRule>
    <cfRule type="containsText" dxfId="1467" priority="13" operator="containsText" text="Meets">
      <formula>NOT(ISERROR(SEARCH("Meets",G49)))</formula>
    </cfRule>
    <cfRule type="containsText" dxfId="1466" priority="12" operator="containsText" text="Exceeds">
      <formula>NOT(ISERROR(SEARCH("Exceeds",G49)))</formula>
    </cfRule>
    <cfRule type="containsText" dxfId="1465" priority="11" operator="containsText" text="N/A">
      <formula>NOT(ISERROR(SEARCH("N/A",G49)))</formula>
    </cfRule>
    <cfRule type="containsText" dxfId="1464" priority="10" operator="containsText" text="Start">
      <formula>NOT(ISERROR(SEARCH("Start",G49)))</formula>
    </cfRule>
    <cfRule type="containsText" dxfId="1463" priority="9" operator="containsText" text="Stop">
      <formula>NOT(ISERROR(SEARCH("Stop",G49)))</formula>
    </cfRule>
    <cfRule type="containsText" dxfId="1462" priority="8" operator="containsText" text="Continue">
      <formula>NOT(ISERROR(SEARCH("Continue",G49)))</formula>
    </cfRule>
  </conditionalFormatting>
  <conditionalFormatting sqref="G53">
    <cfRule type="containsText" dxfId="1461" priority="73" operator="containsText" text="Exceeds">
      <formula>NOT(ISERROR(SEARCH("Exceeds",G53)))</formula>
    </cfRule>
    <cfRule type="containsText" dxfId="1460" priority="69" operator="containsText" text="Continue">
      <formula>NOT(ISERROR(SEARCH("Continue",G53)))</formula>
    </cfRule>
    <cfRule type="containsText" dxfId="1459" priority="74" operator="containsText" text="Meets">
      <formula>NOT(ISERROR(SEARCH("Meets",G53)))</formula>
    </cfRule>
    <cfRule type="containsText" dxfId="1458" priority="71" operator="containsText" text="Start">
      <formula>NOT(ISERROR(SEARCH("Start",G53)))</formula>
    </cfRule>
    <cfRule type="containsText" dxfId="1457" priority="72" operator="containsText" text="N/A">
      <formula>NOT(ISERROR(SEARCH("N/A",G53)))</formula>
    </cfRule>
    <cfRule type="containsText" dxfId="1456" priority="75" operator="containsText" text="Under">
      <formula>NOT(ISERROR(SEARCH("Under",G53)))</formula>
    </cfRule>
    <cfRule type="containsText" dxfId="1455"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{1BA8E541-404D-4E75-821D-FD358D2BFFC5}</x14:id>
        </ext>
      </extLst>
    </cfRule>
  </conditionalFormatting>
  <conditionalFormatting sqref="G55">
    <cfRule type="containsText" dxfId="1454" priority="7" operator="containsText" text="Under">
      <formula>NOT(ISERROR(SEARCH("Under",G55)))</formula>
    </cfRule>
    <cfRule type="containsText" dxfId="1453" priority="1" operator="containsText" text="Continue">
      <formula>NOT(ISERROR(SEARCH("Continue",G55)))</formula>
    </cfRule>
    <cfRule type="containsText" dxfId="1452" priority="2" operator="containsText" text="Stop">
      <formula>NOT(ISERROR(SEARCH("Stop",G55)))</formula>
    </cfRule>
    <cfRule type="containsText" dxfId="1451" priority="3" operator="containsText" text="Start">
      <formula>NOT(ISERROR(SEARCH("Start",G55)))</formula>
    </cfRule>
    <cfRule type="containsText" dxfId="1450" priority="4" operator="containsText" text="N/A">
      <formula>NOT(ISERROR(SEARCH("N/A",G55)))</formula>
    </cfRule>
    <cfRule type="containsText" dxfId="1449" priority="5" operator="containsText" text="Exceeds">
      <formula>NOT(ISERROR(SEARCH("Exceeds",G55)))</formula>
    </cfRule>
    <cfRule type="containsText" dxfId="1448" priority="6" operator="containsText" text="Meets">
      <formula>NOT(ISERROR(SEARCH("Meets",G55)))</formula>
    </cfRule>
  </conditionalFormatting>
  <conditionalFormatting sqref="G59">
    <cfRule type="containsText" dxfId="1447" priority="67" operator="containsText" text="Under">
      <formula>NOT(ISERROR(SEARCH("Under",G59)))</formula>
    </cfRule>
    <cfRule type="containsText" dxfId="1446" priority="66" operator="containsText" text="Meets">
      <formula>NOT(ISERROR(SEARCH("Meets",G59)))</formula>
    </cfRule>
    <cfRule type="containsText" dxfId="1445" priority="65" operator="containsText" text="Exceeds">
      <formula>NOT(ISERROR(SEARCH("Exceeds",G59)))</formula>
    </cfRule>
    <cfRule type="containsText" dxfId="1444" priority="61" operator="containsText" text="Continue">
      <formula>NOT(ISERROR(SEARCH("Continue",G59)))</formula>
    </cfRule>
    <cfRule type="containsText" dxfId="1443" priority="62" operator="containsText" text="Stop">
      <formula>NOT(ISERROR(SEARCH("Stop",G59)))</formula>
    </cfRule>
    <cfRule type="containsText" dxfId="1442" priority="63" operator="containsText" text="Start">
      <formula>NOT(ISERROR(SEARCH("Start",G59)))</formula>
    </cfRule>
    <cfRule type="containsText" dxfId="1441"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{18DC937D-0EF8-4EEA-B2A4-56D0A9D1FC12}</x14:id>
        </ext>
      </extLst>
    </cfRule>
  </conditionalFormatting>
  <conditionalFormatting sqref="G61">
    <cfRule type="containsText" dxfId="1440" priority="41" operator="containsText" text="Exceeds">
      <formula>NOT(ISERROR(SEARCH("Exceeds",G61)))</formula>
    </cfRule>
    <cfRule type="containsText" dxfId="1439" priority="42" operator="containsText" text="Meets">
      <formula>NOT(ISERROR(SEARCH("Meets",G61)))</formula>
    </cfRule>
    <cfRule type="containsText" dxfId="1438" priority="43" operator="containsText" text="Under">
      <formula>NOT(ISERROR(SEARCH("Under",G61)))</formula>
    </cfRule>
    <cfRule type="containsText" dxfId="1437" priority="40" operator="containsText" text="N/A">
      <formula>NOT(ISERROR(SEARCH("N/A",G61)))</formula>
    </cfRule>
    <cfRule type="containsText" dxfId="1436" priority="39" operator="containsText" text="Start">
      <formula>NOT(ISERROR(SEARCH("Start",G61)))</formula>
    </cfRule>
    <cfRule type="containsText" dxfId="1435" priority="38" operator="containsText" text="Stop">
      <formula>NOT(ISERROR(SEARCH("Stop",G61)))</formula>
    </cfRule>
    <cfRule type="containsText" dxfId="1434"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{D16A4399-6496-4FC0-AD91-7E26250316CB}</x14:id>
        </ext>
      </extLst>
    </cfRule>
  </conditionalFormatting>
  <conditionalFormatting sqref="G65">
    <cfRule type="containsText" dxfId="1433" priority="59" operator="containsText" text="Under">
      <formula>NOT(ISERROR(SEARCH("Under",G65)))</formula>
    </cfRule>
    <cfRule type="containsText" dxfId="1432" priority="57" operator="containsText" text="Exceeds">
      <formula>NOT(ISERROR(SEARCH("Exceeds",G65)))</formula>
    </cfRule>
    <cfRule type="containsText" dxfId="1431" priority="56" operator="containsText" text="N/A">
      <formula>NOT(ISERROR(SEARCH("N/A",G65)))</formula>
    </cfRule>
    <cfRule type="containsText" dxfId="1430" priority="53" operator="containsText" text="Continue">
      <formula>NOT(ISERROR(SEARCH("Continue",G65)))</formula>
    </cfRule>
    <cfRule type="containsText" dxfId="1429" priority="54" operator="containsText" text="Stop">
      <formula>NOT(ISERROR(SEARCH("Stop",G65)))</formula>
    </cfRule>
    <cfRule type="containsText" dxfId="1428" priority="58" operator="containsText" text="Meets">
      <formula>NOT(ISERROR(SEARCH("Meets",G65)))</formula>
    </cfRule>
    <cfRule type="containsText" dxfId="1427"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{3E261B66-41A7-48AF-9298-AE32D7629DD1}</x14:id>
        </ext>
      </extLst>
    </cfRule>
  </conditionalFormatting>
  <conditionalFormatting sqref="G67">
    <cfRule type="containsText" dxfId="1426" priority="45" operator="containsText" text="Continue">
      <formula>NOT(ISERROR(SEARCH("Continue",G67)))</formula>
    </cfRule>
    <cfRule type="containsText" dxfId="1425" priority="47" operator="containsText" text="Start">
      <formula>NOT(ISERROR(SEARCH("Start",G67)))</formula>
    </cfRule>
    <cfRule type="containsText" dxfId="1424" priority="48" operator="containsText" text="N/A">
      <formula>NOT(ISERROR(SEARCH("N/A",G67)))</formula>
    </cfRule>
    <cfRule type="containsText" dxfId="1423" priority="49" operator="containsText" text="Exceeds">
      <formula>NOT(ISERROR(SEARCH("Exceeds",G67)))</formula>
    </cfRule>
    <cfRule type="containsText" dxfId="1422" priority="50" operator="containsText" text="Meets">
      <formula>NOT(ISERROR(SEARCH("Meets",G67)))</formula>
    </cfRule>
    <cfRule type="containsText" dxfId="1421" priority="46" operator="containsText" text="Stop">
      <formula>NOT(ISERROR(SEARCH("Stop",G67)))</formula>
    </cfRule>
    <cfRule type="containsText" dxfId="1420"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{4B00B579-2F64-46BD-BC28-C72F1F1D6B61}</x14:id>
        </ext>
      </extLst>
    </cfRule>
  </conditionalFormatting>
  <conditionalFormatting sqref="G159 G161">
    <cfRule type="containsText" dxfId="1419" priority="308" operator="containsText" text="Continue">
      <formula>NOT(ISERROR(SEARCH("Continue",G159)))</formula>
    </cfRule>
    <cfRule type="containsText" dxfId="1418" priority="309" operator="containsText" text="Stop">
      <formula>NOT(ISERROR(SEARCH("Stop",G159)))</formula>
    </cfRule>
    <cfRule type="containsText" dxfId="1417" priority="310" operator="containsText" text="Start">
      <formula>NOT(ISERROR(SEARCH("Start",G159)))</formula>
    </cfRule>
    <cfRule type="containsText" dxfId="1416" priority="311" operator="containsText" text="N/A">
      <formula>NOT(ISERROR(SEARCH("N/A",G159)))</formula>
    </cfRule>
    <cfRule type="containsText" dxfId="1415" priority="312" operator="containsText" text="Exceeds">
      <formula>NOT(ISERROR(SEARCH("Exceeds",G159)))</formula>
    </cfRule>
    <cfRule type="containsText" dxfId="1414" priority="314" operator="containsText" text="Under">
      <formula>NOT(ISERROR(SEARCH("Under",G159)))</formula>
    </cfRule>
    <cfRule type="containsText" dxfId="1413" priority="313" operator="containsText" text="Meets">
      <formula>NOT(ISERROR(SEARCH("Meets",G159)))</formula>
    </cfRule>
  </conditionalFormatting>
  <conditionalFormatting sqref="G164 G166">
    <cfRule type="containsText" dxfId="1412" priority="291" operator="containsText" text="Under">
      <formula>NOT(ISERROR(SEARCH("Under",G164)))</formula>
    </cfRule>
    <cfRule type="containsText" dxfId="1411" priority="285" operator="containsText" text="Continue">
      <formula>NOT(ISERROR(SEARCH("Continue",G164)))</formula>
    </cfRule>
    <cfRule type="containsText" dxfId="1410" priority="286" operator="containsText" text="Stop">
      <formula>NOT(ISERROR(SEARCH("Stop",G164)))</formula>
    </cfRule>
    <cfRule type="containsText" dxfId="1409" priority="288" operator="containsText" text="N/A">
      <formula>NOT(ISERROR(SEARCH("N/A",G164)))</formula>
    </cfRule>
    <cfRule type="containsText" dxfId="1408" priority="289" operator="containsText" text="Exceeds">
      <formula>NOT(ISERROR(SEARCH("Exceeds",G164)))</formula>
    </cfRule>
    <cfRule type="containsText" dxfId="1407" priority="290" operator="containsText" text="Meets">
      <formula>NOT(ISERROR(SEARCH("Meets",G164)))</formula>
    </cfRule>
    <cfRule type="containsText" dxfId="1406" priority="287" operator="containsText" text="Start">
      <formula>NOT(ISERROR(SEARCH("Start",G164)))</formula>
    </cfRule>
  </conditionalFormatting>
  <conditionalFormatting sqref="G169 G171">
    <cfRule type="containsText" dxfId="1405" priority="258" operator="containsText" text="N/A">
      <formula>NOT(ISERROR(SEARCH("N/A",G169)))</formula>
    </cfRule>
    <cfRule type="containsText" dxfId="1404" priority="259" operator="containsText" text="Exceeds">
      <formula>NOT(ISERROR(SEARCH("Exceeds",G169)))</formula>
    </cfRule>
    <cfRule type="containsText" dxfId="1403" priority="260" operator="containsText" text="Meets">
      <formula>NOT(ISERROR(SEARCH("Meets",G169)))</formula>
    </cfRule>
    <cfRule type="containsText" dxfId="1402" priority="261" operator="containsText" text="Under">
      <formula>NOT(ISERROR(SEARCH("Under",G169)))</formula>
    </cfRule>
    <cfRule type="containsText" dxfId="1401" priority="256" operator="containsText" text="Stop">
      <formula>NOT(ISERROR(SEARCH("Stop",G169)))</formula>
    </cfRule>
    <cfRule type="containsText" dxfId="1400" priority="257" operator="containsText" text="Start">
      <formula>NOT(ISERROR(SEARCH("Start",G169)))</formula>
    </cfRule>
    <cfRule type="containsText" dxfId="1399" priority="255" operator="containsText" text="Continue">
      <formula>NOT(ISERROR(SEARCH("Continue",G169)))</formula>
    </cfRule>
  </conditionalFormatting>
  <conditionalFormatting sqref="J29">
    <cfRule type="containsText" dxfId="1398" priority="374" operator="containsText" text="Continue">
      <formula>NOT(ISERROR(SEARCH("Continue",J29)))</formula>
    </cfRule>
    <cfRule type="containsText" dxfId="1397" priority="379" operator="containsText" text="Meets">
      <formula>NOT(ISERROR(SEARCH("Meets",J29)))</formula>
    </cfRule>
    <cfRule type="containsText" dxfId="1396" priority="380" operator="containsText" text="Under">
      <formula>NOT(ISERROR(SEARCH("Under",J29)))</formula>
    </cfRule>
    <cfRule type="containsText" dxfId="1395" priority="378" operator="containsText" text="Exceeds">
      <formula>NOT(ISERROR(SEARCH("Exceeds",J29)))</formula>
    </cfRule>
    <cfRule type="containsText" dxfId="1394" priority="377" operator="containsText" text="N/A">
      <formula>NOT(ISERROR(SEARCH("N/A",J29)))</formula>
    </cfRule>
    <cfRule type="containsText" dxfId="1393" priority="376" operator="containsText" text="Start">
      <formula>NOT(ISERROR(SEARCH("Start",J29)))</formula>
    </cfRule>
    <cfRule type="containsText" dxfId="1392" priority="375" operator="containsText" text="Stop">
      <formula>NOT(ISERROR(SEARCH("Stop",J29)))</formula>
    </cfRule>
  </conditionalFormatting>
  <conditionalFormatting sqref="J31">
    <cfRule type="containsText" dxfId="1391" priority="208" operator="containsText" text="Stop">
      <formula>NOT(ISERROR(SEARCH("Stop",J31)))</formula>
    </cfRule>
    <cfRule type="containsText" dxfId="1390" priority="212" operator="containsText" text="Meets">
      <formula>NOT(ISERROR(SEARCH("Meets",J31)))</formula>
    </cfRule>
    <cfRule type="containsText" dxfId="1389" priority="211" operator="containsText" text="Exceeds">
      <formula>NOT(ISERROR(SEARCH("Exceeds",J31)))</formula>
    </cfRule>
    <cfRule type="containsText" dxfId="1388" priority="210" operator="containsText" text="N/A">
      <formula>NOT(ISERROR(SEARCH("N/A",J31)))</formula>
    </cfRule>
    <cfRule type="containsText" dxfId="1387" priority="209" operator="containsText" text="Start">
      <formula>NOT(ISERROR(SEARCH("Start",J31)))</formula>
    </cfRule>
    <cfRule type="containsText" dxfId="1386" priority="207" operator="containsText" text="Continue">
      <formula>NOT(ISERROR(SEARCH("Continue",J31)))</formula>
    </cfRule>
    <cfRule type="containsText" dxfId="1385" priority="213" operator="containsText" text="Under">
      <formula>NOT(ISERROR(SEARCH("Under",J31)))</formula>
    </cfRule>
  </conditionalFormatting>
  <conditionalFormatting sqref="J35">
    <cfRule type="containsText" dxfId="1384" priority="205" operator="containsText" text="Under">
      <formula>NOT(ISERROR(SEARCH("Under",J35)))</formula>
    </cfRule>
    <cfRule type="containsText" dxfId="1383" priority="199" operator="containsText" text="Continue">
      <formula>NOT(ISERROR(SEARCH("Continue",J35)))</formula>
    </cfRule>
    <cfRule type="containsText" dxfId="1382" priority="200" operator="containsText" text="Stop">
      <formula>NOT(ISERROR(SEARCH("Stop",J35)))</formula>
    </cfRule>
    <cfRule type="containsText" dxfId="1381" priority="201" operator="containsText" text="Start">
      <formula>NOT(ISERROR(SEARCH("Start",J35)))</formula>
    </cfRule>
    <cfRule type="containsText" dxfId="1380" priority="204" operator="containsText" text="Meets">
      <formula>NOT(ISERROR(SEARCH("Meets",J35)))</formula>
    </cfRule>
    <cfRule type="containsText" dxfId="1379" priority="203" operator="containsText" text="Exceeds">
      <formula>NOT(ISERROR(SEARCH("Exceeds",J35)))</formula>
    </cfRule>
    <cfRule type="containsText" dxfId="1378" priority="202" operator="containsText" text="N/A">
      <formula>NOT(ISERROR(SEARCH("N/A",J35)))</formula>
    </cfRule>
  </conditionalFormatting>
  <conditionalFormatting sqref="J37">
    <cfRule type="containsText" dxfId="1377" priority="195" operator="containsText" text="N/A">
      <formula>NOT(ISERROR(SEARCH("N/A",J37)))</formula>
    </cfRule>
    <cfRule type="containsText" dxfId="1376" priority="196" operator="containsText" text="Exceeds">
      <formula>NOT(ISERROR(SEARCH("Exceeds",J37)))</formula>
    </cfRule>
    <cfRule type="containsText" dxfId="1375" priority="194" operator="containsText" text="Start">
      <formula>NOT(ISERROR(SEARCH("Start",J37)))</formula>
    </cfRule>
    <cfRule type="containsText" dxfId="1374" priority="193" operator="containsText" text="Stop">
      <formula>NOT(ISERROR(SEARCH("Stop",J37)))</formula>
    </cfRule>
    <cfRule type="containsText" dxfId="1373" priority="192" operator="containsText" text="Continue">
      <formula>NOT(ISERROR(SEARCH("Continue",J37)))</formula>
    </cfRule>
    <cfRule type="containsText" dxfId="1372" priority="197" operator="containsText" text="Meets">
      <formula>NOT(ISERROR(SEARCH("Meets",J37)))</formula>
    </cfRule>
    <cfRule type="containsText" dxfId="1371" priority="198" operator="containsText" text="Under">
      <formula>NOT(ISERROR(SEARCH("Under",J37)))</formula>
    </cfRule>
  </conditionalFormatting>
  <conditionalFormatting sqref="J41">
    <cfRule type="containsText" dxfId="1370" priority="189" operator="containsText" text="Meets">
      <formula>NOT(ISERROR(SEARCH("Meets",J41)))</formula>
    </cfRule>
    <cfRule type="containsText" dxfId="1369" priority="186" operator="containsText" text="Start">
      <formula>NOT(ISERROR(SEARCH("Start",J41)))</formula>
    </cfRule>
    <cfRule type="containsText" dxfId="1368" priority="187" operator="containsText" text="N/A">
      <formula>NOT(ISERROR(SEARCH("N/A",J41)))</formula>
    </cfRule>
    <cfRule type="containsText" dxfId="1367" priority="188" operator="containsText" text="Exceeds">
      <formula>NOT(ISERROR(SEARCH("Exceeds",J41)))</formula>
    </cfRule>
    <cfRule type="containsText" dxfId="1366" priority="190" operator="containsText" text="Under">
      <formula>NOT(ISERROR(SEARCH("Under",J41)))</formula>
    </cfRule>
    <cfRule type="containsText" dxfId="1365" priority="184" operator="containsText" text="Continue">
      <formula>NOT(ISERROR(SEARCH("Continue",J41)))</formula>
    </cfRule>
    <cfRule type="containsText" dxfId="1364" priority="185" operator="containsText" text="Stop">
      <formula>NOT(ISERROR(SEARCH("Stop",J41)))</formula>
    </cfRule>
  </conditionalFormatting>
  <conditionalFormatting sqref="J43">
    <cfRule type="containsText" dxfId="1363" priority="179" operator="containsText" text="Start">
      <formula>NOT(ISERROR(SEARCH("Start",J43)))</formula>
    </cfRule>
    <cfRule type="containsText" dxfId="1362" priority="182" operator="containsText" text="Meets">
      <formula>NOT(ISERROR(SEARCH("Meets",J43)))</formula>
    </cfRule>
    <cfRule type="containsText" dxfId="1361" priority="177" operator="containsText" text="Continue">
      <formula>NOT(ISERROR(SEARCH("Continue",J43)))</formula>
    </cfRule>
    <cfRule type="containsText" dxfId="1360" priority="180" operator="containsText" text="N/A">
      <formula>NOT(ISERROR(SEARCH("N/A",J43)))</formula>
    </cfRule>
    <cfRule type="containsText" dxfId="1359" priority="183" operator="containsText" text="Under">
      <formula>NOT(ISERROR(SEARCH("Under",J43)))</formula>
    </cfRule>
    <cfRule type="containsText" dxfId="1358" priority="181" operator="containsText" text="Exceeds">
      <formula>NOT(ISERROR(SEARCH("Exceeds",J43)))</formula>
    </cfRule>
    <cfRule type="containsText" dxfId="1357" priority="178" operator="containsText" text="Stop">
      <formula>NOT(ISERROR(SEARCH("Stop",J43)))</formula>
    </cfRule>
  </conditionalFormatting>
  <conditionalFormatting sqref="J47">
    <cfRule type="containsText" dxfId="1356" priority="173" operator="containsText" text="Exceeds">
      <formula>NOT(ISERROR(SEARCH("Exceeds",J47)))</formula>
    </cfRule>
    <cfRule type="containsText" dxfId="1355" priority="169" operator="containsText" text="Continue">
      <formula>NOT(ISERROR(SEARCH("Continue",J47)))</formula>
    </cfRule>
    <cfRule type="containsText" dxfId="1354" priority="170" operator="containsText" text="Stop">
      <formula>NOT(ISERROR(SEARCH("Stop",J47)))</formula>
    </cfRule>
    <cfRule type="containsText" dxfId="1353" priority="172" operator="containsText" text="N/A">
      <formula>NOT(ISERROR(SEARCH("N/A",J47)))</formula>
    </cfRule>
    <cfRule type="containsText" dxfId="1352" priority="174" operator="containsText" text="Meets">
      <formula>NOT(ISERROR(SEARCH("Meets",J47)))</formula>
    </cfRule>
    <cfRule type="containsText" dxfId="1351" priority="175" operator="containsText" text="Under">
      <formula>NOT(ISERROR(SEARCH("Under",J47)))</formula>
    </cfRule>
    <cfRule type="containsText" dxfId="1350" priority="171" operator="containsText" text="Start">
      <formula>NOT(ISERROR(SEARCH("Start",J47)))</formula>
    </cfRule>
  </conditionalFormatting>
  <conditionalFormatting sqref="J49">
    <cfRule type="containsText" dxfId="1349" priority="168" operator="containsText" text="Under">
      <formula>NOT(ISERROR(SEARCH("Under",J49)))</formula>
    </cfRule>
    <cfRule type="containsText" dxfId="1348" priority="163" operator="containsText" text="Stop">
      <formula>NOT(ISERROR(SEARCH("Stop",J49)))</formula>
    </cfRule>
    <cfRule type="containsText" dxfId="1347" priority="167" operator="containsText" text="Meets">
      <formula>NOT(ISERROR(SEARCH("Meets",J49)))</formula>
    </cfRule>
    <cfRule type="containsText" dxfId="1346" priority="164" operator="containsText" text="Start">
      <formula>NOT(ISERROR(SEARCH("Start",J49)))</formula>
    </cfRule>
    <cfRule type="containsText" dxfId="1345" priority="162" operator="containsText" text="Continue">
      <formula>NOT(ISERROR(SEARCH("Continue",J49)))</formula>
    </cfRule>
    <cfRule type="containsText" dxfId="1344" priority="165" operator="containsText" text="N/A">
      <formula>NOT(ISERROR(SEARCH("N/A",J49)))</formula>
    </cfRule>
    <cfRule type="containsText" dxfId="1343" priority="166" operator="containsText" text="Exceeds">
      <formula>NOT(ISERROR(SEARCH("Exceeds",J49)))</formula>
    </cfRule>
  </conditionalFormatting>
  <conditionalFormatting sqref="J53">
    <cfRule type="containsText" dxfId="1342" priority="154" operator="containsText" text="Continue">
      <formula>NOT(ISERROR(SEARCH("Continue",J53)))</formula>
    </cfRule>
    <cfRule type="containsText" dxfId="1341" priority="155" operator="containsText" text="Stop">
      <formula>NOT(ISERROR(SEARCH("Stop",J53)))</formula>
    </cfRule>
    <cfRule type="containsText" dxfId="1340" priority="156" operator="containsText" text="Start">
      <formula>NOT(ISERROR(SEARCH("Start",J53)))</formula>
    </cfRule>
    <cfRule type="containsText" dxfId="1339" priority="157" operator="containsText" text="N/A">
      <formula>NOT(ISERROR(SEARCH("N/A",J53)))</formula>
    </cfRule>
    <cfRule type="containsText" dxfId="1338" priority="158" operator="containsText" text="Exceeds">
      <formula>NOT(ISERROR(SEARCH("Exceeds",J53)))</formula>
    </cfRule>
    <cfRule type="containsText" dxfId="1337" priority="159" operator="containsText" text="Meets">
      <formula>NOT(ISERROR(SEARCH("Meets",J53)))</formula>
    </cfRule>
    <cfRule type="containsText" dxfId="1336" priority="160" operator="containsText" text="Under">
      <formula>NOT(ISERROR(SEARCH("Under",J53)))</formula>
    </cfRule>
  </conditionalFormatting>
  <conditionalFormatting sqref="J55">
    <cfRule type="containsText" dxfId="1335" priority="147" operator="containsText" text="Continue">
      <formula>NOT(ISERROR(SEARCH("Continue",J55)))</formula>
    </cfRule>
    <cfRule type="containsText" dxfId="1334" priority="151" operator="containsText" text="Exceeds">
      <formula>NOT(ISERROR(SEARCH("Exceeds",J55)))</formula>
    </cfRule>
    <cfRule type="containsText" dxfId="1333" priority="152" operator="containsText" text="Meets">
      <formula>NOT(ISERROR(SEARCH("Meets",J55)))</formula>
    </cfRule>
    <cfRule type="containsText" dxfId="1332" priority="153" operator="containsText" text="Under">
      <formula>NOT(ISERROR(SEARCH("Under",J55)))</formula>
    </cfRule>
    <cfRule type="containsText" dxfId="1331" priority="148" operator="containsText" text="Stop">
      <formula>NOT(ISERROR(SEARCH("Stop",J55)))</formula>
    </cfRule>
    <cfRule type="containsText" dxfId="1330" priority="149" operator="containsText" text="Start">
      <formula>NOT(ISERROR(SEARCH("Start",J55)))</formula>
    </cfRule>
    <cfRule type="containsText" dxfId="1329" priority="150" operator="containsText" text="N/A">
      <formula>NOT(ISERROR(SEARCH("N/A",J55)))</formula>
    </cfRule>
  </conditionalFormatting>
  <conditionalFormatting sqref="J59">
    <cfRule type="containsText" dxfId="1328" priority="139" operator="containsText" text="Continue">
      <formula>NOT(ISERROR(SEARCH("Continue",J59)))</formula>
    </cfRule>
    <cfRule type="containsText" dxfId="1327" priority="140" operator="containsText" text="Stop">
      <formula>NOT(ISERROR(SEARCH("Stop",J59)))</formula>
    </cfRule>
    <cfRule type="containsText" dxfId="1326" priority="141" operator="containsText" text="Start">
      <formula>NOT(ISERROR(SEARCH("Start",J59)))</formula>
    </cfRule>
    <cfRule type="containsText" dxfId="1325" priority="142" operator="containsText" text="N/A">
      <formula>NOT(ISERROR(SEARCH("N/A",J59)))</formula>
    </cfRule>
    <cfRule type="containsText" dxfId="1324" priority="143" operator="containsText" text="Exceeds">
      <formula>NOT(ISERROR(SEARCH("Exceeds",J59)))</formula>
    </cfRule>
    <cfRule type="containsText" dxfId="1323" priority="144" operator="containsText" text="Meets">
      <formula>NOT(ISERROR(SEARCH("Meets",J59)))</formula>
    </cfRule>
    <cfRule type="containsText" dxfId="1322" priority="145" operator="containsText" text="Under">
      <formula>NOT(ISERROR(SEARCH("Under",J59)))</formula>
    </cfRule>
  </conditionalFormatting>
  <conditionalFormatting sqref="J61">
    <cfRule type="containsText" dxfId="1321" priority="134" operator="containsText" text="Start">
      <formula>NOT(ISERROR(SEARCH("Start",J61)))</formula>
    </cfRule>
    <cfRule type="containsText" dxfId="1320" priority="133" operator="containsText" text="Stop">
      <formula>NOT(ISERROR(SEARCH("Stop",J61)))</formula>
    </cfRule>
    <cfRule type="containsText" dxfId="1319" priority="135" operator="containsText" text="N/A">
      <formula>NOT(ISERROR(SEARCH("N/A",J61)))</formula>
    </cfRule>
    <cfRule type="containsText" dxfId="1318" priority="132" operator="containsText" text="Continue">
      <formula>NOT(ISERROR(SEARCH("Continue",J61)))</formula>
    </cfRule>
    <cfRule type="containsText" dxfId="1317" priority="136" operator="containsText" text="Exceeds">
      <formula>NOT(ISERROR(SEARCH("Exceeds",J61)))</formula>
    </cfRule>
    <cfRule type="containsText" dxfId="1316" priority="137" operator="containsText" text="Meets">
      <formula>NOT(ISERROR(SEARCH("Meets",J61)))</formula>
    </cfRule>
    <cfRule type="containsText" dxfId="1315" priority="138" operator="containsText" text="Under">
      <formula>NOT(ISERROR(SEARCH("Under",J61)))</formula>
    </cfRule>
  </conditionalFormatting>
  <conditionalFormatting sqref="J65">
    <cfRule type="containsText" dxfId="1314" priority="127" operator="containsText" text="N/A">
      <formula>NOT(ISERROR(SEARCH("N/A",J65)))</formula>
    </cfRule>
    <cfRule type="containsText" dxfId="1313" priority="126" operator="containsText" text="Start">
      <formula>NOT(ISERROR(SEARCH("Start",J65)))</formula>
    </cfRule>
    <cfRule type="containsText" dxfId="1312" priority="125" operator="containsText" text="Stop">
      <formula>NOT(ISERROR(SEARCH("Stop",J65)))</formula>
    </cfRule>
    <cfRule type="containsText" dxfId="1311" priority="124" operator="containsText" text="Continue">
      <formula>NOT(ISERROR(SEARCH("Continue",J65)))</formula>
    </cfRule>
    <cfRule type="containsText" dxfId="1310" priority="130" operator="containsText" text="Under">
      <formula>NOT(ISERROR(SEARCH("Under",J65)))</formula>
    </cfRule>
    <cfRule type="containsText" dxfId="1309" priority="129" operator="containsText" text="Meets">
      <formula>NOT(ISERROR(SEARCH("Meets",J65)))</formula>
    </cfRule>
    <cfRule type="containsText" dxfId="1308" priority="128" operator="containsText" text="Exceeds">
      <formula>NOT(ISERROR(SEARCH("Exceeds",J65)))</formula>
    </cfRule>
  </conditionalFormatting>
  <conditionalFormatting sqref="J67">
    <cfRule type="containsText" dxfId="1307" priority="121" operator="containsText" text="Exceeds">
      <formula>NOT(ISERROR(SEARCH("Exceeds",J67)))</formula>
    </cfRule>
    <cfRule type="containsText" dxfId="1306" priority="120" operator="containsText" text="N/A">
      <formula>NOT(ISERROR(SEARCH("N/A",J67)))</formula>
    </cfRule>
    <cfRule type="containsText" dxfId="1305" priority="119" operator="containsText" text="Start">
      <formula>NOT(ISERROR(SEARCH("Start",J67)))</formula>
    </cfRule>
    <cfRule type="containsText" dxfId="1304" priority="118" operator="containsText" text="Stop">
      <formula>NOT(ISERROR(SEARCH("Stop",J67)))</formula>
    </cfRule>
    <cfRule type="containsText" dxfId="1303" priority="117" operator="containsText" text="Continue">
      <formula>NOT(ISERROR(SEARCH("Continue",J67)))</formula>
    </cfRule>
    <cfRule type="containsText" dxfId="1302" priority="123" operator="containsText" text="Under">
      <formula>NOT(ISERROR(SEARCH("Under",J67)))</formula>
    </cfRule>
    <cfRule type="containsText" dxfId="1301" priority="122" operator="containsText" text="Meets">
      <formula>NOT(ISERROR(SEARCH("Meets",J67)))</formula>
    </cfRule>
  </conditionalFormatting>
  <conditionalFormatting sqref="J154:J156">
    <cfRule type="containsText" dxfId="1300" priority="106" operator="containsText" text="Under">
      <formula>NOT(ISERROR(SEARCH("Under",J154)))</formula>
    </cfRule>
    <cfRule type="containsText" dxfId="1299" priority="105" operator="containsText" text="Meets">
      <formula>NOT(ISERROR(SEARCH("Meets",J154)))</formula>
    </cfRule>
    <cfRule type="containsText" dxfId="1298" priority="104" operator="containsText" text="Exceeds">
      <formula>NOT(ISERROR(SEARCH("Exceeds",J154)))</formula>
    </cfRule>
    <cfRule type="containsText" dxfId="1297" priority="103" operator="containsText" text="N/A">
      <formula>NOT(ISERROR(SEARCH("N/A",J154)))</formula>
    </cfRule>
    <cfRule type="containsText" dxfId="1296" priority="102" operator="containsText" text="Start">
      <formula>NOT(ISERROR(SEARCH("Start",J154)))</formula>
    </cfRule>
    <cfRule type="containsText" dxfId="1295" priority="101" operator="containsText" text="Stop">
      <formula>NOT(ISERROR(SEARCH("Stop",J154)))</formula>
    </cfRule>
    <cfRule type="containsText" dxfId="1294"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{7A7F8394-671F-4AE9-A6C3-18F50377D718}</x14:id>
        </ext>
      </extLst>
    </cfRule>
    <cfRule type="dataBar" priority="107">
      <dataBar>
        <cfvo type="num" val="0"/>
        <cfvo type="num" val="1"/>
        <color theme="0" tint="-0.249977111117893"/>
      </dataBar>
      <extLst>
        <ext xmlns:x14="http://schemas.microsoft.com/office/spreadsheetml/2009/9/main" uri="{B025F937-C7B1-47D3-B67F-A62EFF666E3E}">
          <x14:id>{664091C6-6C5E-46D4-A3E7-FABA8534A045}</x14:id>
        </ext>
      </extLst>
    </cfRule>
  </conditionalFormatting>
  <conditionalFormatting sqref="J159 J164">
    <cfRule type="containsText" dxfId="1293" priority="435" operator="containsText" text="Stop">
      <formula>NOT(ISERROR(SEARCH("Stop",J159)))</formula>
    </cfRule>
    <cfRule type="containsText" dxfId="1292" priority="437" operator="containsText" text="N/A">
      <formula>NOT(ISERROR(SEARCH("N/A",J159)))</formula>
    </cfRule>
    <cfRule type="containsText" dxfId="1291" priority="436" operator="containsText" text="Start">
      <formula>NOT(ISERROR(SEARCH("Start",J159)))</formula>
    </cfRule>
    <cfRule type="containsText" dxfId="1290" priority="438" operator="containsText" text="Exceeds">
      <formula>NOT(ISERROR(SEARCH("Exceeds",J159)))</formula>
    </cfRule>
    <cfRule type="containsText" dxfId="1289" priority="439" operator="containsText" text="Meets">
      <formula>NOT(ISERROR(SEARCH("Meets",J159)))</formula>
    </cfRule>
    <cfRule type="containsText" dxfId="1288" priority="440" operator="containsText" text="Under">
      <formula>NOT(ISERROR(SEARCH("Under",J159)))</formula>
    </cfRule>
    <cfRule type="containsText" dxfId="1287" priority="434" operator="containsText" text="Continue">
      <formula>NOT(ISERROR(SEARCH("Continue",J159)))</formula>
    </cfRule>
  </conditionalFormatting>
  <conditionalFormatting sqref="J161">
    <cfRule type="containsText" dxfId="1286" priority="306" operator="containsText" text="Meets">
      <formula>NOT(ISERROR(SEARCH("Meets",J161)))</formula>
    </cfRule>
    <cfRule type="containsText" dxfId="1285" priority="305" operator="containsText" text="Exceeds">
      <formula>NOT(ISERROR(SEARCH("Exceeds",J161)))</formula>
    </cfRule>
    <cfRule type="containsText" dxfId="1284" priority="304" operator="containsText" text="N/A">
      <formula>NOT(ISERROR(SEARCH("N/A",J161)))</formula>
    </cfRule>
    <cfRule type="containsText" dxfId="1283" priority="303" operator="containsText" text="Start">
      <formula>NOT(ISERROR(SEARCH("Start",J161)))</formula>
    </cfRule>
    <cfRule type="containsText" dxfId="1282" priority="302" operator="containsText" text="Stop">
      <formula>NOT(ISERROR(SEARCH("Stop",J161)))</formula>
    </cfRule>
    <cfRule type="containsText" dxfId="1281" priority="301" operator="containsText" text="Continue">
      <formula>NOT(ISERROR(SEARCH("Continue",J161)))</formula>
    </cfRule>
    <cfRule type="containsText" dxfId="1280" priority="307" operator="containsText" text="Under">
      <formula>NOT(ISERROR(SEARCH("Under",J161)))</formula>
    </cfRule>
  </conditionalFormatting>
  <conditionalFormatting sqref="J166">
    <cfRule type="containsText" dxfId="1279" priority="282" operator="containsText" text="Exceeds">
      <formula>NOT(ISERROR(SEARCH("Exceeds",J166)))</formula>
    </cfRule>
    <cfRule type="containsText" dxfId="1278" priority="284" operator="containsText" text="Under">
      <formula>NOT(ISERROR(SEARCH("Under",J166)))</formula>
    </cfRule>
    <cfRule type="containsText" dxfId="1277" priority="281" operator="containsText" text="N/A">
      <formula>NOT(ISERROR(SEARCH("N/A",J166)))</formula>
    </cfRule>
    <cfRule type="containsText" dxfId="1276" priority="280" operator="containsText" text="Start">
      <formula>NOT(ISERROR(SEARCH("Start",J166)))</formula>
    </cfRule>
    <cfRule type="containsText" dxfId="1275" priority="279" operator="containsText" text="Stop">
      <formula>NOT(ISERROR(SEARCH("Stop",J166)))</formula>
    </cfRule>
    <cfRule type="containsText" dxfId="1274" priority="278" operator="containsText" text="Continue">
      <formula>NOT(ISERROR(SEARCH("Continue",J166)))</formula>
    </cfRule>
    <cfRule type="containsText" dxfId="1273" priority="283" operator="containsText" text="Meets">
      <formula>NOT(ISERROR(SEARCH("Meets",J166)))</formula>
    </cfRule>
  </conditionalFormatting>
  <conditionalFormatting sqref="J169">
    <cfRule type="containsText" dxfId="1272" priority="273" operator="containsText" text="Start">
      <formula>NOT(ISERROR(SEARCH("Start",J169)))</formula>
    </cfRule>
    <cfRule type="containsText" dxfId="1271" priority="272" operator="containsText" text="Stop">
      <formula>NOT(ISERROR(SEARCH("Stop",J169)))</formula>
    </cfRule>
    <cfRule type="containsText" dxfId="1270" priority="276" operator="containsText" text="Meets">
      <formula>NOT(ISERROR(SEARCH("Meets",J169)))</formula>
    </cfRule>
    <cfRule type="containsText" dxfId="1269" priority="271" operator="containsText" text="Continue">
      <formula>NOT(ISERROR(SEARCH("Continue",J169)))</formula>
    </cfRule>
    <cfRule type="containsText" dxfId="1268" priority="277" operator="containsText" text="Under">
      <formula>NOT(ISERROR(SEARCH("Under",J169)))</formula>
    </cfRule>
    <cfRule type="containsText" dxfId="1267" priority="274" operator="containsText" text="N/A">
      <formula>NOT(ISERROR(SEARCH("N/A",J169)))</formula>
    </cfRule>
    <cfRule type="containsText" dxfId="1266" priority="275" operator="containsText" text="Exceeds">
      <formula>NOT(ISERROR(SEARCH("Exceeds",J169)))</formula>
    </cfRule>
  </conditionalFormatting>
  <conditionalFormatting sqref="J171">
    <cfRule type="containsText" dxfId="1265" priority="248" operator="containsText" text="Continue">
      <formula>NOT(ISERROR(SEARCH("Continue",J171)))</formula>
    </cfRule>
    <cfRule type="containsText" dxfId="1264" priority="249" operator="containsText" text="Stop">
      <formula>NOT(ISERROR(SEARCH("Stop",J171)))</formula>
    </cfRule>
    <cfRule type="containsText" dxfId="1263" priority="251" operator="containsText" text="N/A">
      <formula>NOT(ISERROR(SEARCH("N/A",J171)))</formula>
    </cfRule>
    <cfRule type="containsText" dxfId="1262" priority="252" operator="containsText" text="Exceeds">
      <formula>NOT(ISERROR(SEARCH("Exceeds",J171)))</formula>
    </cfRule>
    <cfRule type="containsText" dxfId="1261" priority="250" operator="containsText" text="Start">
      <formula>NOT(ISERROR(SEARCH("Start",J171)))</formula>
    </cfRule>
    <cfRule type="containsText" dxfId="1260" priority="253" operator="containsText" text="Meets">
      <formula>NOT(ISERROR(SEARCH("Meets",J171)))</formula>
    </cfRule>
    <cfRule type="containsText" dxfId="1259" priority="254" operator="containsText" text="Under">
      <formula>NOT(ISERROR(SEARCH("Under",J171)))</formula>
    </cfRule>
  </conditionalFormatting>
  <conditionalFormatting sqref="M62 M68">
    <cfRule type="containsText" dxfId="1258" priority="448" operator="containsText" text="N/A">
      <formula>NOT(ISERROR(SEARCH("N/A",M62)))</formula>
    </cfRule>
    <cfRule type="containsText" dxfId="1257" priority="449" operator="containsText" text="Exceeds">
      <formula>NOT(ISERROR(SEARCH("Exceeds",M62)))</formula>
    </cfRule>
    <cfRule type="containsText" dxfId="1256" priority="450" operator="containsText" text="Meets">
      <formula>NOT(ISERROR(SEARCH("Meets",M62)))</formula>
    </cfRule>
    <cfRule type="containsText" dxfId="1255" priority="451" operator="containsText" text="Under">
      <formula>NOT(ISERROR(SEARCH("Under",M62)))</formula>
    </cfRule>
  </conditionalFormatting>
  <conditionalFormatting sqref="Q14:Q16">
    <cfRule type="containsText" dxfId="1254" priority="453" operator="containsText" text="Exceeds">
      <formula>NOT(ISERROR(SEARCH("Exceeds",Q14)))</formula>
    </cfRule>
    <cfRule type="containsText" dxfId="1253" priority="454" operator="containsText" text="Meets">
      <formula>NOT(ISERROR(SEARCH("Meets",Q14)))</formula>
    </cfRule>
    <cfRule type="containsText" dxfId="1252" priority="455" operator="containsText" text="Under">
      <formula>NOT(ISERROR(SEARCH("Under",Q14)))</formula>
    </cfRule>
    <cfRule type="containsText" dxfId="1251" priority="452" operator="containsText" text="N/A">
      <formula>NOT(ISERROR(SEARCH("N/A",Q14)))</formula>
    </cfRule>
  </conditionalFormatting>
  <dataValidations count="8">
    <dataValidation type="list" allowBlank="1" showInputMessage="1" showErrorMessage="1" sqref="L73:L80" xr:uid="{40E908BA-5F33-4FE4-B204-2F761277F008}">
      <formula1>"0, 1, 2, 3, 4, 5, 6, 7, 8, 9, 10"</formula1>
    </dataValidation>
    <dataValidation allowBlank="1" showInputMessage="1" showErrorMessage="1" prompt="Enter Company Name in cell B4._x000a_A legend is in cells I4 through AC4.  The Legend label is in cell G4." sqref="A2:C2" xr:uid="{25C1CFDE-5522-4E5F-AB32-1DB1A415B997}"/>
    <dataValidation allowBlank="1" showInputMessage="1" showErrorMessage="1" prompt="Cells I9 through BL9 contain the day number of the month for the Month represented in the cell block above each date cell and are auto calculated._x000a_Do not modify these cells._x000a_" sqref="A8:C8" xr:uid="{48D5878B-C798-4E98-AACD-5E35108F8D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894D1C5-6B3A-487C-961A-3CD6292EF1B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F50A858-4C91-44DD-87FE-A7EF8D262B70}"/>
    <dataValidation type="list" allowBlank="1" showInputMessage="1" showErrorMessage="1" sqref="F178:F179" xr:uid="{AE9E692A-3349-4FDC-8B19-23982259E9DF}">
      <formula1>"Ready for next, Happy for now"</formula1>
    </dataValidation>
    <dataValidation type="list" allowBlank="1" showInputMessage="1" showErrorMessage="1" sqref="G73:G80" xr:uid="{872B80C3-9F60-471B-9D9C-7B5C97DCFF0C}">
      <formula1>"Online self-paced, Online, Hybrid, In person, Peer learning"</formula1>
    </dataValidation>
    <dataValidation type="list" allowBlank="1" showInputMessage="1" showErrorMessage="1" sqref="J73:J80" xr:uid="{D9EB4F20-B1CA-4F7A-A543-93B48313E03D}">
      <formula1>"Yes, No"</formula1>
    </dataValidation>
  </dataValidations>
  <hyperlinks>
    <hyperlink ref="G85:H85" r:id="rId1" location=":~:text=use%20the%20method.-,Examples%20of%20SMART%20Goals,-We%20will%C2%A0create" display="Examples of SMART Goals" xr:uid="{CB6B4D94-7290-4E90-AB23-FBD41048C82E}"/>
    <hyperlink ref="G85" r:id="rId2" location=":~:text=Examples%20of%20S.M.A.R.T.%20Goals" display="https://www.forbes.com/advisor/business/smart-goals/#:~:text=Examples%20of%20S.M.A.R.T.%20Goals" xr:uid="{BF178A48-DAC7-42CB-9361-EF8326D094E3}"/>
    <hyperlink ref="I85" r:id="rId3" location=":~:text=use%20the%20method.-,Examples%20of%20SMART%20Goals,-We%20will%C2%A0create" display="Examples of SMART Goals" xr:uid="{53710F86-7A35-4277-909C-DEE4446740BB}"/>
  </hyperlinks>
  <printOptions horizontalCentered="1"/>
  <pageMargins left="0.23622047244094491" right="0.23622047244094491" top="0.39370078740157483" bottom="0.39370078740157483" header="0.39370078740157483" footer="0.31496062992125984"/>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55634CDB-541E-41D4-91D8-C04E49ADF116}">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68777929-9CA3-4E00-88C8-1B0296B893D7}">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E58FF74C-6544-472F-B115-28C04581F01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DE72D105-AB36-48AB-BEDF-0946A12EBAA9}">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8DC31CF-C913-44A9-9336-7E331692124E}">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ABFAE3E0-CA12-4E54-9012-09E537CF9C4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CCA23D02-AC10-4DD7-A36D-5D2672A6048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77B7E12-719E-4B3F-8777-C513D128CD0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4B69377B-814F-4F35-8E6C-33EC7E0868D0}">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1747C670-D13D-4E87-A318-6DB219C79652}">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58DC2E3C-70BA-4E49-9D9A-81DA71BCA67C}">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20BEFE14-65A0-4CEC-9CA0-2AB50D6F5E3B}">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FA9027CC-A546-4D2E-9A28-0A0D069E9FB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955F601-22AF-47DE-B39B-DCE4C91E6551}">
            <x14:dataBar minLength="0" maxLength="100" gradient="0">
              <x14:cfvo type="num">
                <xm:f>0</xm:f>
              </x14:cfvo>
              <x14:cfvo type="num">
                <xm:f>1</xm:f>
              </x14:cfvo>
              <x14:negativeFillColor rgb="FFFF0000"/>
              <x14:axisColor rgb="FF000000"/>
            </x14:dataBar>
          </x14:cfRule>
          <x14:cfRule type="dataBar" id="{D71AC4A4-E250-44A5-90A4-EB3F8A153F15}">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027CEF64-81EF-422C-A6C5-DFFCCD1AACDA}">
            <x14:dataBar minLength="0" maxLength="100" gradient="0">
              <x14:cfvo type="num">
                <xm:f>0</xm:f>
              </x14:cfvo>
              <x14:cfvo type="num">
                <xm:f>1</xm:f>
              </x14:cfvo>
              <x14:negativeFillColor rgb="FFFF0000"/>
              <x14:axisColor rgb="FF000000"/>
            </x14:dataBar>
          </x14:cfRule>
          <x14:cfRule type="dataBar" id="{0523F2F3-8E8B-48F3-9F6D-DEB20D33167A}">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C213BCD6-652E-43C6-96DA-416FEDF67339}">
            <x14:dataBar minLength="0" maxLength="100" gradient="0">
              <x14:cfvo type="num">
                <xm:f>0</xm:f>
              </x14:cfvo>
              <x14:cfvo type="num">
                <xm:f>1</xm:f>
              </x14:cfvo>
              <x14:negativeFillColor rgb="FFFF0000"/>
              <x14:axisColor rgb="FF000000"/>
            </x14:dataBar>
          </x14:cfRule>
          <x14:cfRule type="dataBar" id="{FBEF74DE-EE70-4F2A-B65C-5AA274A996BF}">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2E6C2990-00D9-4BB1-A266-6D34F79A2835}">
            <x14:dataBar minLength="0" maxLength="100" gradient="0">
              <x14:cfvo type="num">
                <xm:f>0</xm:f>
              </x14:cfvo>
              <x14:cfvo type="num">
                <xm:f>1</xm:f>
              </x14:cfvo>
              <x14:negativeFillColor rgb="FFFF0000"/>
              <x14:axisColor rgb="FF000000"/>
            </x14:dataBar>
          </x14:cfRule>
          <x14:cfRule type="dataBar" id="{3F043EDC-EFAD-48F6-9A16-6C3FD5C72E5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EDED589E-CBA2-4367-9F07-65AA428D857D}">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F5D4C78-3555-4529-A13C-B1CF24FA084A}">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693C60D4-A2B9-4AD2-9AB1-D7EF672E8B62}">
            <x14:dataBar minLength="0" maxLength="100" gradient="0">
              <x14:cfvo type="num">
                <xm:f>0</xm:f>
              </x14:cfvo>
              <x14:cfvo type="num">
                <xm:f>1</xm:f>
              </x14:cfvo>
              <x14:negativeFillColor rgb="FFFF0000"/>
              <x14:axisColor rgb="FF000000"/>
            </x14:dataBar>
          </x14:cfRule>
          <x14:cfRule type="dataBar" id="{CB49FDB1-AAA2-4865-AEAB-EC22AB7CDC94}">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E4A8953A-00C4-4936-898D-CBB4FA437FF3}">
            <x14:dataBar minLength="0" maxLength="100" gradient="0">
              <x14:cfvo type="num">
                <xm:f>0</xm:f>
              </x14:cfvo>
              <x14:cfvo type="num">
                <xm:f>1</xm:f>
              </x14:cfvo>
              <x14:negativeFillColor rgb="FFFF0000"/>
              <x14:axisColor rgb="FF000000"/>
            </x14:dataBar>
          </x14:cfRule>
          <x14:cfRule type="dataBar" id="{B87851C1-92C5-4995-AA40-5F973C21F087}">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EB77D0C3-899C-44C5-847D-14E6D6BC0AB0}">
            <x14:dataBar minLength="0" maxLength="100" gradient="0">
              <x14:cfvo type="num">
                <xm:f>0</xm:f>
              </x14:cfvo>
              <x14:cfvo type="num">
                <xm:f>1</xm:f>
              </x14:cfvo>
              <x14:negativeFillColor rgb="FFFF0000"/>
              <x14:axisColor rgb="FF000000"/>
            </x14:dataBar>
          </x14:cfRule>
          <x14:cfRule type="dataBar" id="{61373046-B30F-4762-8A2A-2B4DCEF36FD5}">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8BE174E0-73B4-4A73-8975-701F8016C2F2}">
            <x14:dataBar minLength="0" maxLength="100" gradient="0">
              <x14:cfvo type="num">
                <xm:f>0</xm:f>
              </x14:cfvo>
              <x14:cfvo type="num">
                <xm:f>1</xm:f>
              </x14:cfvo>
              <x14:negativeFillColor rgb="FFFF0000"/>
              <x14:axisColor rgb="FF000000"/>
            </x14:dataBar>
          </x14:cfRule>
          <x14:cfRule type="dataBar" id="{EFFA4B78-6631-4A7E-B5E0-3D41F0A04D6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42C3B146-44E9-4061-9F47-67D0178239D5}">
            <x14:dataBar minLength="0" maxLength="100" gradient="0">
              <x14:cfvo type="num">
                <xm:f>0</xm:f>
              </x14:cfvo>
              <x14:cfvo type="num">
                <xm:f>1</xm:f>
              </x14:cfvo>
              <x14:negativeFillColor rgb="FFFF0000"/>
              <x14:axisColor rgb="FF000000"/>
            </x14:dataBar>
          </x14:cfRule>
          <x14:cfRule type="dataBar" id="{EA5E9B4C-A78D-496E-B7DB-27D77D6535ED}">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3670346A-1086-45AD-BAB7-BA340BD61EA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203529EB-A735-4278-BA17-60D5A15F020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759AC34C-90EC-44A6-9B3D-BA2D5411A86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BA8E541-404D-4E75-821D-FD358D2BFF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18DC937D-0EF8-4EEA-B2A4-56D0A9D1FC1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D16A4399-6496-4FC0-AD91-7E26250316CB}">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3E261B66-41A7-48AF-9298-AE32D7629DD1}">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B00B579-2F64-46BD-BC28-C72F1F1D6B61}">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7A7F8394-671F-4AE9-A6C3-18F50377D718}">
            <x14:dataBar minLength="0" maxLength="100" gradient="0">
              <x14:cfvo type="num">
                <xm:f>0</xm:f>
              </x14:cfvo>
              <x14:cfvo type="num">
                <xm:f>1</xm:f>
              </x14:cfvo>
              <x14:negativeFillColor rgb="FFFF0000"/>
              <x14:axisColor rgb="FF000000"/>
            </x14:dataBar>
          </x14:cfRule>
          <x14:cfRule type="dataBar" id="{664091C6-6C5E-46D4-A3E7-FABA8534A045}">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F9FF-6409-4C9B-A0E8-9C2E6F4A333B}">
  <sheetPr>
    <pageSetUpPr autoPageBreaks="0" fitToPage="1"/>
  </sheetPr>
  <dimension ref="A1:Q191"/>
  <sheetViews>
    <sheetView topLeftCell="A172"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22" t="str">
        <f>'CC 2023'!E2</f>
        <v>Employee Name</v>
      </c>
      <c r="F2" s="522"/>
      <c r="G2" s="522"/>
      <c r="H2" s="522"/>
      <c r="I2" s="150"/>
      <c r="J2" s="150"/>
      <c r="K2" s="133"/>
      <c r="L2" s="144" t="e">
        <f>CONCATENATE(G146,"/",Q174)</f>
        <v>#DIV/0!</v>
      </c>
      <c r="M2" s="151"/>
      <c r="O2" s="149"/>
    </row>
    <row r="3" spans="1:17" s="148" customFormat="1" ht="23.25" customHeight="1" x14ac:dyDescent="0.25">
      <c r="A3" s="100"/>
      <c r="B3" s="100"/>
      <c r="C3" s="101"/>
      <c r="D3" s="107"/>
      <c r="E3" s="152">
        <v>2025</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235" t="str">
        <f>'CC 2025'!F6</f>
        <v xml:space="preserve">Full Stack Developer </v>
      </c>
      <c r="G6" s="236"/>
      <c r="H6" s="236"/>
      <c r="I6" s="236"/>
      <c r="J6" s="236"/>
      <c r="K6" s="236"/>
      <c r="L6" s="237"/>
      <c r="M6" s="154"/>
      <c r="O6" s="124"/>
    </row>
    <row r="7" spans="1:17" s="148" customFormat="1" ht="50.45" customHeight="1" x14ac:dyDescent="0.35">
      <c r="A7" s="100"/>
      <c r="B7" s="100"/>
      <c r="C7" s="101"/>
      <c r="D7" s="107"/>
      <c r="E7" s="105" t="s">
        <v>3</v>
      </c>
      <c r="F7" s="238" t="str">
        <f>'CC 2025'!F7</f>
        <v xml:space="preserve">Anael </v>
      </c>
      <c r="G7" s="239"/>
      <c r="H7" s="239"/>
      <c r="I7" s="239"/>
      <c r="J7" s="239"/>
      <c r="K7" s="239"/>
      <c r="L7" s="240"/>
      <c r="M7" s="154"/>
      <c r="O7" s="124"/>
    </row>
    <row r="8" spans="1:17" s="148" customFormat="1" ht="50.45" customHeight="1" thickBot="1" x14ac:dyDescent="0.4">
      <c r="A8" s="100"/>
      <c r="B8" s="100"/>
      <c r="C8" s="101"/>
      <c r="D8" s="103"/>
      <c r="E8" s="106" t="s">
        <v>4</v>
      </c>
      <c r="F8" s="241">
        <f>'CC 2025'!F8</f>
        <v>45475</v>
      </c>
      <c r="G8" s="242"/>
      <c r="H8" s="242"/>
      <c r="I8" s="242"/>
      <c r="J8" s="242"/>
      <c r="K8" s="242"/>
      <c r="L8" s="243"/>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t="s">
        <v>216</v>
      </c>
      <c r="G10" s="245"/>
      <c r="H10" s="245"/>
      <c r="I10" s="245"/>
      <c r="J10" s="245"/>
      <c r="K10" s="245"/>
      <c r="L10" s="246"/>
      <c r="M10" s="151"/>
      <c r="O10" s="149"/>
      <c r="Q10" s="124"/>
    </row>
    <row r="11" spans="1:17" s="148" customFormat="1" ht="50.45" customHeight="1" thickBot="1" x14ac:dyDescent="0.4">
      <c r="C11" s="155"/>
      <c r="D11" s="156"/>
      <c r="E11" s="106" t="s">
        <v>6</v>
      </c>
      <c r="F11" s="247" t="s">
        <v>216</v>
      </c>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TBD</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thickBot="1" x14ac:dyDescent="0.4">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TBD</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thickBot="1" x14ac:dyDescent="0.4">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286" t="str">
        <f>'CC 2025'!F28</f>
        <v>Technology – Spring Boot, Java ,  MySQL , Graph DB , Docker, Groovy, Node.js , Angular , SQL, Unix , shell scripts</v>
      </c>
      <c r="G28" s="286"/>
      <c r="H28" s="286"/>
      <c r="I28" s="286"/>
      <c r="J28" s="286"/>
      <c r="K28" s="286"/>
      <c r="L28" s="287"/>
      <c r="M28" s="44"/>
    </row>
    <row r="29" spans="4:13" ht="43.5" customHeight="1" x14ac:dyDescent="0.35">
      <c r="D29" s="158"/>
      <c r="E29" s="270" t="str">
        <f>CONCATENATE("Mid-year meeting - ", TEXT($F$10,"dd/mm/yyyy"))</f>
        <v>Mid-year meeting - TBD</v>
      </c>
      <c r="F29" s="117"/>
      <c r="G29" s="272" t="str">
        <f>'CC 2023'!E2</f>
        <v>Employee Name</v>
      </c>
      <c r="H29" s="273"/>
      <c r="I29" s="274"/>
      <c r="J29" s="275" t="str">
        <f>F7</f>
        <v xml:space="preserve">Anael </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TBD</v>
      </c>
      <c r="F31" s="117"/>
      <c r="G31" s="272" t="str">
        <f>'CC 2023'!E2</f>
        <v>Employee Name</v>
      </c>
      <c r="H31" s="273"/>
      <c r="I31" s="274"/>
      <c r="J31" s="275" t="str">
        <f>F7</f>
        <v xml:space="preserve">Anael </v>
      </c>
      <c r="K31" s="273"/>
      <c r="L31" s="276"/>
      <c r="M31" s="44"/>
    </row>
    <row r="32" spans="4:13" ht="110.25" customHeight="1" thickBot="1" x14ac:dyDescent="0.4">
      <c r="D32" s="158"/>
      <c r="E32" s="271"/>
      <c r="F32" s="99"/>
      <c r="G32" s="277"/>
      <c r="H32" s="278"/>
      <c r="I32" s="279"/>
      <c r="J32" s="280"/>
      <c r="K32" s="278"/>
      <c r="L32" s="281"/>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282" t="str">
        <f>'CC 2025'!F34</f>
        <v>Tools  - Grafana, GitLab, Jenkins , Confluence , OTRS , JIRA, OpenNMS , MariaDb , Postgres DB</v>
      </c>
      <c r="G34" s="283"/>
      <c r="H34" s="283"/>
      <c r="I34" s="283"/>
      <c r="J34" s="283"/>
      <c r="K34" s="283"/>
      <c r="L34" s="284"/>
      <c r="M34" s="44"/>
    </row>
    <row r="35" spans="4:13" ht="43.5" customHeight="1" x14ac:dyDescent="0.35">
      <c r="D35" s="158"/>
      <c r="E35" s="270" t="str">
        <f>CONCATENATE("Mid-year meeting - ", TEXT($F$10,"dd/mm/yyyy"))</f>
        <v>Mid-year meeting - TBD</v>
      </c>
      <c r="F35" s="117"/>
      <c r="G35" s="272" t="str">
        <f>'CC 2023'!E2</f>
        <v>Employee Name</v>
      </c>
      <c r="H35" s="273"/>
      <c r="I35" s="274"/>
      <c r="J35" s="275" t="str">
        <f>F7</f>
        <v xml:space="preserve">Anael </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TBD</v>
      </c>
      <c r="F37" s="117"/>
      <c r="G37" s="272" t="str">
        <f>'CC 2023'!E2</f>
        <v>Employee Name</v>
      </c>
      <c r="H37" s="273"/>
      <c r="I37" s="274"/>
      <c r="J37" s="275" t="str">
        <f>F7</f>
        <v xml:space="preserve">Anael </v>
      </c>
      <c r="K37" s="273"/>
      <c r="L37" s="276"/>
      <c r="M37" s="44"/>
    </row>
    <row r="38" spans="4:13" ht="144.94999999999999" customHeight="1" thickBot="1" x14ac:dyDescent="0.4">
      <c r="D38" s="158"/>
      <c r="E38" s="271"/>
      <c r="F38" s="99"/>
      <c r="G38" s="277"/>
      <c r="H38" s="278"/>
      <c r="I38" s="279"/>
      <c r="J38" s="280"/>
      <c r="K38" s="278"/>
      <c r="L38" s="281"/>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282" t="str">
        <f>'CC 2025'!F40</f>
        <v>Integration – Pentahu</v>
      </c>
      <c r="G40" s="283"/>
      <c r="H40" s="283"/>
      <c r="I40" s="283"/>
      <c r="J40" s="283"/>
      <c r="K40" s="283"/>
      <c r="L40" s="284"/>
      <c r="M40" s="44"/>
    </row>
    <row r="41" spans="4:13" ht="43.5" customHeight="1" x14ac:dyDescent="0.35">
      <c r="D41" s="158"/>
      <c r="E41" s="270" t="str">
        <f>CONCATENATE("Mid-year meeting - ", TEXT($F$10,"dd/mm/yyyy"))</f>
        <v>Mid-year meeting - TBD</v>
      </c>
      <c r="F41" s="117"/>
      <c r="G41" s="272" t="str">
        <f>'CC 2023'!E2</f>
        <v>Employee Name</v>
      </c>
      <c r="H41" s="273"/>
      <c r="I41" s="274"/>
      <c r="J41" s="275" t="str">
        <f>F7</f>
        <v xml:space="preserve">Anael </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TBD</v>
      </c>
      <c r="F43" s="117"/>
      <c r="G43" s="272" t="str">
        <f>'CC 2023'!E2</f>
        <v>Employee Name</v>
      </c>
      <c r="H43" s="273"/>
      <c r="I43" s="274"/>
      <c r="J43" s="275" t="str">
        <f>F7</f>
        <v xml:space="preserve">Anael </v>
      </c>
      <c r="K43" s="273"/>
      <c r="L43" s="276"/>
      <c r="M43" s="44"/>
    </row>
    <row r="44" spans="4:13" ht="113.45" customHeight="1" thickBot="1" x14ac:dyDescent="0.4">
      <c r="D44" s="158"/>
      <c r="E44" s="271"/>
      <c r="F44" s="99"/>
      <c r="G44" s="294"/>
      <c r="H44" s="295"/>
      <c r="I44" s="296"/>
      <c r="J44" s="280"/>
      <c r="K44" s="278"/>
      <c r="L44" s="281"/>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282">
        <f>'CC 2025'!F46</f>
        <v>0</v>
      </c>
      <c r="G46" s="283"/>
      <c r="H46" s="283"/>
      <c r="I46" s="283"/>
      <c r="J46" s="283"/>
      <c r="K46" s="283"/>
      <c r="L46" s="284"/>
      <c r="M46" s="44"/>
    </row>
    <row r="47" spans="4:13" ht="43.5" customHeight="1" x14ac:dyDescent="0.35">
      <c r="D47" s="156"/>
      <c r="E47" s="270" t="str">
        <f>CONCATENATE("Mid-year meeting - ", TEXT($F$10,"dd/mm/yyyy"))</f>
        <v>Mid-year meeting - TBD</v>
      </c>
      <c r="F47" s="117"/>
      <c r="G47" s="272" t="str">
        <f>'CC 2023'!E2</f>
        <v>Employee Name</v>
      </c>
      <c r="H47" s="273"/>
      <c r="I47" s="274"/>
      <c r="J47" s="275" t="str">
        <f>F7</f>
        <v xml:space="preserve">Anael </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TBD</v>
      </c>
      <c r="F49" s="117"/>
      <c r="G49" s="272" t="str">
        <f>'CC 2023'!E2</f>
        <v>Employee Name</v>
      </c>
      <c r="H49" s="273"/>
      <c r="I49" s="274"/>
      <c r="J49" s="275" t="str">
        <f>F7</f>
        <v xml:space="preserve">Anael </v>
      </c>
      <c r="K49" s="273"/>
      <c r="L49" s="276"/>
      <c r="M49" s="44"/>
    </row>
    <row r="50" spans="4:13" ht="110.25" customHeight="1" thickBot="1" x14ac:dyDescent="0.4">
      <c r="D50" s="156"/>
      <c r="E50" s="271"/>
      <c r="F50" s="99"/>
      <c r="G50" s="277"/>
      <c r="H50" s="278"/>
      <c r="I50" s="279"/>
      <c r="J50" s="280"/>
      <c r="K50" s="278"/>
      <c r="L50" s="281"/>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282">
        <f>'CC 2025'!F52</f>
        <v>0</v>
      </c>
      <c r="G52" s="283"/>
      <c r="H52" s="283"/>
      <c r="I52" s="283"/>
      <c r="J52" s="283"/>
      <c r="K52" s="283"/>
      <c r="L52" s="284"/>
      <c r="M52" s="44"/>
    </row>
    <row r="53" spans="4:13" ht="43.5" customHeight="1" x14ac:dyDescent="0.35">
      <c r="D53" s="156"/>
      <c r="E53" s="270" t="str">
        <f>CONCATENATE("Mid-year meeting - ", TEXT($F$10,"dd/mm/yyyy"))</f>
        <v>Mid-year meeting - TBD</v>
      </c>
      <c r="F53" s="117"/>
      <c r="G53" s="272" t="str">
        <f>'CC 2023'!E2</f>
        <v>Employee Name</v>
      </c>
      <c r="H53" s="273"/>
      <c r="I53" s="274"/>
      <c r="J53" s="275" t="str">
        <f>F7</f>
        <v xml:space="preserve">Anael </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TBD</v>
      </c>
      <c r="F55" s="117"/>
      <c r="G55" s="272" t="str">
        <f>'CC 2023'!E2</f>
        <v>Employee Name</v>
      </c>
      <c r="H55" s="273"/>
      <c r="I55" s="274"/>
      <c r="J55" s="275" t="str">
        <f>F7</f>
        <v xml:space="preserve">Anael </v>
      </c>
      <c r="K55" s="273"/>
      <c r="L55" s="276"/>
      <c r="M55" s="44"/>
    </row>
    <row r="56" spans="4:13" ht="110.25" customHeight="1" thickBot="1" x14ac:dyDescent="0.4">
      <c r="D56" s="156"/>
      <c r="E56" s="271"/>
      <c r="F56" s="99"/>
      <c r="G56" s="277"/>
      <c r="H56" s="278"/>
      <c r="I56" s="279"/>
      <c r="J56" s="280"/>
      <c r="K56" s="278"/>
      <c r="L56" s="281"/>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286">
        <f>'CC 2025'!F58</f>
        <v>0</v>
      </c>
      <c r="G58" s="286"/>
      <c r="H58" s="286"/>
      <c r="I58" s="286"/>
      <c r="J58" s="286"/>
      <c r="K58" s="286"/>
      <c r="L58" s="287"/>
      <c r="M58" s="44"/>
    </row>
    <row r="59" spans="4:13" ht="43.5" customHeight="1" x14ac:dyDescent="0.35">
      <c r="D59" s="156"/>
      <c r="E59" s="270" t="str">
        <f>CONCATENATE("Mid-year meeting - ", TEXT($F$10,"dd/mm/yyyy"))</f>
        <v>Mid-year meeting - TBD</v>
      </c>
      <c r="F59" s="117"/>
      <c r="G59" s="272" t="str">
        <f>'CC 2023'!E2</f>
        <v>Employee Name</v>
      </c>
      <c r="H59" s="273"/>
      <c r="I59" s="274"/>
      <c r="J59" s="275" t="str">
        <f>F7</f>
        <v xml:space="preserve">Anael </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TBD</v>
      </c>
      <c r="F61" s="117"/>
      <c r="G61" s="272" t="str">
        <f>'CC 2023'!E2</f>
        <v>Employee Name</v>
      </c>
      <c r="H61" s="273"/>
      <c r="I61" s="274"/>
      <c r="J61" s="275" t="str">
        <f>F7</f>
        <v xml:space="preserve">Anael </v>
      </c>
      <c r="K61" s="273"/>
      <c r="L61" s="276"/>
      <c r="M61" s="44"/>
    </row>
    <row r="62" spans="4:13" ht="110.25" customHeight="1" thickBot="1" x14ac:dyDescent="0.4">
      <c r="D62" s="156"/>
      <c r="E62" s="271"/>
      <c r="F62" s="145"/>
      <c r="G62" s="297"/>
      <c r="H62" s="298"/>
      <c r="I62" s="299"/>
      <c r="J62" s="280"/>
      <c r="K62" s="278"/>
      <c r="L62" s="281"/>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286">
        <f>'CC 2025'!F64</f>
        <v>0</v>
      </c>
      <c r="G64" s="286"/>
      <c r="H64" s="286"/>
      <c r="I64" s="286"/>
      <c r="J64" s="286"/>
      <c r="K64" s="286"/>
      <c r="L64" s="287"/>
      <c r="M64" s="44"/>
    </row>
    <row r="65" spans="3:15" ht="43.5" customHeight="1" x14ac:dyDescent="0.35">
      <c r="D65" s="156"/>
      <c r="E65" s="270" t="str">
        <f>CONCATENATE("Mid-year meeting - ", TEXT($F$10,"dd/mm/yyyy"))</f>
        <v>Mid-year meeting - TBD</v>
      </c>
      <c r="F65" s="117"/>
      <c r="G65" s="272" t="str">
        <f>'CC 2023'!E2</f>
        <v>Employee Name</v>
      </c>
      <c r="H65" s="273"/>
      <c r="I65" s="274"/>
      <c r="J65" s="275" t="str">
        <f>F7</f>
        <v xml:space="preserve">Anael </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TBD</v>
      </c>
      <c r="F67" s="117"/>
      <c r="G67" s="272" t="str">
        <f>'CC 2023'!E2</f>
        <v>Employee Name</v>
      </c>
      <c r="H67" s="273"/>
      <c r="I67" s="274"/>
      <c r="J67" s="275" t="str">
        <f>F7</f>
        <v xml:space="preserve">Anael </v>
      </c>
      <c r="K67" s="273"/>
      <c r="L67" s="276"/>
      <c r="M67" s="44"/>
    </row>
    <row r="68" spans="3:15" ht="110.25" customHeight="1" thickBot="1" x14ac:dyDescent="0.4">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60" t="s">
        <v>25</v>
      </c>
      <c r="F71" s="260"/>
      <c r="G71" s="260"/>
      <c r="H71" s="260"/>
      <c r="I71" s="260"/>
      <c r="J71" s="260"/>
      <c r="K71" s="260"/>
      <c r="L71" s="260"/>
      <c r="M71" s="44"/>
    </row>
    <row r="72" spans="3:15" s="163" customFormat="1" ht="78.599999999999994" customHeight="1" thickBot="1" x14ac:dyDescent="0.4">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2"/>
      <c r="K74" s="81"/>
      <c r="L74" s="89"/>
      <c r="M74" s="44"/>
    </row>
    <row r="75" spans="3:15" ht="77.25"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thickBot="1" x14ac:dyDescent="0.4">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thickBot="1" x14ac:dyDescent="0.4">
      <c r="D85" s="158"/>
      <c r="E85" s="260" t="s">
        <v>35</v>
      </c>
      <c r="F85" s="260"/>
      <c r="G85" s="123" t="s">
        <v>36</v>
      </c>
      <c r="H85" s="123"/>
      <c r="I85" s="123"/>
      <c r="J85" s="107"/>
      <c r="K85" s="107"/>
      <c r="L85" s="107"/>
      <c r="M85" s="44"/>
    </row>
    <row r="86" spans="3:15" ht="74.25" customHeight="1" thickBot="1" x14ac:dyDescent="0.4">
      <c r="C86" s="164"/>
      <c r="D86" s="158"/>
      <c r="E86" s="57"/>
      <c r="F86" s="306" t="s">
        <v>37</v>
      </c>
      <c r="G86" s="306"/>
      <c r="H86" s="306"/>
      <c r="I86" s="306"/>
      <c r="J86" s="306"/>
      <c r="K86" s="306"/>
      <c r="L86" s="307"/>
      <c r="M86" s="44"/>
      <c r="O86" s="124"/>
    </row>
    <row r="87" spans="3:15" ht="91.5" customHeight="1" x14ac:dyDescent="0.35">
      <c r="C87" s="164"/>
      <c r="D87" s="158"/>
      <c r="E87" s="56" t="s">
        <v>38</v>
      </c>
      <c r="F87" s="545" t="str">
        <f>'CC 2025'!F87</f>
        <v>Support container architecture</v>
      </c>
      <c r="G87" s="348"/>
      <c r="H87" s="348"/>
      <c r="I87" s="348"/>
      <c r="J87" s="348"/>
      <c r="K87" s="348"/>
      <c r="L87" s="349"/>
      <c r="M87" s="44"/>
      <c r="O87" s="124"/>
    </row>
    <row r="88" spans="3:15" ht="53.45" customHeight="1" x14ac:dyDescent="0.35">
      <c r="C88" s="164"/>
      <c r="D88" s="158"/>
      <c r="E88" s="315" t="s">
        <v>40</v>
      </c>
      <c r="F88" s="316" t="s">
        <v>41</v>
      </c>
      <c r="G88" s="317"/>
      <c r="H88" s="318"/>
      <c r="I88" s="70" t="s">
        <v>42</v>
      </c>
      <c r="J88" s="70" t="s">
        <v>43</v>
      </c>
      <c r="K88" s="70" t="s">
        <v>44</v>
      </c>
      <c r="L88" s="125" t="s">
        <v>45</v>
      </c>
      <c r="M88" s="44"/>
    </row>
    <row r="89" spans="3:15" ht="131.1" customHeight="1" x14ac:dyDescent="0.35">
      <c r="C89" s="164"/>
      <c r="D89" s="158"/>
      <c r="E89" s="315"/>
      <c r="F89" s="344" t="str">
        <f>'CC 2025'!F89</f>
        <v xml:space="preserve">Be proficient on troubleshooting the newly migrated servers onto containers. </v>
      </c>
      <c r="G89" s="345"/>
      <c r="H89" s="346"/>
      <c r="I89" s="143" t="str">
        <f>'CC 2025'!I89</f>
        <v>Be able to fix issues</v>
      </c>
      <c r="J89" s="143" t="str">
        <f>'CC 2025'!J89</f>
        <v>With Akshat knowledge transfer</v>
      </c>
      <c r="K89" s="143" t="str">
        <f>'CC 2025'!K89</f>
        <v>We need a ressource able to maintain this when Akshat has left.</v>
      </c>
      <c r="L89" s="75" t="str">
        <f>'CC 2025'!L89</f>
        <v>By 31/05/2024</v>
      </c>
      <c r="M89" s="44"/>
      <c r="O89" s="322" t="b">
        <f>IF(L89="Fails to meet objective", 4, IF(L89="Partially meets objective", 3, IF(L89="Meets expectations", 2, IF(L89="Exceeds expectations", 1,IF(L89="To be done", "")))))</f>
        <v>0</v>
      </c>
    </row>
    <row r="90" spans="3:15" ht="53.45" customHeight="1" x14ac:dyDescent="0.35">
      <c r="C90" s="164"/>
      <c r="D90" s="158"/>
      <c r="E90" s="315"/>
      <c r="F90" s="323" t="str">
        <f>'CC 2023'!E2</f>
        <v>Employee Name</v>
      </c>
      <c r="G90" s="324"/>
      <c r="H90" s="324"/>
      <c r="I90" s="324"/>
      <c r="J90" s="324"/>
      <c r="K90" s="324"/>
      <c r="L90" s="325"/>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TBD</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TBD</v>
      </c>
      <c r="F93" s="330"/>
      <c r="G93" s="331"/>
      <c r="H93" s="334"/>
      <c r="I93" s="335"/>
      <c r="J93" s="335"/>
      <c r="K93" s="335"/>
      <c r="L93" s="336"/>
      <c r="M93" s="44"/>
      <c r="O93" s="322"/>
    </row>
    <row r="94" spans="3:15" ht="53.45" customHeight="1" x14ac:dyDescent="0.35">
      <c r="C94" s="164"/>
      <c r="D94" s="158"/>
      <c r="E94" s="315"/>
      <c r="F94" s="342" t="str">
        <f>F7</f>
        <v xml:space="preserve">Anael </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TBD</v>
      </c>
      <c r="F96" s="330"/>
      <c r="G96" s="331"/>
      <c r="H96" s="330"/>
      <c r="I96" s="332"/>
      <c r="J96" s="332"/>
      <c r="K96" s="332"/>
      <c r="L96" s="333"/>
      <c r="M96" s="44"/>
      <c r="O96" s="322"/>
    </row>
    <row r="97" spans="3:15" ht="135.94999999999999" customHeight="1" thickBot="1" x14ac:dyDescent="0.4">
      <c r="C97" s="164"/>
      <c r="D97" s="158"/>
      <c r="E97" s="126" t="str">
        <f>CONCATENATE("End-of-year meeting - ", TEXT($F$11,"dd/mm/yyyy"))</f>
        <v>End-of-year meeting - TBD</v>
      </c>
      <c r="F97" s="330"/>
      <c r="G97" s="331"/>
      <c r="H97" s="334"/>
      <c r="I97" s="335"/>
      <c r="J97" s="335"/>
      <c r="K97" s="335"/>
      <c r="L97" s="336"/>
      <c r="M97" s="44"/>
      <c r="O97" s="322"/>
    </row>
    <row r="98" spans="3:15" ht="74.25" customHeight="1" thickBot="1" x14ac:dyDescent="0.4">
      <c r="C98" s="164"/>
      <c r="D98" s="158"/>
      <c r="E98" s="57"/>
      <c r="F98" s="306" t="s">
        <v>53</v>
      </c>
      <c r="G98" s="306"/>
      <c r="H98" s="306"/>
      <c r="I98" s="306"/>
      <c r="J98" s="306"/>
      <c r="K98" s="306"/>
      <c r="L98" s="307"/>
      <c r="M98" s="44"/>
      <c r="O98" s="124"/>
    </row>
    <row r="99" spans="3:15" ht="91.5" customHeight="1" x14ac:dyDescent="0.35">
      <c r="C99" s="164"/>
      <c r="D99" s="158"/>
      <c r="E99" s="56" t="s">
        <v>38</v>
      </c>
      <c r="F99" s="545" t="str">
        <f>'CC 2025'!F99</f>
        <v>Improve NRMS usability</v>
      </c>
      <c r="G99" s="348"/>
      <c r="H99" s="348"/>
      <c r="I99" s="348"/>
      <c r="J99" s="348"/>
      <c r="K99" s="348"/>
      <c r="L99" s="349"/>
      <c r="M99" s="44"/>
      <c r="O99" s="124"/>
    </row>
    <row r="100" spans="3:15" ht="53.45" customHeight="1" x14ac:dyDescent="0.35">
      <c r="C100" s="164"/>
      <c r="D100" s="158"/>
      <c r="E100" s="315" t="s">
        <v>40</v>
      </c>
      <c r="F100" s="316" t="s">
        <v>41</v>
      </c>
      <c r="G100" s="317"/>
      <c r="H100" s="318"/>
      <c r="I100" s="70" t="s">
        <v>42</v>
      </c>
      <c r="J100" s="70" t="s">
        <v>43</v>
      </c>
      <c r="K100" s="70" t="s">
        <v>44</v>
      </c>
      <c r="L100" s="125" t="s">
        <v>45</v>
      </c>
      <c r="M100" s="44"/>
    </row>
    <row r="101" spans="3:15" ht="177.75" customHeight="1" x14ac:dyDescent="0.35">
      <c r="C101" s="164"/>
      <c r="D101" s="158"/>
      <c r="E101" s="315"/>
      <c r="F101" s="344" t="str">
        <f>'CC 2025'!F101</f>
        <v xml:space="preserve">In collaboration with NOC and Thasa, evaluate, prioritize, and improve features/GUI to make NRMS more user friendly. </v>
      </c>
      <c r="G101" s="345"/>
      <c r="H101" s="346"/>
      <c r="I101" s="143" t="str">
        <f>'CC 2025'!I101</f>
        <v>Based on targets defined by Thasa/NOC</v>
      </c>
      <c r="J101" s="143" t="str">
        <f>'CC 2025'!J101</f>
        <v>With support of NOC &amp; Thasa</v>
      </c>
      <c r="K101" s="143" t="str">
        <f>'CC 2025'!K101</f>
        <v>NRMS is our primary tool to manage ressources and it must be "sexy" to use.</v>
      </c>
      <c r="L101" s="75" t="str">
        <f>'CC 2025'!L101</f>
        <v>Q3 2024</v>
      </c>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TBD</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TBD</v>
      </c>
      <c r="F105" s="330"/>
      <c r="G105" s="331"/>
      <c r="H105" s="334"/>
      <c r="I105" s="335"/>
      <c r="J105" s="335"/>
      <c r="K105" s="335"/>
      <c r="L105" s="336"/>
      <c r="M105" s="44"/>
      <c r="N105" s="165"/>
      <c r="O105" s="322"/>
    </row>
    <row r="106" spans="3:15" ht="53.45" customHeight="1" x14ac:dyDescent="0.35">
      <c r="C106" s="164"/>
      <c r="D106" s="158"/>
      <c r="E106" s="315"/>
      <c r="F106" s="342" t="str">
        <f>F7</f>
        <v xml:space="preserve">Anael </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TBD</v>
      </c>
      <c r="F108" s="330"/>
      <c r="G108" s="331"/>
      <c r="H108" s="330"/>
      <c r="I108" s="332"/>
      <c r="J108" s="332"/>
      <c r="K108" s="332"/>
      <c r="L108" s="333"/>
      <c r="M108" s="44"/>
      <c r="N108" s="165"/>
      <c r="O108" s="322"/>
    </row>
    <row r="109" spans="3:15" ht="135.94999999999999" customHeight="1" thickBot="1" x14ac:dyDescent="0.4">
      <c r="C109" s="164"/>
      <c r="D109" s="158"/>
      <c r="E109" s="126" t="str">
        <f>CONCATENATE("End-of-year meeting - ", TEXT($F$11,"dd/mm/yyyy"))</f>
        <v>End-of-year meeting - TBD</v>
      </c>
      <c r="F109" s="330"/>
      <c r="G109" s="331"/>
      <c r="H109" s="334"/>
      <c r="I109" s="335"/>
      <c r="J109" s="335"/>
      <c r="K109" s="335"/>
      <c r="L109" s="336"/>
      <c r="M109" s="44"/>
      <c r="N109" s="165"/>
      <c r="O109" s="322"/>
    </row>
    <row r="110" spans="3:15" ht="74.25" customHeight="1" thickBot="1" x14ac:dyDescent="0.4">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545" t="str">
        <f>'CC 2025'!F111</f>
        <v>Allow Service delivery team to provision new services on stats portal &amp; NRMS</v>
      </c>
      <c r="G111" s="348"/>
      <c r="H111" s="348"/>
      <c r="I111" s="348"/>
      <c r="J111" s="348"/>
      <c r="K111" s="348"/>
      <c r="L111" s="349"/>
      <c r="M111" s="44"/>
      <c r="O111" s="124"/>
    </row>
    <row r="112" spans="3:15" ht="53.45" customHeight="1" x14ac:dyDescent="0.35">
      <c r="C112" s="164"/>
      <c r="D112" s="158"/>
      <c r="E112" s="315" t="s">
        <v>40</v>
      </c>
      <c r="F112" s="316" t="s">
        <v>41</v>
      </c>
      <c r="G112" s="317"/>
      <c r="H112" s="318"/>
      <c r="I112" s="70" t="s">
        <v>42</v>
      </c>
      <c r="J112" s="70" t="s">
        <v>43</v>
      </c>
      <c r="K112" s="70" t="s">
        <v>44</v>
      </c>
      <c r="L112" s="125" t="s">
        <v>45</v>
      </c>
      <c r="M112" s="44"/>
    </row>
    <row r="113" spans="3:15" ht="186.75" customHeight="1" x14ac:dyDescent="0.35">
      <c r="C113" s="164"/>
      <c r="D113" s="158"/>
      <c r="E113" s="315"/>
      <c r="F113" s="344" t="str">
        <f>'CC 2025'!F113</f>
        <v xml:space="preserve">Each time we onboard or remove a circuit/customer, IT-Dev is involved to manually create the entries in Stats portal, NRMS and Customer Portal. I'd like this process to be handled by Service Delivery team. </v>
      </c>
      <c r="G113" s="345"/>
      <c r="H113" s="346"/>
      <c r="I113" s="143" t="str">
        <f>'CC 2025'!I113</f>
        <v xml:space="preserve">100% successfull usage by Service Delivery team </v>
      </c>
      <c r="J113" s="143" t="str">
        <f>'CC 2025'!J113</f>
        <v xml:space="preserve">by designing and implementing tool </v>
      </c>
      <c r="K113" s="143" t="str">
        <f>'CC 2025'!K113</f>
        <v>To reduce load on IT-DEV and allow SD to be autonomous</v>
      </c>
      <c r="L113" s="75" t="str">
        <f>'CC 2025'!L113</f>
        <v>Q4 2024</v>
      </c>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TBD</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TBD</v>
      </c>
      <c r="F117" s="330"/>
      <c r="G117" s="331"/>
      <c r="H117" s="334"/>
      <c r="I117" s="335"/>
      <c r="J117" s="335"/>
      <c r="K117" s="335"/>
      <c r="L117" s="336"/>
      <c r="M117" s="44"/>
      <c r="O117" s="322"/>
    </row>
    <row r="118" spans="3:15" ht="53.45" customHeight="1" x14ac:dyDescent="0.35">
      <c r="C118" s="164"/>
      <c r="D118" s="158"/>
      <c r="E118" s="315"/>
      <c r="F118" s="342" t="str">
        <f>F7</f>
        <v xml:space="preserve">Anael </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TBD</v>
      </c>
      <c r="F120" s="330"/>
      <c r="G120" s="331"/>
      <c r="H120" s="330"/>
      <c r="I120" s="332"/>
      <c r="J120" s="332"/>
      <c r="K120" s="332"/>
      <c r="L120" s="333"/>
      <c r="M120" s="44"/>
      <c r="O120" s="322"/>
    </row>
    <row r="121" spans="3:15" ht="135.94999999999999" customHeight="1" thickBot="1" x14ac:dyDescent="0.4">
      <c r="C121" s="164"/>
      <c r="D121" s="158"/>
      <c r="E121" s="126" t="str">
        <f>CONCATENATE("End-of-year meeting - ", TEXT($F$11,"dd/mm/yyyy"))</f>
        <v>End-of-year meeting - TBD</v>
      </c>
      <c r="F121" s="330"/>
      <c r="G121" s="331"/>
      <c r="H121" s="334"/>
      <c r="I121" s="335"/>
      <c r="J121" s="335"/>
      <c r="K121" s="335"/>
      <c r="L121" s="336"/>
      <c r="M121" s="44"/>
      <c r="O121" s="322"/>
    </row>
    <row r="122" spans="3:15" ht="74.25" customHeight="1" thickBot="1" x14ac:dyDescent="0.4">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545" t="str">
        <f>'CC 2025'!F123</f>
        <v>Investigate how a chatbot / AI can help NOC operations</v>
      </c>
      <c r="G123" s="348"/>
      <c r="H123" s="348"/>
      <c r="I123" s="348"/>
      <c r="J123" s="348"/>
      <c r="K123" s="348"/>
      <c r="L123" s="349"/>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t="str">
        <f>'CC 2025'!F125</f>
        <v>Based on the ticket information, NRMS data, Stats portal data, identify and suggest how AI/Chatbot can help daily operations of the NOC / Service Delivery</v>
      </c>
      <c r="G125" s="345"/>
      <c r="H125" s="346"/>
      <c r="I125" s="143" t="str">
        <f>'CC 2025'!I125</f>
        <v>prototype delivered to Anael / roadmap ready to be implemented in 2025</v>
      </c>
      <c r="J125" s="143" t="str">
        <f>'CC 2025'!J125</f>
        <v xml:space="preserve">thanks to Exploration / gather Akshat researchs </v>
      </c>
      <c r="K125" s="143" t="str">
        <f>'CC 2025'!K125</f>
        <v>To facilitate NOC / Service delivery gathering of information</v>
      </c>
      <c r="L125" s="75" t="str">
        <f>'CC 2025'!L125</f>
        <v>Q4 2024</v>
      </c>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TBD</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TBD</v>
      </c>
      <c r="F129" s="330"/>
      <c r="G129" s="331"/>
      <c r="H129" s="334"/>
      <c r="I129" s="335"/>
      <c r="J129" s="335"/>
      <c r="K129" s="335"/>
      <c r="L129" s="336"/>
      <c r="M129" s="44"/>
      <c r="O129" s="322"/>
    </row>
    <row r="130" spans="3:15" ht="53.45" customHeight="1" x14ac:dyDescent="0.35">
      <c r="C130" s="164"/>
      <c r="D130" s="158"/>
      <c r="E130" s="315"/>
      <c r="F130" s="342" t="str">
        <f>F7</f>
        <v xml:space="preserve">Anael </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TBD</v>
      </c>
      <c r="F132" s="330"/>
      <c r="G132" s="331"/>
      <c r="H132" s="330"/>
      <c r="I132" s="332"/>
      <c r="J132" s="332"/>
      <c r="K132" s="332"/>
      <c r="L132" s="333"/>
      <c r="M132" s="44"/>
      <c r="O132" s="322"/>
    </row>
    <row r="133" spans="3:15" ht="135.94999999999999" customHeight="1" thickBot="1" x14ac:dyDescent="0.4">
      <c r="C133" s="164"/>
      <c r="D133" s="158"/>
      <c r="E133" s="126" t="str">
        <f>CONCATENATE("End-of-year meeting - ", TEXT($F$11,"dd/mm/yyyy"))</f>
        <v>End-of-year meeting - TBD</v>
      </c>
      <c r="F133" s="330"/>
      <c r="G133" s="331"/>
      <c r="H133" s="334"/>
      <c r="I133" s="335"/>
      <c r="J133" s="335"/>
      <c r="K133" s="335"/>
      <c r="L133" s="336"/>
      <c r="M133" s="44"/>
      <c r="O133" s="322"/>
    </row>
    <row r="134" spans="3:15" ht="74.25" customHeight="1" thickBot="1" x14ac:dyDescent="0.4">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545" t="str">
        <f>'CC 2025'!F135</f>
        <v xml:space="preserve">Deliver on User Requests </v>
      </c>
      <c r="G135" s="348"/>
      <c r="H135" s="348"/>
      <c r="I135" s="348"/>
      <c r="J135" s="348"/>
      <c r="K135" s="348"/>
      <c r="L135" s="349"/>
      <c r="M135" s="44"/>
      <c r="O135" s="124"/>
    </row>
    <row r="136" spans="3:15" ht="53.45" customHeight="1" x14ac:dyDescent="0.35">
      <c r="C136" s="164"/>
      <c r="D136" s="158"/>
      <c r="E136" s="352" t="s">
        <v>40</v>
      </c>
      <c r="F136" s="316" t="s">
        <v>41</v>
      </c>
      <c r="G136" s="317"/>
      <c r="H136" s="318"/>
      <c r="I136" s="70" t="s">
        <v>42</v>
      </c>
      <c r="J136" s="70" t="s">
        <v>43</v>
      </c>
      <c r="K136" s="70" t="s">
        <v>44</v>
      </c>
      <c r="L136" s="125" t="s">
        <v>45</v>
      </c>
      <c r="M136" s="44"/>
    </row>
    <row r="137" spans="3:15" ht="220.5" customHeight="1" x14ac:dyDescent="0.35">
      <c r="C137" s="164"/>
      <c r="D137" s="158"/>
      <c r="E137" s="352"/>
      <c r="F137" s="344" t="str">
        <f>'CC 2025'!F137</f>
        <v xml:space="preserve">To be able to support Eng, NOC, Service Delivery teams new feature requests and support existing systems </v>
      </c>
      <c r="G137" s="345"/>
      <c r="H137" s="346"/>
      <c r="I137" s="143" t="str">
        <f>'CC 2025'!I137</f>
        <v xml:space="preserve">1-100 % New feature requests implemented 
2- support - No major concern raised by relevant teams &amp; most of the issues should get fixed within resonable timeframes  </v>
      </c>
      <c r="J137" s="143" t="str">
        <f>'CC 2025'!J137</f>
        <v xml:space="preserve">Yes, after knowledge transfer </v>
      </c>
      <c r="K137" s="143" t="str">
        <f>'CC 2025'!K137</f>
        <v xml:space="preserve">To be able to maintain existing resources managed by Dev Team </v>
      </c>
      <c r="L137" s="75" t="str">
        <f>'CC 2025'!L137</f>
        <v>Q2 2024</v>
      </c>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TBD</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TBD</v>
      </c>
      <c r="F141" s="330"/>
      <c r="G141" s="331"/>
      <c r="H141" s="334"/>
      <c r="I141" s="335"/>
      <c r="J141" s="335"/>
      <c r="K141" s="335"/>
      <c r="L141" s="336"/>
      <c r="M141" s="44"/>
      <c r="O141" s="322"/>
    </row>
    <row r="142" spans="3:15" ht="53.45" customHeight="1" x14ac:dyDescent="0.35">
      <c r="C142" s="164"/>
      <c r="D142" s="158"/>
      <c r="E142" s="352"/>
      <c r="F142" s="359" t="str">
        <f>F7</f>
        <v xml:space="preserve">Anael </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TBD</v>
      </c>
      <c r="F144" s="330"/>
      <c r="G144" s="331"/>
      <c r="H144" s="330"/>
      <c r="I144" s="332"/>
      <c r="J144" s="332"/>
      <c r="K144" s="332"/>
      <c r="L144" s="333"/>
      <c r="M144" s="44"/>
      <c r="O144" s="322"/>
    </row>
    <row r="145" spans="3:17" ht="135.94999999999999" customHeight="1" thickBot="1" x14ac:dyDescent="0.4">
      <c r="C145" s="164"/>
      <c r="D145" s="158"/>
      <c r="E145" s="129" t="str">
        <f>CONCATENATE("End-of-year meeting - ", TEXT($F$11,"dd/mm/yyyy"))</f>
        <v>End-of-year meeting - TBD</v>
      </c>
      <c r="F145" s="330"/>
      <c r="G145" s="331"/>
      <c r="H145" s="334"/>
      <c r="I145" s="335"/>
      <c r="J145" s="335"/>
      <c r="K145" s="335"/>
      <c r="L145" s="336"/>
      <c r="M145" s="44"/>
      <c r="O145" s="322"/>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thickBot="1" x14ac:dyDescent="0.4">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TBD</v>
      </c>
      <c r="F154" s="224" t="s">
        <v>64</v>
      </c>
      <c r="G154" s="368" t="str">
        <f>'CC 2023'!E2</f>
        <v>Employee Name</v>
      </c>
      <c r="H154" s="368"/>
      <c r="I154" s="368"/>
      <c r="J154" s="368" t="str">
        <f>F7</f>
        <v xml:space="preserve">Anael </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TBD</v>
      </c>
      <c r="F156" s="224" t="s">
        <v>64</v>
      </c>
      <c r="G156" s="361" t="str">
        <f>'CC 2023'!E2</f>
        <v>Employee Name</v>
      </c>
      <c r="H156" s="361"/>
      <c r="I156" s="361"/>
      <c r="J156" s="361" t="str">
        <f>F7</f>
        <v xml:space="preserve">Anael </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thickBot="1" x14ac:dyDescent="0.4">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TBD</v>
      </c>
      <c r="F159" s="224" t="s">
        <v>64</v>
      </c>
      <c r="G159" s="377" t="str">
        <f>'CC 2023'!E2</f>
        <v>Employee Name</v>
      </c>
      <c r="H159" s="378"/>
      <c r="I159" s="379"/>
      <c r="J159" s="380" t="str">
        <f>F7</f>
        <v xml:space="preserve">Anael </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TBD</v>
      </c>
      <c r="F161" s="224" t="s">
        <v>64</v>
      </c>
      <c r="G161" s="391" t="str">
        <f>'CC 2023'!E2</f>
        <v>Employee Name</v>
      </c>
      <c r="H161" s="392"/>
      <c r="I161" s="393"/>
      <c r="J161" s="394" t="str">
        <f>F7</f>
        <v xml:space="preserve">Anael </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thickBot="1" x14ac:dyDescent="0.4">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TBD</v>
      </c>
      <c r="F164" s="224" t="s">
        <v>64</v>
      </c>
      <c r="G164" s="377" t="str">
        <f>'CC 2023'!E2</f>
        <v>Employee Name</v>
      </c>
      <c r="H164" s="378"/>
      <c r="I164" s="379"/>
      <c r="J164" s="377" t="str">
        <f>F7</f>
        <v xml:space="preserve">Anael </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TBD</v>
      </c>
      <c r="F166" s="224" t="s">
        <v>64</v>
      </c>
      <c r="G166" s="391" t="str">
        <f>'CC 2023'!E2</f>
        <v>Employee Name</v>
      </c>
      <c r="H166" s="392"/>
      <c r="I166" s="393"/>
      <c r="J166" s="391" t="str">
        <f>F7</f>
        <v xml:space="preserve">Anael </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thickBot="1" x14ac:dyDescent="0.4">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TBD</v>
      </c>
      <c r="F169" s="224" t="s">
        <v>64</v>
      </c>
      <c r="G169" s="368" t="str">
        <f>'CC 2023'!E2</f>
        <v>Employee Name</v>
      </c>
      <c r="H169" s="368"/>
      <c r="I169" s="368"/>
      <c r="J169" s="368" t="str">
        <f>F7</f>
        <v xml:space="preserve">Anael </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TBD</v>
      </c>
      <c r="F171" s="224" t="s">
        <v>64</v>
      </c>
      <c r="G171" s="361" t="str">
        <f>'CC 2023'!E2</f>
        <v>Employee Name</v>
      </c>
      <c r="H171" s="361"/>
      <c r="I171" s="361"/>
      <c r="J171" s="361" t="str">
        <f>F7</f>
        <v xml:space="preserve">Anael </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t="str">
        <f>F7</f>
        <v xml:space="preserve">Anael </v>
      </c>
      <c r="K177" s="415"/>
      <c r="L177" s="416"/>
      <c r="M177" s="44"/>
      <c r="Q177" s="148"/>
    </row>
    <row r="178" spans="4:17" ht="111" customHeight="1" x14ac:dyDescent="0.35">
      <c r="D178" s="158"/>
      <c r="E178" s="139" t="str">
        <f>CONCATENATE("Mid-year meeting - ",TEXT($F$10,"dd/mm/yyyy"))</f>
        <v>Mid-year meeting - TBD</v>
      </c>
      <c r="F178" s="176"/>
      <c r="G178" s="373"/>
      <c r="H178" s="373"/>
      <c r="I178" s="373"/>
      <c r="J178" s="418"/>
      <c r="K178" s="418"/>
      <c r="L178" s="419"/>
      <c r="M178" s="44"/>
    </row>
    <row r="179" spans="4:17" ht="111" customHeight="1" x14ac:dyDescent="0.35">
      <c r="D179" s="158"/>
      <c r="E179" s="140" t="str">
        <f>CONCATENATE("End-of-year meeting - ", TEXT($F$11,"dd/mm/yyyy"))</f>
        <v>End-of-year meeting - TBD</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8" t="s">
        <v>80</v>
      </c>
      <c r="I186" s="428"/>
      <c r="J186" s="428"/>
      <c r="K186" s="428" t="s">
        <v>81</v>
      </c>
      <c r="L186" s="428"/>
      <c r="M186" s="44"/>
    </row>
    <row r="187" spans="4:17" ht="129.75" customHeight="1" x14ac:dyDescent="0.35">
      <c r="D187" s="158"/>
      <c r="E187" s="141" t="str">
        <f>CONCATENATE("Mid-year meeting - ",TEXT($F$10,"dd/mm/yyyy"))</f>
        <v>Mid-year meeting - TBD</v>
      </c>
      <c r="F187" s="422"/>
      <c r="G187" s="422"/>
      <c r="H187" s="422"/>
      <c r="I187" s="422"/>
      <c r="J187" s="422"/>
      <c r="K187" s="422"/>
      <c r="L187" s="422"/>
      <c r="M187" s="44"/>
    </row>
    <row r="188" spans="4:17" ht="129.75" customHeight="1" x14ac:dyDescent="0.35">
      <c r="D188" s="158"/>
      <c r="E188" s="142" t="str">
        <f>CONCATENATE("End-of-year meeting - ", TEXT($F$11,"dd/mm/yyyy"))</f>
        <v>End-of-year meeting - TBD</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birWxr0tv/GrFoBGXHBa8rSy90YVQkmhcdxuBiNEHFBi1D/kYXsZhmx44xKkEoG61dgjT6eTovY3T3Gk2dV61w==" saltValue="vUq0fEWrTc7+MjZeeSrMWA==" spinCount="100000" sheet="1" formatCells="0" formatColumns="0" formatRows="0"/>
  <mergeCells count="286">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F168:L168"/>
    <mergeCell ref="F163:L163"/>
    <mergeCell ref="E164:E165"/>
    <mergeCell ref="G164:I164"/>
    <mergeCell ref="J164:L164"/>
    <mergeCell ref="G165:I165"/>
    <mergeCell ref="J165:L165"/>
    <mergeCell ref="E175:L175"/>
    <mergeCell ref="E176:L176"/>
    <mergeCell ref="E161:E162"/>
    <mergeCell ref="G161:I161"/>
    <mergeCell ref="J161:L161"/>
    <mergeCell ref="G162:I162"/>
    <mergeCell ref="J162:L162"/>
    <mergeCell ref="E166:E167"/>
    <mergeCell ref="G166:I166"/>
    <mergeCell ref="J166:L166"/>
    <mergeCell ref="G167:I167"/>
    <mergeCell ref="J167:L16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O137:O145"/>
    <mergeCell ref="E138:E139"/>
    <mergeCell ref="F138:L138"/>
    <mergeCell ref="F139:G139"/>
    <mergeCell ref="H139:L139"/>
    <mergeCell ref="F140:G140"/>
    <mergeCell ref="H140:L140"/>
    <mergeCell ref="F144:G144"/>
    <mergeCell ref="H144:L144"/>
    <mergeCell ref="F145:G145"/>
    <mergeCell ref="H145:L145"/>
    <mergeCell ref="F134:L134"/>
    <mergeCell ref="F135:L135"/>
    <mergeCell ref="F129:G129"/>
    <mergeCell ref="H129:L129"/>
    <mergeCell ref="E130:E131"/>
    <mergeCell ref="F130:L130"/>
    <mergeCell ref="F131:G131"/>
    <mergeCell ref="H131:L131"/>
    <mergeCell ref="E136:E137"/>
    <mergeCell ref="F136:H136"/>
    <mergeCell ref="F137:H137"/>
    <mergeCell ref="O125:O133"/>
    <mergeCell ref="E126:E127"/>
    <mergeCell ref="F126:L126"/>
    <mergeCell ref="F127:G127"/>
    <mergeCell ref="H127:L127"/>
    <mergeCell ref="F128:G128"/>
    <mergeCell ref="H128:L128"/>
    <mergeCell ref="F132:G132"/>
    <mergeCell ref="H132:L132"/>
    <mergeCell ref="F133:G133"/>
    <mergeCell ref="H133:L133"/>
    <mergeCell ref="F122:L122"/>
    <mergeCell ref="F123:L123"/>
    <mergeCell ref="F117:G117"/>
    <mergeCell ref="H117:L117"/>
    <mergeCell ref="E118:E119"/>
    <mergeCell ref="F118:L118"/>
    <mergeCell ref="F119:G119"/>
    <mergeCell ref="H119:L119"/>
    <mergeCell ref="E124:E125"/>
    <mergeCell ref="F124:H124"/>
    <mergeCell ref="F125:H125"/>
    <mergeCell ref="O113:O121"/>
    <mergeCell ref="E114:E115"/>
    <mergeCell ref="F114:L114"/>
    <mergeCell ref="F115:G115"/>
    <mergeCell ref="H115:L115"/>
    <mergeCell ref="F116:G116"/>
    <mergeCell ref="H116:L116"/>
    <mergeCell ref="F120:G120"/>
    <mergeCell ref="H120:L120"/>
    <mergeCell ref="F121:G121"/>
    <mergeCell ref="H121:L121"/>
    <mergeCell ref="F110:L110"/>
    <mergeCell ref="F111:L111"/>
    <mergeCell ref="F105:G105"/>
    <mergeCell ref="H105:L105"/>
    <mergeCell ref="E106:E107"/>
    <mergeCell ref="F106:L106"/>
    <mergeCell ref="F107:G107"/>
    <mergeCell ref="H107:L107"/>
    <mergeCell ref="E112:E113"/>
    <mergeCell ref="F112:H112"/>
    <mergeCell ref="F113:H113"/>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E78:F78"/>
    <mergeCell ref="E79:F79"/>
    <mergeCell ref="E80:F80"/>
    <mergeCell ref="E84:L84"/>
    <mergeCell ref="E85:F85"/>
    <mergeCell ref="F86:L86"/>
    <mergeCell ref="E72:F72"/>
    <mergeCell ref="E73:F73"/>
    <mergeCell ref="E74:F74"/>
    <mergeCell ref="E75:F75"/>
    <mergeCell ref="E76:F76"/>
    <mergeCell ref="E77:F77"/>
    <mergeCell ref="E67:E68"/>
    <mergeCell ref="G67:I67"/>
    <mergeCell ref="J67:L67"/>
    <mergeCell ref="G68:I68"/>
    <mergeCell ref="J68:L68"/>
    <mergeCell ref="E71:L71"/>
    <mergeCell ref="F64:L64"/>
    <mergeCell ref="E65:E66"/>
    <mergeCell ref="G65:I65"/>
    <mergeCell ref="J65:L65"/>
    <mergeCell ref="G66:I66"/>
    <mergeCell ref="J66:L66"/>
    <mergeCell ref="E59:E60"/>
    <mergeCell ref="G59:I59"/>
    <mergeCell ref="J59:L59"/>
    <mergeCell ref="G60:I60"/>
    <mergeCell ref="J60:L60"/>
    <mergeCell ref="E61:E62"/>
    <mergeCell ref="G61:I61"/>
    <mergeCell ref="J61:L61"/>
    <mergeCell ref="G62:I62"/>
    <mergeCell ref="J62:L62"/>
    <mergeCell ref="E55:E56"/>
    <mergeCell ref="G55:I55"/>
    <mergeCell ref="J55:L55"/>
    <mergeCell ref="G56:I56"/>
    <mergeCell ref="J56:L56"/>
    <mergeCell ref="F58:L58"/>
    <mergeCell ref="F52:L52"/>
    <mergeCell ref="E53:E54"/>
    <mergeCell ref="G53:I53"/>
    <mergeCell ref="J53:L53"/>
    <mergeCell ref="G54:I54"/>
    <mergeCell ref="J54:L54"/>
    <mergeCell ref="E47:E48"/>
    <mergeCell ref="G47:I47"/>
    <mergeCell ref="J47:L47"/>
    <mergeCell ref="G48:I48"/>
    <mergeCell ref="J48:L48"/>
    <mergeCell ref="E49:E50"/>
    <mergeCell ref="G49:I49"/>
    <mergeCell ref="J49:L49"/>
    <mergeCell ref="G50:I50"/>
    <mergeCell ref="J50:L50"/>
    <mergeCell ref="E43:E44"/>
    <mergeCell ref="G43:I43"/>
    <mergeCell ref="J43:L43"/>
    <mergeCell ref="G44:I44"/>
    <mergeCell ref="J44:L44"/>
    <mergeCell ref="F46:L46"/>
    <mergeCell ref="F40:L40"/>
    <mergeCell ref="E41:E42"/>
    <mergeCell ref="G41:I41"/>
    <mergeCell ref="J41:L41"/>
    <mergeCell ref="G42:I42"/>
    <mergeCell ref="J42:L42"/>
    <mergeCell ref="E35:E36"/>
    <mergeCell ref="G35:I35"/>
    <mergeCell ref="J35:L35"/>
    <mergeCell ref="G36:I36"/>
    <mergeCell ref="J36:L36"/>
    <mergeCell ref="E37:E38"/>
    <mergeCell ref="G37:I37"/>
    <mergeCell ref="J37:L37"/>
    <mergeCell ref="G38:I38"/>
    <mergeCell ref="J38:L3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s>
  <conditionalFormatting sqref="E4">
    <cfRule type="containsText" dxfId="1250" priority="337" operator="containsText" text="Stop">
      <formula>NOT(ISERROR(SEARCH("Stop",E4)))</formula>
    </cfRule>
    <cfRule type="containsText" dxfId="1249" priority="338" operator="containsText" text="Start">
      <formula>NOT(ISERROR(SEARCH("Start",E4)))</formula>
    </cfRule>
    <cfRule type="containsText" dxfId="1248" priority="336" operator="containsText" text="Continue">
      <formula>NOT(ISERROR(SEARCH("Continue",E4)))</formula>
    </cfRule>
  </conditionalFormatting>
  <conditionalFormatting sqref="E14">
    <cfRule type="containsText" dxfId="1247" priority="456" operator="containsText" text="Continue">
      <formula>NOT(ISERROR(SEARCH("Continue",E14)))</formula>
    </cfRule>
    <cfRule type="containsText" dxfId="1246" priority="457" operator="containsText" text="Stop">
      <formula>NOT(ISERROR(SEARCH("Stop",E14)))</formula>
    </cfRule>
    <cfRule type="containsText" dxfId="1245" priority="458" operator="containsText" text="Start">
      <formula>NOT(ISERROR(SEARCH("Start",E14)))</formula>
    </cfRule>
  </conditionalFormatting>
  <conditionalFormatting sqref="E28 E154 G154 E156 G156">
    <cfRule type="containsText" dxfId="1244" priority="391" operator="containsText" text="N/A">
      <formula>NOT(ISERROR(SEARCH("N/A",E28)))</formula>
    </cfRule>
    <cfRule type="containsText" dxfId="1243" priority="388" operator="containsText" text="Continue">
      <formula>NOT(ISERROR(SEARCH("Continue",E28)))</formula>
    </cfRule>
    <cfRule type="containsText" dxfId="1242" priority="393" operator="containsText" text="Meets">
      <formula>NOT(ISERROR(SEARCH("Meets",E28)))</formula>
    </cfRule>
    <cfRule type="containsText" dxfId="1241" priority="392" operator="containsText" text="Exceeds">
      <formula>NOT(ISERROR(SEARCH("Exceeds",E28)))</formula>
    </cfRule>
    <cfRule type="containsText" dxfId="1240" priority="390" operator="containsText" text="Start">
      <formula>NOT(ISERROR(SEARCH("Start",E28)))</formula>
    </cfRule>
    <cfRule type="containsText" dxfId="1239" priority="389" operator="containsText" text="Stop">
      <formula>NOT(ISERROR(SEARCH("Stop",E28)))</formula>
    </cfRule>
    <cfRule type="containsText" dxfId="1238" priority="394" operator="containsText" text="Under">
      <formula>NOT(ISERROR(SEARCH("Under",E28)))</formula>
    </cfRule>
  </conditionalFormatting>
  <conditionalFormatting sqref="E34">
    <cfRule type="containsText" dxfId="1237" priority="368" operator="containsText" text="Stop">
      <formula>NOT(ISERROR(SEARCH("Stop",E34)))</formula>
    </cfRule>
    <cfRule type="containsText" dxfId="1236" priority="373" operator="containsText" text="Under">
      <formula>NOT(ISERROR(SEARCH("Under",E34)))</formula>
    </cfRule>
    <cfRule type="containsText" dxfId="1235" priority="372" operator="containsText" text="Meets">
      <formula>NOT(ISERROR(SEARCH("Meets",E34)))</formula>
    </cfRule>
    <cfRule type="containsText" dxfId="1234" priority="371" operator="containsText" text="Exceeds">
      <formula>NOT(ISERROR(SEARCH("Exceeds",E34)))</formula>
    </cfRule>
    <cfRule type="containsText" dxfId="1233" priority="370" operator="containsText" text="N/A">
      <formula>NOT(ISERROR(SEARCH("N/A",E34)))</formula>
    </cfRule>
    <cfRule type="containsText" dxfId="1232" priority="369" operator="containsText" text="Start">
      <formula>NOT(ISERROR(SEARCH("Start",E34)))</formula>
    </cfRule>
    <cfRule type="containsText" dxfId="1231" priority="367" operator="containsText" text="Continue">
      <formula>NOT(ISERROR(SEARCH("Continue",E34)))</formula>
    </cfRule>
  </conditionalFormatting>
  <conditionalFormatting sqref="E40">
    <cfRule type="containsText" dxfId="1230" priority="364" operator="containsText" text="Exceeds">
      <formula>NOT(ISERROR(SEARCH("Exceeds",E40)))</formula>
    </cfRule>
    <cfRule type="containsText" dxfId="1229" priority="365" operator="containsText" text="Meets">
      <formula>NOT(ISERROR(SEARCH("Meets",E40)))</formula>
    </cfRule>
    <cfRule type="containsText" dxfId="1228" priority="366" operator="containsText" text="Under">
      <formula>NOT(ISERROR(SEARCH("Under",E40)))</formula>
    </cfRule>
    <cfRule type="containsText" dxfId="1227" priority="360" operator="containsText" text="Continue">
      <formula>NOT(ISERROR(SEARCH("Continue",E40)))</formula>
    </cfRule>
    <cfRule type="containsText" dxfId="1226" priority="362" operator="containsText" text="Start">
      <formula>NOT(ISERROR(SEARCH("Start",E40)))</formula>
    </cfRule>
    <cfRule type="containsText" dxfId="1225" priority="363" operator="containsText" text="N/A">
      <formula>NOT(ISERROR(SEARCH("N/A",E40)))</formula>
    </cfRule>
    <cfRule type="containsText" dxfId="1224" priority="361" operator="containsText" text="Stop">
      <formula>NOT(ISERROR(SEARCH("Stop",E40)))</formula>
    </cfRule>
  </conditionalFormatting>
  <conditionalFormatting sqref="E46">
    <cfRule type="containsText" dxfId="1223" priority="359" operator="containsText" text="Under">
      <formula>NOT(ISERROR(SEARCH("Under",E46)))</formula>
    </cfRule>
    <cfRule type="containsText" dxfId="1222" priority="358" operator="containsText" text="Meets">
      <formula>NOT(ISERROR(SEARCH("Meets",E46)))</formula>
    </cfRule>
    <cfRule type="containsText" dxfId="1221" priority="357" operator="containsText" text="Exceeds">
      <formula>NOT(ISERROR(SEARCH("Exceeds",E46)))</formula>
    </cfRule>
    <cfRule type="containsText" dxfId="1220" priority="356" operator="containsText" text="N/A">
      <formula>NOT(ISERROR(SEARCH("N/A",E46)))</formula>
    </cfRule>
    <cfRule type="containsText" dxfId="1219" priority="355" operator="containsText" text="Start">
      <formula>NOT(ISERROR(SEARCH("Start",E46)))</formula>
    </cfRule>
    <cfRule type="containsText" dxfId="1218" priority="354" operator="containsText" text="Stop">
      <formula>NOT(ISERROR(SEARCH("Stop",E46)))</formula>
    </cfRule>
    <cfRule type="containsText" dxfId="1217" priority="353" operator="containsText" text="Continue">
      <formula>NOT(ISERROR(SEARCH("Continue",E46)))</formula>
    </cfRule>
  </conditionalFormatting>
  <conditionalFormatting sqref="E52">
    <cfRule type="containsText" dxfId="1216" priority="349" operator="containsText" text="N/A">
      <formula>NOT(ISERROR(SEARCH("N/A",E52)))</formula>
    </cfRule>
    <cfRule type="containsText" dxfId="1215" priority="348" operator="containsText" text="Start">
      <formula>NOT(ISERROR(SEARCH("Start",E52)))</formula>
    </cfRule>
    <cfRule type="containsText" dxfId="1214" priority="347" operator="containsText" text="Stop">
      <formula>NOT(ISERROR(SEARCH("Stop",E52)))</formula>
    </cfRule>
    <cfRule type="containsText" dxfId="1213" priority="352" operator="containsText" text="Under">
      <formula>NOT(ISERROR(SEARCH("Under",E52)))</formula>
    </cfRule>
    <cfRule type="containsText" dxfId="1212" priority="351" operator="containsText" text="Meets">
      <formula>NOT(ISERROR(SEARCH("Meets",E52)))</formula>
    </cfRule>
    <cfRule type="containsText" dxfId="1211" priority="346" operator="containsText" text="Continue">
      <formula>NOT(ISERROR(SEARCH("Continue",E52)))</formula>
    </cfRule>
    <cfRule type="containsText" dxfId="1210" priority="350" operator="containsText" text="Exceeds">
      <formula>NOT(ISERROR(SEARCH("Exceeds",E52)))</formula>
    </cfRule>
  </conditionalFormatting>
  <conditionalFormatting sqref="E58">
    <cfRule type="containsText" dxfId="1209" priority="341" operator="containsText" text="Start">
      <formula>NOT(ISERROR(SEARCH("Start",E58)))</formula>
    </cfRule>
    <cfRule type="containsText" dxfId="1208" priority="342" operator="containsText" text="N/A">
      <formula>NOT(ISERROR(SEARCH("N/A",E58)))</formula>
    </cfRule>
    <cfRule type="containsText" dxfId="1207" priority="344" operator="containsText" text="Meets">
      <formula>NOT(ISERROR(SEARCH("Meets",E58)))</formula>
    </cfRule>
    <cfRule type="containsText" dxfId="1206" priority="343" operator="containsText" text="Exceeds">
      <formula>NOT(ISERROR(SEARCH("Exceeds",E58)))</formula>
    </cfRule>
    <cfRule type="containsText" dxfId="1205" priority="345" operator="containsText" text="Under">
      <formula>NOT(ISERROR(SEARCH("Under",E58)))</formula>
    </cfRule>
    <cfRule type="containsText" dxfId="1204" priority="339" operator="containsText" text="Continue">
      <formula>NOT(ISERROR(SEARCH("Continue",E58)))</formula>
    </cfRule>
    <cfRule type="containsText" dxfId="1203" priority="340" operator="containsText" text="Stop">
      <formula>NOT(ISERROR(SEARCH("Stop",E58)))</formula>
    </cfRule>
  </conditionalFormatting>
  <conditionalFormatting sqref="E64">
    <cfRule type="containsText" dxfId="1202" priority="242" operator="containsText" text="Stop">
      <formula>NOT(ISERROR(SEARCH("Stop",E64)))</formula>
    </cfRule>
    <cfRule type="containsText" dxfId="1201" priority="243" operator="containsText" text="Start">
      <formula>NOT(ISERROR(SEARCH("Start",E64)))</formula>
    </cfRule>
    <cfRule type="containsText" dxfId="1200" priority="245" operator="containsText" text="Exceeds">
      <formula>NOT(ISERROR(SEARCH("Exceeds",E64)))</formula>
    </cfRule>
    <cfRule type="containsText" dxfId="1199" priority="246" operator="containsText" text="Meets">
      <formula>NOT(ISERROR(SEARCH("Meets",E64)))</formula>
    </cfRule>
    <cfRule type="containsText" dxfId="1198" priority="247" operator="containsText" text="Under">
      <formula>NOT(ISERROR(SEARCH("Under",E64)))</formula>
    </cfRule>
    <cfRule type="containsText" dxfId="1197" priority="244" operator="containsText" text="N/A">
      <formula>NOT(ISERROR(SEARCH("N/A",E64)))</formula>
    </cfRule>
    <cfRule type="containsText" dxfId="1196" priority="241" operator="containsText" text="Continue">
      <formula>NOT(ISERROR(SEARCH("Continue",E64)))</formula>
    </cfRule>
  </conditionalFormatting>
  <conditionalFormatting sqref="E159 E164">
    <cfRule type="containsText" dxfId="1195" priority="431" operator="containsText" text="Exceeds">
      <formula>NOT(ISERROR(SEARCH("Exceeds",E159)))</formula>
    </cfRule>
    <cfRule type="containsText" dxfId="1194" priority="430" operator="containsText" text="N/A">
      <formula>NOT(ISERROR(SEARCH("N/A",E159)))</formula>
    </cfRule>
    <cfRule type="containsText" dxfId="1193" priority="429" operator="containsText" text="Start">
      <formula>NOT(ISERROR(SEARCH("Start",E159)))</formula>
    </cfRule>
    <cfRule type="containsText" dxfId="1192" priority="428" operator="containsText" text="Stop">
      <formula>NOT(ISERROR(SEARCH("Stop",E159)))</formula>
    </cfRule>
    <cfRule type="containsText" dxfId="1191" priority="427" operator="containsText" text="Continue">
      <formula>NOT(ISERROR(SEARCH("Continue",E159)))</formula>
    </cfRule>
    <cfRule type="containsText" dxfId="1190" priority="432" operator="containsText" text="Meets">
      <formula>NOT(ISERROR(SEARCH("Meets",E159)))</formula>
    </cfRule>
    <cfRule type="containsText" dxfId="1189" priority="433" operator="containsText" text="Under">
      <formula>NOT(ISERROR(SEARCH("Under",E159)))</formula>
    </cfRule>
  </conditionalFormatting>
  <conditionalFormatting sqref="E161 E166">
    <cfRule type="containsText" dxfId="1188" priority="426" operator="containsText" text="Under">
      <formula>NOT(ISERROR(SEARCH("Under",E161)))</formula>
    </cfRule>
    <cfRule type="containsText" dxfId="1187" priority="425" operator="containsText" text="Meets">
      <formula>NOT(ISERROR(SEARCH("Meets",E161)))</formula>
    </cfRule>
    <cfRule type="containsText" dxfId="1186" priority="424" operator="containsText" text="Exceeds">
      <formula>NOT(ISERROR(SEARCH("Exceeds",E161)))</formula>
    </cfRule>
    <cfRule type="containsText" dxfId="1185" priority="423" operator="containsText" text="N/A">
      <formula>NOT(ISERROR(SEARCH("N/A",E161)))</formula>
    </cfRule>
    <cfRule type="containsText" dxfId="1184" priority="422" operator="containsText" text="Start">
      <formula>NOT(ISERROR(SEARCH("Start",E161)))</formula>
    </cfRule>
    <cfRule type="containsText" dxfId="1183" priority="421" operator="containsText" text="Stop">
      <formula>NOT(ISERROR(SEARCH("Stop",E161)))</formula>
    </cfRule>
    <cfRule type="containsText" dxfId="1182" priority="420" operator="containsText" text="Continue">
      <formula>NOT(ISERROR(SEARCH("Continue",E161)))</formula>
    </cfRule>
  </conditionalFormatting>
  <conditionalFormatting sqref="E169">
    <cfRule type="containsText" dxfId="1181" priority="443" operator="containsText" text="Start">
      <formula>NOT(ISERROR(SEARCH("Start",E169)))</formula>
    </cfRule>
    <cfRule type="containsText" dxfId="1180" priority="442" operator="containsText" text="Stop">
      <formula>NOT(ISERROR(SEARCH("Stop",E169)))</formula>
    </cfRule>
    <cfRule type="containsText" dxfId="1179" priority="441" operator="containsText" text="Continue">
      <formula>NOT(ISERROR(SEARCH("Continue",E169)))</formula>
    </cfRule>
    <cfRule type="containsText" dxfId="1178" priority="447" operator="containsText" text="Under">
      <formula>NOT(ISERROR(SEARCH("Under",E169)))</formula>
    </cfRule>
    <cfRule type="containsText" dxfId="1177" priority="446" operator="containsText" text="Meets">
      <formula>NOT(ISERROR(SEARCH("Meets",E169)))</formula>
    </cfRule>
    <cfRule type="containsText" dxfId="1176" priority="445" operator="containsText" text="Exceeds">
      <formula>NOT(ISERROR(SEARCH("Exceeds",E169)))</formula>
    </cfRule>
    <cfRule type="containsText" dxfId="1175" priority="444" operator="containsText" text="N/A">
      <formula>NOT(ISERROR(SEARCH("N/A",E169)))</formula>
    </cfRule>
  </conditionalFormatting>
  <conditionalFormatting sqref="E171">
    <cfRule type="containsText" dxfId="1174" priority="398" operator="containsText" text="N/A">
      <formula>NOT(ISERROR(SEARCH("N/A",E171)))</formula>
    </cfRule>
    <cfRule type="containsText" dxfId="1173" priority="399" operator="containsText" text="Exceeds">
      <formula>NOT(ISERROR(SEARCH("Exceeds",E171)))</formula>
    </cfRule>
    <cfRule type="containsText" dxfId="1172" priority="400" operator="containsText" text="Meets">
      <formula>NOT(ISERROR(SEARCH("Meets",E171)))</formula>
    </cfRule>
    <cfRule type="containsText" dxfId="1171" priority="401" operator="containsText" text="Under">
      <formula>NOT(ISERROR(SEARCH("Under",E171)))</formula>
    </cfRule>
    <cfRule type="containsText" dxfId="1170" priority="395" operator="containsText" text="Continue">
      <formula>NOT(ISERROR(SEARCH("Continue",E171)))</formula>
    </cfRule>
    <cfRule type="containsText" dxfId="1169" priority="396" operator="containsText" text="Stop">
      <formula>NOT(ISERROR(SEARCH("Stop",E171)))</formula>
    </cfRule>
    <cfRule type="containsText" dxfId="1168" priority="397" operator="containsText" text="Start">
      <formula>NOT(ISERROR(SEARCH("Start",E171)))</formula>
    </cfRule>
  </conditionalFormatting>
  <conditionalFormatting sqref="E12:L13">
    <cfRule type="containsText" dxfId="1167" priority="333" operator="containsText" text="Continue">
      <formula>NOT(ISERROR(SEARCH("Continue",E12)))</formula>
    </cfRule>
    <cfRule type="containsText" dxfId="1166" priority="334" operator="containsText" text="Stop">
      <formula>NOT(ISERROR(SEARCH("Stop",E12)))</formula>
    </cfRule>
    <cfRule type="containsText" dxfId="1165"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{BF97046E-AED3-41C2-BDF1-5FAD0C5FA2D4}</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{99DEE26F-8268-4710-9387-3CF31AA0407C}</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{98531594-F31D-4657-9C6C-A756548B4D72}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{6F733C87-135E-4ACC-90F9-4FFAAE85A242}</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{F548FAC2-DE13-431A-AECD-66F6393698A7}</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{1C6E1966-7FD3-493F-8F1A-BD4A220BC2ED}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{A519199E-A33D-4ADA-B02D-623A89CA6DDB}</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{646167D2-9372-4C34-AF61-DBFDC84FE82D}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{AD4DC35D-7494-4085-8B67-E912C2A3977D}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{59DAD0B7-6DC1-4BFC-AB02-2C8FCE7A874D}</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{67AF3427-1D29-4AF0-B979-031183A5BA58}</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{0ECC2E1D-6E57-4989-B076-A4FF56C11695}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{B33ECC5F-69C8-4A5A-B286-843B6F41046B}</x14:id>
        </ext>
      </extLst>
    </cfRule>
  </conditionalFormatting>
  <conditionalFormatting sqref="F157">
    <cfRule type="containsText" dxfId="1164" priority="404" operator="containsText" text="Stop">
      <formula>NOT(ISERROR(SEARCH("Stop",F157)))</formula>
    </cfRule>
    <cfRule type="containsText" dxfId="1163"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{15750599-3B9E-4DFE-8BCE-99BEDBFC141A}</x14:id>
        </ext>
      </extLst>
    </cfRule>
    <cfRule type="containsText" dxfId="1162" priority="409" operator="containsText" text="Under">
      <formula>NOT(ISERROR(SEARCH("Under",F157)))</formula>
    </cfRule>
    <cfRule type="containsText" dxfId="1161" priority="408" operator="containsText" text="Meets">
      <formula>NOT(ISERROR(SEARCH("Meets",F157)))</formula>
    </cfRule>
    <cfRule type="containsText" dxfId="1160" priority="407" operator="containsText" text="Exceeds">
      <formula>NOT(ISERROR(SEARCH("Exceeds",F157)))</formula>
    </cfRule>
    <cfRule type="containsText" dxfId="1159"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{4FA5139F-0641-4153-B96F-6617A850B201}</x14:id>
        </ext>
      </extLst>
    </cfRule>
    <cfRule type="containsText" dxfId="1158" priority="405" operator="containsText" text="Start">
      <formula>NOT(ISERROR(SEARCH("Start",F157)))</formula>
    </cfRule>
  </conditionalFormatting>
  <conditionalFormatting sqref="F162">
    <cfRule type="containsText" dxfId="1157" priority="320" operator="containsText" text="Exceeds">
      <formula>NOT(ISERROR(SEARCH("Exceeds",F162)))</formula>
    </cfRule>
    <cfRule type="containsText" dxfId="1156" priority="321" operator="containsText" text="Meets">
      <formula>NOT(ISERROR(SEARCH("Meets",F162)))</formula>
    </cfRule>
    <cfRule type="containsText" dxfId="1155"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{E590EA84-1227-4475-8D07-844C9C2269E9}</x14:id>
        </ext>
      </extLst>
    </cfRule>
    <cfRule type="containsText" dxfId="1154" priority="318" operator="containsText" text="Start">
      <formula>NOT(ISERROR(SEARCH("Start",F162)))</formula>
    </cfRule>
    <cfRule type="containsText" dxfId="1153"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{14E5F36A-4EB2-4C08-A37B-C0DFDCFC98E8}</x14:id>
        </ext>
      </extLst>
    </cfRule>
    <cfRule type="containsText" dxfId="1152" priority="319" operator="containsText" text="N/A">
      <formula>NOT(ISERROR(SEARCH("N/A",F162)))</formula>
    </cfRule>
    <cfRule type="containsText" dxfId="1151"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{2B6AB639-69A7-4EB5-8B41-C7C9BEDA5571}</x14:id>
        </ext>
      </extLst>
    </cfRule>
    <cfRule type="containsText" dxfId="1150" priority="299" operator="containsText" text="Under">
      <formula>NOT(ISERROR(SEARCH("Under",F167)))</formula>
    </cfRule>
    <cfRule type="containsText" dxfId="1149" priority="298" operator="containsText" text="Meets">
      <formula>NOT(ISERROR(SEARCH("Meets",F167)))</formula>
    </cfRule>
    <cfRule type="containsText" dxfId="1148"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{8F94B3EB-A372-440F-A61E-9442AD858CA4}</x14:id>
        </ext>
      </extLst>
    </cfRule>
    <cfRule type="containsText" dxfId="1147" priority="293" operator="containsText" text="Continue">
      <formula>NOT(ISERROR(SEARCH("Continue",F167)))</formula>
    </cfRule>
    <cfRule type="containsText" dxfId="1146" priority="295" operator="containsText" text="Start">
      <formula>NOT(ISERROR(SEARCH("Start",F167)))</formula>
    </cfRule>
    <cfRule type="containsText" dxfId="1145" priority="297" operator="containsText" text="Exceeds">
      <formula>NOT(ISERROR(SEARCH("Exceeds",F167)))</formula>
    </cfRule>
    <cfRule type="containsText" dxfId="1144"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{9D0F7398-8ABB-4890-9F86-368CBF61CF52}</x14:id>
        </ext>
      </extLst>
    </cfRule>
    <cfRule type="containsText" dxfId="1143" priority="269" operator="containsText" text="Under">
      <formula>NOT(ISERROR(SEARCH("Under",F172)))</formula>
    </cfRule>
    <cfRule type="containsText" dxfId="1142" priority="268" operator="containsText" text="Meets">
      <formula>NOT(ISERROR(SEARCH("Meets",F172)))</formula>
    </cfRule>
    <cfRule type="containsText" dxfId="1141" priority="267" operator="containsText" text="Exceeds">
      <formula>NOT(ISERROR(SEARCH("Exceeds",F172)))</formula>
    </cfRule>
    <cfRule type="containsText" dxfId="1140"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{3D8FFB77-AC89-43A0-AD8F-E9EE20DB9B86}</x14:id>
        </ext>
      </extLst>
    </cfRule>
    <cfRule type="containsText" dxfId="1139" priority="265" operator="containsText" text="Start">
      <formula>NOT(ISERROR(SEARCH("Start",F172)))</formula>
    </cfRule>
    <cfRule type="containsText" dxfId="1138" priority="264" operator="containsText" text="Stop">
      <formula>NOT(ISERROR(SEARCH("Stop",F172)))</formula>
    </cfRule>
    <cfRule type="containsText" dxfId="1137"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{54ACFB19-2F00-4924-A7BC-340B66B01732}</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{AED057E6-B069-480B-BF81-5F39BEF9AA31}</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{A201909C-5EB2-4A0D-950B-37FB30545FDC}</x14:id>
        </ext>
      </extLst>
    </cfRule>
    <cfRule type="containsText" dxfId="1136" priority="412" operator="containsText" text="Continue">
      <formula>NOT(ISERROR(SEARCH("Continue",F155)))</formula>
    </cfRule>
    <cfRule type="containsText" dxfId="1135" priority="413" operator="containsText" text="Stop">
      <formula>NOT(ISERROR(SEARCH("Stop",F155)))</formula>
    </cfRule>
    <cfRule type="containsText" dxfId="1134" priority="414" operator="containsText" text="Start">
      <formula>NOT(ISERROR(SEARCH("Start",F155)))</formula>
    </cfRule>
    <cfRule type="containsText" dxfId="1133" priority="415" operator="containsText" text="N/A">
      <formula>NOT(ISERROR(SEARCH("N/A",F155)))</formula>
    </cfRule>
    <cfRule type="containsText" dxfId="1132" priority="416" operator="containsText" text="Exceeds">
      <formula>NOT(ISERROR(SEARCH("Exceeds",F155)))</formula>
    </cfRule>
    <cfRule type="containsText" dxfId="1131" priority="417" operator="containsText" text="Meets">
      <formula>NOT(ISERROR(SEARCH("Meets",F155)))</formula>
    </cfRule>
    <cfRule type="containsText" dxfId="1130"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{31B64D8A-D3E8-4A0B-B6F2-C09356C6FF4A}</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{3D5736DB-3C99-4405-BBCF-39245AE54775}</x14:id>
        </ext>
      </extLst>
    </cfRule>
    <cfRule type="containsText" dxfId="1129" priority="331" operator="containsText" text="Under">
      <formula>NOT(ISERROR(SEARCH("Under",F160)))</formula>
    </cfRule>
    <cfRule type="containsText" dxfId="1128" priority="330" operator="containsText" text="Meets">
      <formula>NOT(ISERROR(SEARCH("Meets",F160)))</formula>
    </cfRule>
    <cfRule type="containsText" dxfId="1127" priority="329" operator="containsText" text="Exceeds">
      <formula>NOT(ISERROR(SEARCH("Exceeds",F160)))</formula>
    </cfRule>
    <cfRule type="containsText" dxfId="1126" priority="328" operator="containsText" text="N/A">
      <formula>NOT(ISERROR(SEARCH("N/A",F160)))</formula>
    </cfRule>
    <cfRule type="containsText" dxfId="1125" priority="327" operator="containsText" text="Start">
      <formula>NOT(ISERROR(SEARCH("Start",F160)))</formula>
    </cfRule>
    <cfRule type="containsText" dxfId="1124" priority="326" operator="containsText" text="Stop">
      <formula>NOT(ISERROR(SEARCH("Stop",F160)))</formula>
    </cfRule>
    <cfRule type="containsText" dxfId="1123"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{CE0CD42C-E98E-4070-B5BE-2983B1926A65}</x14:id>
        </ext>
      </extLst>
    </cfRule>
  </conditionalFormatting>
  <conditionalFormatting sqref="F165:G165">
    <cfRule type="containsText" dxfId="1122" priority="238" operator="containsText" text="Meets">
      <formula>NOT(ISERROR(SEARCH("Meets",F165)))</formula>
    </cfRule>
    <cfRule type="containsText" dxfId="1121" priority="235" operator="containsText" text="Start">
      <formula>NOT(ISERROR(SEARCH("Start",F165)))</formula>
    </cfRule>
    <cfRule type="containsText" dxfId="1120"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{026088C4-1E88-4DDF-BE1D-DF16DDA7B655}</x14:id>
        </ext>
      </extLst>
    </cfRule>
    <cfRule type="containsText" dxfId="1119" priority="233" operator="containsText" text="Continue">
      <formula>NOT(ISERROR(SEARCH("Continue",F165)))</formula>
    </cfRule>
    <cfRule type="containsText" dxfId="1118" priority="236" operator="containsText" text="N/A">
      <formula>NOT(ISERROR(SEARCH("N/A",F165)))</formula>
    </cfRule>
    <cfRule type="containsText" dxfId="1117" priority="234" operator="containsText" text="Stop">
      <formula>NOT(ISERROR(SEARCH("Stop",F165)))</formula>
    </cfRule>
    <cfRule type="containsText" dxfId="1116"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{F8ECC989-5817-4644-A7C4-D4920F7C03A9}</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{57218EF6-EEAE-4D3A-A816-3E54560EF25D}</x14:id>
        </ext>
      </extLst>
    </cfRule>
    <cfRule type="containsText" dxfId="1115" priority="225" operator="containsText" text="Stop">
      <formula>NOT(ISERROR(SEARCH("Stop",F170)))</formula>
    </cfRule>
    <cfRule type="containsText" dxfId="1114" priority="224" operator="containsText" text="Continue">
      <formula>NOT(ISERROR(SEARCH("Continue",F170)))</formula>
    </cfRule>
    <cfRule type="containsText" dxfId="1113" priority="226" operator="containsText" text="Start">
      <formula>NOT(ISERROR(SEARCH("Start",F170)))</formula>
    </cfRule>
    <cfRule type="containsText" dxfId="1112" priority="227" operator="containsText" text="N/A">
      <formula>NOT(ISERROR(SEARCH("N/A",F170)))</formula>
    </cfRule>
    <cfRule type="containsText" dxfId="1111" priority="228" operator="containsText" text="Exceeds">
      <formula>NOT(ISERROR(SEARCH("Exceeds",F170)))</formula>
    </cfRule>
    <cfRule type="containsText" dxfId="1110"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{E8B1CFFC-175D-445E-80EB-9A3D8E30685D}</x14:id>
        </ext>
      </extLst>
    </cfRule>
    <cfRule type="containsText" dxfId="1109"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{DE5C554F-E926-4C33-93D5-6481735DE303}</x14:id>
        </ext>
      </extLst>
    </cfRule>
    <cfRule type="containsText" dxfId="1108" priority="218" operator="containsText" text="N/A">
      <formula>NOT(ISERROR(SEARCH("N/A",F178)))</formula>
    </cfRule>
    <cfRule type="containsText" dxfId="1107"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{E8A6AB32-E9E0-4631-B01D-2DA39D9C17EE}</x14:id>
        </ext>
      </extLst>
    </cfRule>
    <cfRule type="containsText" dxfId="1106" priority="215" operator="containsText" text="Continue">
      <formula>NOT(ISERROR(SEARCH("Continue",F178)))</formula>
    </cfRule>
    <cfRule type="containsText" dxfId="1105" priority="216" operator="containsText" text="Stop">
      <formula>NOT(ISERROR(SEARCH("Stop",F178)))</formula>
    </cfRule>
    <cfRule type="containsText" dxfId="1104" priority="217" operator="containsText" text="Start">
      <formula>NOT(ISERROR(SEARCH("Start",F178)))</formula>
    </cfRule>
    <cfRule type="containsText" dxfId="1103" priority="219" operator="containsText" text="Exceeds">
      <formula>NOT(ISERROR(SEARCH("Exceeds",F178)))</formula>
    </cfRule>
    <cfRule type="containsText" dxfId="1102" priority="220" operator="containsText" text="Meets">
      <formula>NOT(ISERROR(SEARCH("Meets",F178)))</formula>
    </cfRule>
  </conditionalFormatting>
  <conditionalFormatting sqref="G29">
    <cfRule type="containsText" dxfId="1101" priority="385" operator="containsText" text="Exceeds">
      <formula>NOT(ISERROR(SEARCH("Exceeds",G29)))</formula>
    </cfRule>
    <cfRule type="containsText" dxfId="1100" priority="387" operator="containsText" text="Under">
      <formula>NOT(ISERROR(SEARCH("Under",G29)))</formula>
    </cfRule>
    <cfRule type="containsText" dxfId="1099" priority="383" operator="containsText" text="Start">
      <formula>NOT(ISERROR(SEARCH("Start",G29)))</formula>
    </cfRule>
    <cfRule type="containsText" dxfId="1098" priority="382" operator="containsText" text="Stop">
      <formula>NOT(ISERROR(SEARCH("Stop",G29)))</formula>
    </cfRule>
    <cfRule type="containsText" dxfId="1097" priority="381" operator="containsText" text="Continue">
      <formula>NOT(ISERROR(SEARCH("Continue",G29)))</formula>
    </cfRule>
    <cfRule type="containsText" dxfId="1096" priority="386" operator="containsText" text="Meets">
      <formula>NOT(ISERROR(SEARCH("Meets",G29)))</formula>
    </cfRule>
    <cfRule type="containsText" dxfId="1095" priority="384" operator="containsText" text="N/A">
      <formula>NOT(ISERROR(SEARCH("N/A",G29)))</formula>
    </cfRule>
  </conditionalFormatting>
  <conditionalFormatting sqref="G31">
    <cfRule type="containsText" dxfId="1094" priority="34" operator="containsText" text="Meets">
      <formula>NOT(ISERROR(SEARCH("Meets",G31)))</formula>
    </cfRule>
    <cfRule type="containsText" dxfId="1093" priority="33" operator="containsText" text="Exceeds">
      <formula>NOT(ISERROR(SEARCH("Exceeds",G31)))</formula>
    </cfRule>
    <cfRule type="containsText" dxfId="1092" priority="31" operator="containsText" text="Start">
      <formula>NOT(ISERROR(SEARCH("Start",G31)))</formula>
    </cfRule>
    <cfRule type="containsText" dxfId="1091" priority="30" operator="containsText" text="Stop">
      <formula>NOT(ISERROR(SEARCH("Stop",G31)))</formula>
    </cfRule>
    <cfRule type="containsText" dxfId="1090" priority="29" operator="containsText" text="Continue">
      <formula>NOT(ISERROR(SEARCH("Continue",G31)))</formula>
    </cfRule>
    <cfRule type="containsText" dxfId="1089" priority="35" operator="containsText" text="Under">
      <formula>NOT(ISERROR(SEARCH("Under",G31)))</formula>
    </cfRule>
    <cfRule type="containsText" dxfId="1088" priority="32" operator="containsText" text="N/A">
      <formula>NOT(ISERROR(SEARCH("N/A",G31)))</formula>
    </cfRule>
  </conditionalFormatting>
  <conditionalFormatting sqref="G35">
    <cfRule type="containsText" dxfId="1087" priority="97" operator="containsText" text="Exceeds">
      <formula>NOT(ISERROR(SEARCH("Exceeds",G35)))</formula>
    </cfRule>
    <cfRule type="containsText" dxfId="1086" priority="98" operator="containsText" text="Meets">
      <formula>NOT(ISERROR(SEARCH("Meets",G35)))</formula>
    </cfRule>
    <cfRule type="containsText" dxfId="1085" priority="99" operator="containsText" text="Under">
      <formula>NOT(ISERROR(SEARCH("Under",G35)))</formula>
    </cfRule>
    <cfRule type="containsText" dxfId="1084" priority="94" operator="containsText" text="Stop">
      <formula>NOT(ISERROR(SEARCH("Stop",G35)))</formula>
    </cfRule>
    <cfRule type="containsText" dxfId="1083" priority="93" operator="containsText" text="Continue">
      <formula>NOT(ISERROR(SEARCH("Continue",G35)))</formula>
    </cfRule>
    <cfRule type="containsText" dxfId="1082" priority="96" operator="containsText" text="N/A">
      <formula>NOT(ISERROR(SEARCH("N/A",G35)))</formula>
    </cfRule>
    <cfRule type="containsText" dxfId="1081"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{8B7273A7-962F-4874-9B88-109598AE55FE}</x14:id>
        </ext>
      </extLst>
    </cfRule>
  </conditionalFormatting>
  <conditionalFormatting sqref="G37">
    <cfRule type="containsText" dxfId="1080" priority="25" operator="containsText" text="N/A">
      <formula>NOT(ISERROR(SEARCH("N/A",G37)))</formula>
    </cfRule>
    <cfRule type="containsText" dxfId="1079" priority="26" operator="containsText" text="Exceeds">
      <formula>NOT(ISERROR(SEARCH("Exceeds",G37)))</formula>
    </cfRule>
    <cfRule type="containsText" dxfId="1078" priority="27" operator="containsText" text="Meets">
      <formula>NOT(ISERROR(SEARCH("Meets",G37)))</formula>
    </cfRule>
    <cfRule type="containsText" dxfId="1077" priority="28" operator="containsText" text="Under">
      <formula>NOT(ISERROR(SEARCH("Under",G37)))</formula>
    </cfRule>
    <cfRule type="containsText" dxfId="1076" priority="22" operator="containsText" text="Continue">
      <formula>NOT(ISERROR(SEARCH("Continue",G37)))</formula>
    </cfRule>
    <cfRule type="containsText" dxfId="1075" priority="23" operator="containsText" text="Stop">
      <formula>NOT(ISERROR(SEARCH("Stop",G37)))</formula>
    </cfRule>
    <cfRule type="containsText" dxfId="1074" priority="24" operator="containsText" text="Start">
      <formula>NOT(ISERROR(SEARCH("Start",G37)))</formula>
    </cfRule>
  </conditionalFormatting>
  <conditionalFormatting sqref="G41">
    <cfRule type="containsText" dxfId="1073" priority="85" operator="containsText" text="Continue">
      <formula>NOT(ISERROR(SEARCH("Continue",G41)))</formula>
    </cfRule>
    <cfRule type="containsText" dxfId="1072" priority="86" operator="containsText" text="Stop">
      <formula>NOT(ISERROR(SEARCH("Stop",G41)))</formula>
    </cfRule>
    <cfRule type="containsText" dxfId="1071" priority="87" operator="containsText" text="Start">
      <formula>NOT(ISERROR(SEARCH("Start",G41)))</formula>
    </cfRule>
    <cfRule type="containsText" dxfId="1070" priority="88" operator="containsText" text="N/A">
      <formula>NOT(ISERROR(SEARCH("N/A",G41)))</formula>
    </cfRule>
    <cfRule type="containsText" dxfId="1069" priority="89" operator="containsText" text="Exceeds">
      <formula>NOT(ISERROR(SEARCH("Exceeds",G41)))</formula>
    </cfRule>
    <cfRule type="containsText" dxfId="1068" priority="90" operator="containsText" text="Meets">
      <formula>NOT(ISERROR(SEARCH("Meets",G41)))</formula>
    </cfRule>
    <cfRule type="containsText" dxfId="1067"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{53211D8E-FB0E-4560-8E49-20198FB30BA2}</x14:id>
        </ext>
      </extLst>
    </cfRule>
  </conditionalFormatting>
  <conditionalFormatting sqref="G43">
    <cfRule type="containsText" dxfId="1066" priority="17" operator="containsText" text="Start">
      <formula>NOT(ISERROR(SEARCH("Start",G43)))</formula>
    </cfRule>
    <cfRule type="containsText" dxfId="1065" priority="16" operator="containsText" text="Stop">
      <formula>NOT(ISERROR(SEARCH("Stop",G43)))</formula>
    </cfRule>
    <cfRule type="containsText" dxfId="1064" priority="20" operator="containsText" text="Meets">
      <formula>NOT(ISERROR(SEARCH("Meets",G43)))</formula>
    </cfRule>
    <cfRule type="containsText" dxfId="1063" priority="15" operator="containsText" text="Continue">
      <formula>NOT(ISERROR(SEARCH("Continue",G43)))</formula>
    </cfRule>
    <cfRule type="containsText" dxfId="1062" priority="19" operator="containsText" text="Exceeds">
      <formula>NOT(ISERROR(SEARCH("Exceeds",G43)))</formula>
    </cfRule>
    <cfRule type="containsText" dxfId="1061" priority="21" operator="containsText" text="Under">
      <formula>NOT(ISERROR(SEARCH("Under",G43)))</formula>
    </cfRule>
    <cfRule type="containsText" dxfId="1060" priority="18" operator="containsText" text="N/A">
      <formula>NOT(ISERROR(SEARCH("N/A",G43)))</formula>
    </cfRule>
  </conditionalFormatting>
  <conditionalFormatting sqref="G47">
    <cfRule type="containsText" dxfId="1059" priority="78" operator="containsText" text="Stop">
      <formula>NOT(ISERROR(SEARCH("Stop",G47)))</formula>
    </cfRule>
    <cfRule type="containsText" dxfId="1058" priority="77" operator="containsText" text="Continue">
      <formula>NOT(ISERROR(SEARCH("Continue",G47)))</formula>
    </cfRule>
    <cfRule type="containsText" dxfId="1057" priority="79" operator="containsText" text="Start">
      <formula>NOT(ISERROR(SEARCH("Start",G47)))</formula>
    </cfRule>
    <cfRule type="containsText" dxfId="1056" priority="80" operator="containsText" text="N/A">
      <formula>NOT(ISERROR(SEARCH("N/A",G47)))</formula>
    </cfRule>
    <cfRule type="containsText" dxfId="1055" priority="81" operator="containsText" text="Exceeds">
      <formula>NOT(ISERROR(SEARCH("Exceeds",G47)))</formula>
    </cfRule>
    <cfRule type="containsText" dxfId="1054" priority="82" operator="containsText" text="Meets">
      <formula>NOT(ISERROR(SEARCH("Meets",G47)))</formula>
    </cfRule>
    <cfRule type="containsText" dxfId="1053"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{62E6A13F-9032-427B-9C83-7CD245F7E113}</x14:id>
        </ext>
      </extLst>
    </cfRule>
  </conditionalFormatting>
  <conditionalFormatting sqref="G49">
    <cfRule type="containsText" dxfId="1052" priority="14" operator="containsText" text="Under">
      <formula>NOT(ISERROR(SEARCH("Under",G49)))</formula>
    </cfRule>
    <cfRule type="containsText" dxfId="1051" priority="13" operator="containsText" text="Meets">
      <formula>NOT(ISERROR(SEARCH("Meets",G49)))</formula>
    </cfRule>
    <cfRule type="containsText" dxfId="1050" priority="12" operator="containsText" text="Exceeds">
      <formula>NOT(ISERROR(SEARCH("Exceeds",G49)))</formula>
    </cfRule>
    <cfRule type="containsText" dxfId="1049" priority="11" operator="containsText" text="N/A">
      <formula>NOT(ISERROR(SEARCH("N/A",G49)))</formula>
    </cfRule>
    <cfRule type="containsText" dxfId="1048" priority="10" operator="containsText" text="Start">
      <formula>NOT(ISERROR(SEARCH("Start",G49)))</formula>
    </cfRule>
    <cfRule type="containsText" dxfId="1047" priority="9" operator="containsText" text="Stop">
      <formula>NOT(ISERROR(SEARCH("Stop",G49)))</formula>
    </cfRule>
    <cfRule type="containsText" dxfId="1046" priority="8" operator="containsText" text="Continue">
      <formula>NOT(ISERROR(SEARCH("Continue",G49)))</formula>
    </cfRule>
  </conditionalFormatting>
  <conditionalFormatting sqref="G53">
    <cfRule type="containsText" dxfId="1045" priority="73" operator="containsText" text="Exceeds">
      <formula>NOT(ISERROR(SEARCH("Exceeds",G53)))</formula>
    </cfRule>
    <cfRule type="containsText" dxfId="1044" priority="69" operator="containsText" text="Continue">
      <formula>NOT(ISERROR(SEARCH("Continue",G53)))</formula>
    </cfRule>
    <cfRule type="containsText" dxfId="1043" priority="74" operator="containsText" text="Meets">
      <formula>NOT(ISERROR(SEARCH("Meets",G53)))</formula>
    </cfRule>
    <cfRule type="containsText" dxfId="1042" priority="71" operator="containsText" text="Start">
      <formula>NOT(ISERROR(SEARCH("Start",G53)))</formula>
    </cfRule>
    <cfRule type="containsText" dxfId="1041" priority="72" operator="containsText" text="N/A">
      <formula>NOT(ISERROR(SEARCH("N/A",G53)))</formula>
    </cfRule>
    <cfRule type="containsText" dxfId="1040" priority="75" operator="containsText" text="Under">
      <formula>NOT(ISERROR(SEARCH("Under",G53)))</formula>
    </cfRule>
    <cfRule type="containsText" dxfId="1039"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{1A64046D-C4C4-4D8F-98C1-EE93A885E641}</x14:id>
        </ext>
      </extLst>
    </cfRule>
  </conditionalFormatting>
  <conditionalFormatting sqref="G55">
    <cfRule type="containsText" dxfId="1038" priority="7" operator="containsText" text="Under">
      <formula>NOT(ISERROR(SEARCH("Under",G55)))</formula>
    </cfRule>
    <cfRule type="containsText" dxfId="1037" priority="1" operator="containsText" text="Continue">
      <formula>NOT(ISERROR(SEARCH("Continue",G55)))</formula>
    </cfRule>
    <cfRule type="containsText" dxfId="1036" priority="2" operator="containsText" text="Stop">
      <formula>NOT(ISERROR(SEARCH("Stop",G55)))</formula>
    </cfRule>
    <cfRule type="containsText" dxfId="1035" priority="3" operator="containsText" text="Start">
      <formula>NOT(ISERROR(SEARCH("Start",G55)))</formula>
    </cfRule>
    <cfRule type="containsText" dxfId="1034" priority="4" operator="containsText" text="N/A">
      <formula>NOT(ISERROR(SEARCH("N/A",G55)))</formula>
    </cfRule>
    <cfRule type="containsText" dxfId="1033" priority="5" operator="containsText" text="Exceeds">
      <formula>NOT(ISERROR(SEARCH("Exceeds",G55)))</formula>
    </cfRule>
    <cfRule type="containsText" dxfId="1032" priority="6" operator="containsText" text="Meets">
      <formula>NOT(ISERROR(SEARCH("Meets",G55)))</formula>
    </cfRule>
  </conditionalFormatting>
  <conditionalFormatting sqref="G59">
    <cfRule type="containsText" dxfId="1031" priority="67" operator="containsText" text="Under">
      <formula>NOT(ISERROR(SEARCH("Under",G59)))</formula>
    </cfRule>
    <cfRule type="containsText" dxfId="1030" priority="66" operator="containsText" text="Meets">
      <formula>NOT(ISERROR(SEARCH("Meets",G59)))</formula>
    </cfRule>
    <cfRule type="containsText" dxfId="1029" priority="65" operator="containsText" text="Exceeds">
      <formula>NOT(ISERROR(SEARCH("Exceeds",G59)))</formula>
    </cfRule>
    <cfRule type="containsText" dxfId="1028" priority="61" operator="containsText" text="Continue">
      <formula>NOT(ISERROR(SEARCH("Continue",G59)))</formula>
    </cfRule>
    <cfRule type="containsText" dxfId="1027" priority="62" operator="containsText" text="Stop">
      <formula>NOT(ISERROR(SEARCH("Stop",G59)))</formula>
    </cfRule>
    <cfRule type="containsText" dxfId="1026" priority="63" operator="containsText" text="Start">
      <formula>NOT(ISERROR(SEARCH("Start",G59)))</formula>
    </cfRule>
    <cfRule type="containsText" dxfId="1025"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{E1502D6E-0C11-44FC-8334-20A75E50E942}</x14:id>
        </ext>
      </extLst>
    </cfRule>
  </conditionalFormatting>
  <conditionalFormatting sqref="G61">
    <cfRule type="containsText" dxfId="1024" priority="41" operator="containsText" text="Exceeds">
      <formula>NOT(ISERROR(SEARCH("Exceeds",G61)))</formula>
    </cfRule>
    <cfRule type="containsText" dxfId="1023" priority="42" operator="containsText" text="Meets">
      <formula>NOT(ISERROR(SEARCH("Meets",G61)))</formula>
    </cfRule>
    <cfRule type="containsText" dxfId="1022" priority="43" operator="containsText" text="Under">
      <formula>NOT(ISERROR(SEARCH("Under",G61)))</formula>
    </cfRule>
    <cfRule type="containsText" dxfId="1021" priority="40" operator="containsText" text="N/A">
      <formula>NOT(ISERROR(SEARCH("N/A",G61)))</formula>
    </cfRule>
    <cfRule type="containsText" dxfId="1020" priority="39" operator="containsText" text="Start">
      <formula>NOT(ISERROR(SEARCH("Start",G61)))</formula>
    </cfRule>
    <cfRule type="containsText" dxfId="1019" priority="38" operator="containsText" text="Stop">
      <formula>NOT(ISERROR(SEARCH("Stop",G61)))</formula>
    </cfRule>
    <cfRule type="containsText" dxfId="1018"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{34F02544-4B47-4777-BAA7-6226154B68E8}</x14:id>
        </ext>
      </extLst>
    </cfRule>
  </conditionalFormatting>
  <conditionalFormatting sqref="G65">
    <cfRule type="containsText" dxfId="1017" priority="59" operator="containsText" text="Under">
      <formula>NOT(ISERROR(SEARCH("Under",G65)))</formula>
    </cfRule>
    <cfRule type="containsText" dxfId="1016" priority="57" operator="containsText" text="Exceeds">
      <formula>NOT(ISERROR(SEARCH("Exceeds",G65)))</formula>
    </cfRule>
    <cfRule type="containsText" dxfId="1015" priority="56" operator="containsText" text="N/A">
      <formula>NOT(ISERROR(SEARCH("N/A",G65)))</formula>
    </cfRule>
    <cfRule type="containsText" dxfId="1014" priority="53" operator="containsText" text="Continue">
      <formula>NOT(ISERROR(SEARCH("Continue",G65)))</formula>
    </cfRule>
    <cfRule type="containsText" dxfId="1013" priority="54" operator="containsText" text="Stop">
      <formula>NOT(ISERROR(SEARCH("Stop",G65)))</formula>
    </cfRule>
    <cfRule type="containsText" dxfId="1012" priority="58" operator="containsText" text="Meets">
      <formula>NOT(ISERROR(SEARCH("Meets",G65)))</formula>
    </cfRule>
    <cfRule type="containsText" dxfId="1011"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{422E197B-8B16-4409-9218-0BDDEB4F0F07}</x14:id>
        </ext>
      </extLst>
    </cfRule>
  </conditionalFormatting>
  <conditionalFormatting sqref="G67">
    <cfRule type="containsText" dxfId="1010" priority="45" operator="containsText" text="Continue">
      <formula>NOT(ISERROR(SEARCH("Continue",G67)))</formula>
    </cfRule>
    <cfRule type="containsText" dxfId="1009" priority="47" operator="containsText" text="Start">
      <formula>NOT(ISERROR(SEARCH("Start",G67)))</formula>
    </cfRule>
    <cfRule type="containsText" dxfId="1008" priority="48" operator="containsText" text="N/A">
      <formula>NOT(ISERROR(SEARCH("N/A",G67)))</formula>
    </cfRule>
    <cfRule type="containsText" dxfId="1007" priority="49" operator="containsText" text="Exceeds">
      <formula>NOT(ISERROR(SEARCH("Exceeds",G67)))</formula>
    </cfRule>
    <cfRule type="containsText" dxfId="1006" priority="50" operator="containsText" text="Meets">
      <formula>NOT(ISERROR(SEARCH("Meets",G67)))</formula>
    </cfRule>
    <cfRule type="containsText" dxfId="1005" priority="46" operator="containsText" text="Stop">
      <formula>NOT(ISERROR(SEARCH("Stop",G67)))</formula>
    </cfRule>
    <cfRule type="containsText" dxfId="1004"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{1CE6870D-C249-4A15-B7E4-904243912214}</x14:id>
        </ext>
      </extLst>
    </cfRule>
  </conditionalFormatting>
  <conditionalFormatting sqref="G159 G161">
    <cfRule type="containsText" dxfId="1003" priority="308" operator="containsText" text="Continue">
      <formula>NOT(ISERROR(SEARCH("Continue",G159)))</formula>
    </cfRule>
    <cfRule type="containsText" dxfId="1002" priority="309" operator="containsText" text="Stop">
      <formula>NOT(ISERROR(SEARCH("Stop",G159)))</formula>
    </cfRule>
    <cfRule type="containsText" dxfId="1001" priority="310" operator="containsText" text="Start">
      <formula>NOT(ISERROR(SEARCH("Start",G159)))</formula>
    </cfRule>
    <cfRule type="containsText" dxfId="1000" priority="311" operator="containsText" text="N/A">
      <formula>NOT(ISERROR(SEARCH("N/A",G159)))</formula>
    </cfRule>
    <cfRule type="containsText" dxfId="999" priority="312" operator="containsText" text="Exceeds">
      <formula>NOT(ISERROR(SEARCH("Exceeds",G159)))</formula>
    </cfRule>
    <cfRule type="containsText" dxfId="998" priority="314" operator="containsText" text="Under">
      <formula>NOT(ISERROR(SEARCH("Under",G159)))</formula>
    </cfRule>
    <cfRule type="containsText" dxfId="997" priority="313" operator="containsText" text="Meets">
      <formula>NOT(ISERROR(SEARCH("Meets",G159)))</formula>
    </cfRule>
  </conditionalFormatting>
  <conditionalFormatting sqref="G164 G166">
    <cfRule type="containsText" dxfId="996" priority="291" operator="containsText" text="Under">
      <formula>NOT(ISERROR(SEARCH("Under",G164)))</formula>
    </cfRule>
    <cfRule type="containsText" dxfId="995" priority="285" operator="containsText" text="Continue">
      <formula>NOT(ISERROR(SEARCH("Continue",G164)))</formula>
    </cfRule>
    <cfRule type="containsText" dxfId="994" priority="286" operator="containsText" text="Stop">
      <formula>NOT(ISERROR(SEARCH("Stop",G164)))</formula>
    </cfRule>
    <cfRule type="containsText" dxfId="993" priority="288" operator="containsText" text="N/A">
      <formula>NOT(ISERROR(SEARCH("N/A",G164)))</formula>
    </cfRule>
    <cfRule type="containsText" dxfId="992" priority="289" operator="containsText" text="Exceeds">
      <formula>NOT(ISERROR(SEARCH("Exceeds",G164)))</formula>
    </cfRule>
    <cfRule type="containsText" dxfId="991" priority="290" operator="containsText" text="Meets">
      <formula>NOT(ISERROR(SEARCH("Meets",G164)))</formula>
    </cfRule>
    <cfRule type="containsText" dxfId="990" priority="287" operator="containsText" text="Start">
      <formula>NOT(ISERROR(SEARCH("Start",G164)))</formula>
    </cfRule>
  </conditionalFormatting>
  <conditionalFormatting sqref="G169 G171">
    <cfRule type="containsText" dxfId="989" priority="258" operator="containsText" text="N/A">
      <formula>NOT(ISERROR(SEARCH("N/A",G169)))</formula>
    </cfRule>
    <cfRule type="containsText" dxfId="988" priority="259" operator="containsText" text="Exceeds">
      <formula>NOT(ISERROR(SEARCH("Exceeds",G169)))</formula>
    </cfRule>
    <cfRule type="containsText" dxfId="987" priority="260" operator="containsText" text="Meets">
      <formula>NOT(ISERROR(SEARCH("Meets",G169)))</formula>
    </cfRule>
    <cfRule type="containsText" dxfId="986" priority="261" operator="containsText" text="Under">
      <formula>NOT(ISERROR(SEARCH("Under",G169)))</formula>
    </cfRule>
    <cfRule type="containsText" dxfId="985" priority="256" operator="containsText" text="Stop">
      <formula>NOT(ISERROR(SEARCH("Stop",G169)))</formula>
    </cfRule>
    <cfRule type="containsText" dxfId="984" priority="257" operator="containsText" text="Start">
      <formula>NOT(ISERROR(SEARCH("Start",G169)))</formula>
    </cfRule>
    <cfRule type="containsText" dxfId="983" priority="255" operator="containsText" text="Continue">
      <formula>NOT(ISERROR(SEARCH("Continue",G169)))</formula>
    </cfRule>
  </conditionalFormatting>
  <conditionalFormatting sqref="J29">
    <cfRule type="containsText" dxfId="982" priority="374" operator="containsText" text="Continue">
      <formula>NOT(ISERROR(SEARCH("Continue",J29)))</formula>
    </cfRule>
    <cfRule type="containsText" dxfId="981" priority="379" operator="containsText" text="Meets">
      <formula>NOT(ISERROR(SEARCH("Meets",J29)))</formula>
    </cfRule>
    <cfRule type="containsText" dxfId="980" priority="380" operator="containsText" text="Under">
      <formula>NOT(ISERROR(SEARCH("Under",J29)))</formula>
    </cfRule>
    <cfRule type="containsText" dxfId="979" priority="378" operator="containsText" text="Exceeds">
      <formula>NOT(ISERROR(SEARCH("Exceeds",J29)))</formula>
    </cfRule>
    <cfRule type="containsText" dxfId="978" priority="377" operator="containsText" text="N/A">
      <formula>NOT(ISERROR(SEARCH("N/A",J29)))</formula>
    </cfRule>
    <cfRule type="containsText" dxfId="977" priority="376" operator="containsText" text="Start">
      <formula>NOT(ISERROR(SEARCH("Start",J29)))</formula>
    </cfRule>
    <cfRule type="containsText" dxfId="976" priority="375" operator="containsText" text="Stop">
      <formula>NOT(ISERROR(SEARCH("Stop",J29)))</formula>
    </cfRule>
  </conditionalFormatting>
  <conditionalFormatting sqref="J31">
    <cfRule type="containsText" dxfId="975" priority="208" operator="containsText" text="Stop">
      <formula>NOT(ISERROR(SEARCH("Stop",J31)))</formula>
    </cfRule>
    <cfRule type="containsText" dxfId="974" priority="212" operator="containsText" text="Meets">
      <formula>NOT(ISERROR(SEARCH("Meets",J31)))</formula>
    </cfRule>
    <cfRule type="containsText" dxfId="973" priority="211" operator="containsText" text="Exceeds">
      <formula>NOT(ISERROR(SEARCH("Exceeds",J31)))</formula>
    </cfRule>
    <cfRule type="containsText" dxfId="972" priority="210" operator="containsText" text="N/A">
      <formula>NOT(ISERROR(SEARCH("N/A",J31)))</formula>
    </cfRule>
    <cfRule type="containsText" dxfId="971" priority="209" operator="containsText" text="Start">
      <formula>NOT(ISERROR(SEARCH("Start",J31)))</formula>
    </cfRule>
    <cfRule type="containsText" dxfId="970" priority="207" operator="containsText" text="Continue">
      <formula>NOT(ISERROR(SEARCH("Continue",J31)))</formula>
    </cfRule>
    <cfRule type="containsText" dxfId="969" priority="213" operator="containsText" text="Under">
      <formula>NOT(ISERROR(SEARCH("Under",J31)))</formula>
    </cfRule>
  </conditionalFormatting>
  <conditionalFormatting sqref="J35">
    <cfRule type="containsText" dxfId="968" priority="205" operator="containsText" text="Under">
      <formula>NOT(ISERROR(SEARCH("Under",J35)))</formula>
    </cfRule>
    <cfRule type="containsText" dxfId="967" priority="199" operator="containsText" text="Continue">
      <formula>NOT(ISERROR(SEARCH("Continue",J35)))</formula>
    </cfRule>
    <cfRule type="containsText" dxfId="966" priority="200" operator="containsText" text="Stop">
      <formula>NOT(ISERROR(SEARCH("Stop",J35)))</formula>
    </cfRule>
    <cfRule type="containsText" dxfId="965" priority="201" operator="containsText" text="Start">
      <formula>NOT(ISERROR(SEARCH("Start",J35)))</formula>
    </cfRule>
    <cfRule type="containsText" dxfId="964" priority="204" operator="containsText" text="Meets">
      <formula>NOT(ISERROR(SEARCH("Meets",J35)))</formula>
    </cfRule>
    <cfRule type="containsText" dxfId="963" priority="203" operator="containsText" text="Exceeds">
      <formula>NOT(ISERROR(SEARCH("Exceeds",J35)))</formula>
    </cfRule>
    <cfRule type="containsText" dxfId="962" priority="202" operator="containsText" text="N/A">
      <formula>NOT(ISERROR(SEARCH("N/A",J35)))</formula>
    </cfRule>
  </conditionalFormatting>
  <conditionalFormatting sqref="J37">
    <cfRule type="containsText" dxfId="961" priority="195" operator="containsText" text="N/A">
      <formula>NOT(ISERROR(SEARCH("N/A",J37)))</formula>
    </cfRule>
    <cfRule type="containsText" dxfId="960" priority="196" operator="containsText" text="Exceeds">
      <formula>NOT(ISERROR(SEARCH("Exceeds",J37)))</formula>
    </cfRule>
    <cfRule type="containsText" dxfId="959" priority="194" operator="containsText" text="Start">
      <formula>NOT(ISERROR(SEARCH("Start",J37)))</formula>
    </cfRule>
    <cfRule type="containsText" dxfId="958" priority="193" operator="containsText" text="Stop">
      <formula>NOT(ISERROR(SEARCH("Stop",J37)))</formula>
    </cfRule>
    <cfRule type="containsText" dxfId="957" priority="192" operator="containsText" text="Continue">
      <formula>NOT(ISERROR(SEARCH("Continue",J37)))</formula>
    </cfRule>
    <cfRule type="containsText" dxfId="956" priority="197" operator="containsText" text="Meets">
      <formula>NOT(ISERROR(SEARCH("Meets",J37)))</formula>
    </cfRule>
    <cfRule type="containsText" dxfId="955" priority="198" operator="containsText" text="Under">
      <formula>NOT(ISERROR(SEARCH("Under",J37)))</formula>
    </cfRule>
  </conditionalFormatting>
  <conditionalFormatting sqref="J41">
    <cfRule type="containsText" dxfId="954" priority="189" operator="containsText" text="Meets">
      <formula>NOT(ISERROR(SEARCH("Meets",J41)))</formula>
    </cfRule>
    <cfRule type="containsText" dxfId="953" priority="186" operator="containsText" text="Start">
      <formula>NOT(ISERROR(SEARCH("Start",J41)))</formula>
    </cfRule>
    <cfRule type="containsText" dxfId="952" priority="187" operator="containsText" text="N/A">
      <formula>NOT(ISERROR(SEARCH("N/A",J41)))</formula>
    </cfRule>
    <cfRule type="containsText" dxfId="951" priority="188" operator="containsText" text="Exceeds">
      <formula>NOT(ISERROR(SEARCH("Exceeds",J41)))</formula>
    </cfRule>
    <cfRule type="containsText" dxfId="950" priority="190" operator="containsText" text="Under">
      <formula>NOT(ISERROR(SEARCH("Under",J41)))</formula>
    </cfRule>
    <cfRule type="containsText" dxfId="949" priority="184" operator="containsText" text="Continue">
      <formula>NOT(ISERROR(SEARCH("Continue",J41)))</formula>
    </cfRule>
    <cfRule type="containsText" dxfId="948" priority="185" operator="containsText" text="Stop">
      <formula>NOT(ISERROR(SEARCH("Stop",J41)))</formula>
    </cfRule>
  </conditionalFormatting>
  <conditionalFormatting sqref="J43">
    <cfRule type="containsText" dxfId="947" priority="179" operator="containsText" text="Start">
      <formula>NOT(ISERROR(SEARCH("Start",J43)))</formula>
    </cfRule>
    <cfRule type="containsText" dxfId="946" priority="182" operator="containsText" text="Meets">
      <formula>NOT(ISERROR(SEARCH("Meets",J43)))</formula>
    </cfRule>
    <cfRule type="containsText" dxfId="945" priority="177" operator="containsText" text="Continue">
      <formula>NOT(ISERROR(SEARCH("Continue",J43)))</formula>
    </cfRule>
    <cfRule type="containsText" dxfId="944" priority="180" operator="containsText" text="N/A">
      <formula>NOT(ISERROR(SEARCH("N/A",J43)))</formula>
    </cfRule>
    <cfRule type="containsText" dxfId="943" priority="183" operator="containsText" text="Under">
      <formula>NOT(ISERROR(SEARCH("Under",J43)))</formula>
    </cfRule>
    <cfRule type="containsText" dxfId="942" priority="181" operator="containsText" text="Exceeds">
      <formula>NOT(ISERROR(SEARCH("Exceeds",J43)))</formula>
    </cfRule>
    <cfRule type="containsText" dxfId="941" priority="178" operator="containsText" text="Stop">
      <formula>NOT(ISERROR(SEARCH("Stop",J43)))</formula>
    </cfRule>
  </conditionalFormatting>
  <conditionalFormatting sqref="J47">
    <cfRule type="containsText" dxfId="940" priority="173" operator="containsText" text="Exceeds">
      <formula>NOT(ISERROR(SEARCH("Exceeds",J47)))</formula>
    </cfRule>
    <cfRule type="containsText" dxfId="939" priority="169" operator="containsText" text="Continue">
      <formula>NOT(ISERROR(SEARCH("Continue",J47)))</formula>
    </cfRule>
    <cfRule type="containsText" dxfId="938" priority="170" operator="containsText" text="Stop">
      <formula>NOT(ISERROR(SEARCH("Stop",J47)))</formula>
    </cfRule>
    <cfRule type="containsText" dxfId="937" priority="172" operator="containsText" text="N/A">
      <formula>NOT(ISERROR(SEARCH("N/A",J47)))</formula>
    </cfRule>
    <cfRule type="containsText" dxfId="936" priority="174" operator="containsText" text="Meets">
      <formula>NOT(ISERROR(SEARCH("Meets",J47)))</formula>
    </cfRule>
    <cfRule type="containsText" dxfId="935" priority="175" operator="containsText" text="Under">
      <formula>NOT(ISERROR(SEARCH("Under",J47)))</formula>
    </cfRule>
    <cfRule type="containsText" dxfId="934" priority="171" operator="containsText" text="Start">
      <formula>NOT(ISERROR(SEARCH("Start",J47)))</formula>
    </cfRule>
  </conditionalFormatting>
  <conditionalFormatting sqref="J49">
    <cfRule type="containsText" dxfId="933" priority="168" operator="containsText" text="Under">
      <formula>NOT(ISERROR(SEARCH("Under",J49)))</formula>
    </cfRule>
    <cfRule type="containsText" dxfId="932" priority="163" operator="containsText" text="Stop">
      <formula>NOT(ISERROR(SEARCH("Stop",J49)))</formula>
    </cfRule>
    <cfRule type="containsText" dxfId="931" priority="167" operator="containsText" text="Meets">
      <formula>NOT(ISERROR(SEARCH("Meets",J49)))</formula>
    </cfRule>
    <cfRule type="containsText" dxfId="930" priority="164" operator="containsText" text="Start">
      <formula>NOT(ISERROR(SEARCH("Start",J49)))</formula>
    </cfRule>
    <cfRule type="containsText" dxfId="929" priority="162" operator="containsText" text="Continue">
      <formula>NOT(ISERROR(SEARCH("Continue",J49)))</formula>
    </cfRule>
    <cfRule type="containsText" dxfId="928" priority="165" operator="containsText" text="N/A">
      <formula>NOT(ISERROR(SEARCH("N/A",J49)))</formula>
    </cfRule>
    <cfRule type="containsText" dxfId="927" priority="166" operator="containsText" text="Exceeds">
      <formula>NOT(ISERROR(SEARCH("Exceeds",J49)))</formula>
    </cfRule>
  </conditionalFormatting>
  <conditionalFormatting sqref="J53">
    <cfRule type="containsText" dxfId="926" priority="154" operator="containsText" text="Continue">
      <formula>NOT(ISERROR(SEARCH("Continue",J53)))</formula>
    </cfRule>
    <cfRule type="containsText" dxfId="925" priority="155" operator="containsText" text="Stop">
      <formula>NOT(ISERROR(SEARCH("Stop",J53)))</formula>
    </cfRule>
    <cfRule type="containsText" dxfId="924" priority="156" operator="containsText" text="Start">
      <formula>NOT(ISERROR(SEARCH("Start",J53)))</formula>
    </cfRule>
    <cfRule type="containsText" dxfId="923" priority="157" operator="containsText" text="N/A">
      <formula>NOT(ISERROR(SEARCH("N/A",J53)))</formula>
    </cfRule>
    <cfRule type="containsText" dxfId="922" priority="158" operator="containsText" text="Exceeds">
      <formula>NOT(ISERROR(SEARCH("Exceeds",J53)))</formula>
    </cfRule>
    <cfRule type="containsText" dxfId="921" priority="159" operator="containsText" text="Meets">
      <formula>NOT(ISERROR(SEARCH("Meets",J53)))</formula>
    </cfRule>
    <cfRule type="containsText" dxfId="920" priority="160" operator="containsText" text="Under">
      <formula>NOT(ISERROR(SEARCH("Under",J53)))</formula>
    </cfRule>
  </conditionalFormatting>
  <conditionalFormatting sqref="J55">
    <cfRule type="containsText" dxfId="919" priority="147" operator="containsText" text="Continue">
      <formula>NOT(ISERROR(SEARCH("Continue",J55)))</formula>
    </cfRule>
    <cfRule type="containsText" dxfId="918" priority="151" operator="containsText" text="Exceeds">
      <formula>NOT(ISERROR(SEARCH("Exceeds",J55)))</formula>
    </cfRule>
    <cfRule type="containsText" dxfId="917" priority="152" operator="containsText" text="Meets">
      <formula>NOT(ISERROR(SEARCH("Meets",J55)))</formula>
    </cfRule>
    <cfRule type="containsText" dxfId="916" priority="153" operator="containsText" text="Under">
      <formula>NOT(ISERROR(SEARCH("Under",J55)))</formula>
    </cfRule>
    <cfRule type="containsText" dxfId="915" priority="148" operator="containsText" text="Stop">
      <formula>NOT(ISERROR(SEARCH("Stop",J55)))</formula>
    </cfRule>
    <cfRule type="containsText" dxfId="914" priority="149" operator="containsText" text="Start">
      <formula>NOT(ISERROR(SEARCH("Start",J55)))</formula>
    </cfRule>
    <cfRule type="containsText" dxfId="913" priority="150" operator="containsText" text="N/A">
      <formula>NOT(ISERROR(SEARCH("N/A",J55)))</formula>
    </cfRule>
  </conditionalFormatting>
  <conditionalFormatting sqref="J59">
    <cfRule type="containsText" dxfId="912" priority="139" operator="containsText" text="Continue">
      <formula>NOT(ISERROR(SEARCH("Continue",J59)))</formula>
    </cfRule>
    <cfRule type="containsText" dxfId="911" priority="140" operator="containsText" text="Stop">
      <formula>NOT(ISERROR(SEARCH("Stop",J59)))</formula>
    </cfRule>
    <cfRule type="containsText" dxfId="910" priority="141" operator="containsText" text="Start">
      <formula>NOT(ISERROR(SEARCH("Start",J59)))</formula>
    </cfRule>
    <cfRule type="containsText" dxfId="909" priority="142" operator="containsText" text="N/A">
      <formula>NOT(ISERROR(SEARCH("N/A",J59)))</formula>
    </cfRule>
    <cfRule type="containsText" dxfId="908" priority="143" operator="containsText" text="Exceeds">
      <formula>NOT(ISERROR(SEARCH("Exceeds",J59)))</formula>
    </cfRule>
    <cfRule type="containsText" dxfId="907" priority="144" operator="containsText" text="Meets">
      <formula>NOT(ISERROR(SEARCH("Meets",J59)))</formula>
    </cfRule>
    <cfRule type="containsText" dxfId="906" priority="145" operator="containsText" text="Under">
      <formula>NOT(ISERROR(SEARCH("Under",J59)))</formula>
    </cfRule>
  </conditionalFormatting>
  <conditionalFormatting sqref="J61">
    <cfRule type="containsText" dxfId="905" priority="134" operator="containsText" text="Start">
      <formula>NOT(ISERROR(SEARCH("Start",J61)))</formula>
    </cfRule>
    <cfRule type="containsText" dxfId="904" priority="133" operator="containsText" text="Stop">
      <formula>NOT(ISERROR(SEARCH("Stop",J61)))</formula>
    </cfRule>
    <cfRule type="containsText" dxfId="903" priority="135" operator="containsText" text="N/A">
      <formula>NOT(ISERROR(SEARCH("N/A",J61)))</formula>
    </cfRule>
    <cfRule type="containsText" dxfId="902" priority="132" operator="containsText" text="Continue">
      <formula>NOT(ISERROR(SEARCH("Continue",J61)))</formula>
    </cfRule>
    <cfRule type="containsText" dxfId="901" priority="136" operator="containsText" text="Exceeds">
      <formula>NOT(ISERROR(SEARCH("Exceeds",J61)))</formula>
    </cfRule>
    <cfRule type="containsText" dxfId="900" priority="137" operator="containsText" text="Meets">
      <formula>NOT(ISERROR(SEARCH("Meets",J61)))</formula>
    </cfRule>
    <cfRule type="containsText" dxfId="899" priority="138" operator="containsText" text="Under">
      <formula>NOT(ISERROR(SEARCH("Under",J61)))</formula>
    </cfRule>
  </conditionalFormatting>
  <conditionalFormatting sqref="J65">
    <cfRule type="containsText" dxfId="898" priority="127" operator="containsText" text="N/A">
      <formula>NOT(ISERROR(SEARCH("N/A",J65)))</formula>
    </cfRule>
    <cfRule type="containsText" dxfId="897" priority="126" operator="containsText" text="Start">
      <formula>NOT(ISERROR(SEARCH("Start",J65)))</formula>
    </cfRule>
    <cfRule type="containsText" dxfId="896" priority="125" operator="containsText" text="Stop">
      <formula>NOT(ISERROR(SEARCH("Stop",J65)))</formula>
    </cfRule>
    <cfRule type="containsText" dxfId="895" priority="124" operator="containsText" text="Continue">
      <formula>NOT(ISERROR(SEARCH("Continue",J65)))</formula>
    </cfRule>
    <cfRule type="containsText" dxfId="894" priority="130" operator="containsText" text="Under">
      <formula>NOT(ISERROR(SEARCH("Under",J65)))</formula>
    </cfRule>
    <cfRule type="containsText" dxfId="893" priority="129" operator="containsText" text="Meets">
      <formula>NOT(ISERROR(SEARCH("Meets",J65)))</formula>
    </cfRule>
    <cfRule type="containsText" dxfId="892" priority="128" operator="containsText" text="Exceeds">
      <formula>NOT(ISERROR(SEARCH("Exceeds",J65)))</formula>
    </cfRule>
  </conditionalFormatting>
  <conditionalFormatting sqref="J67">
    <cfRule type="containsText" dxfId="891" priority="121" operator="containsText" text="Exceeds">
      <formula>NOT(ISERROR(SEARCH("Exceeds",J67)))</formula>
    </cfRule>
    <cfRule type="containsText" dxfId="890" priority="120" operator="containsText" text="N/A">
      <formula>NOT(ISERROR(SEARCH("N/A",J67)))</formula>
    </cfRule>
    <cfRule type="containsText" dxfId="889" priority="119" operator="containsText" text="Start">
      <formula>NOT(ISERROR(SEARCH("Start",J67)))</formula>
    </cfRule>
    <cfRule type="containsText" dxfId="888" priority="118" operator="containsText" text="Stop">
      <formula>NOT(ISERROR(SEARCH("Stop",J67)))</formula>
    </cfRule>
    <cfRule type="containsText" dxfId="887" priority="117" operator="containsText" text="Continue">
      <formula>NOT(ISERROR(SEARCH("Continue",J67)))</formula>
    </cfRule>
    <cfRule type="containsText" dxfId="886" priority="123" operator="containsText" text="Under">
      <formula>NOT(ISERROR(SEARCH("Under",J67)))</formula>
    </cfRule>
    <cfRule type="containsText" dxfId="885" priority="122" operator="containsText" text="Meets">
      <formula>NOT(ISERROR(SEARCH("Meets",J67)))</formula>
    </cfRule>
  </conditionalFormatting>
  <conditionalFormatting sqref="J154:J156">
    <cfRule type="containsText" dxfId="884" priority="106" operator="containsText" text="Under">
      <formula>NOT(ISERROR(SEARCH("Under",J154)))</formula>
    </cfRule>
    <cfRule type="containsText" dxfId="883" priority="105" operator="containsText" text="Meets">
      <formula>NOT(ISERROR(SEARCH("Meets",J154)))</formula>
    </cfRule>
    <cfRule type="containsText" dxfId="882" priority="104" operator="containsText" text="Exceeds">
      <formula>NOT(ISERROR(SEARCH("Exceeds",J154)))</formula>
    </cfRule>
    <cfRule type="containsText" dxfId="881" priority="103" operator="containsText" text="N/A">
      <formula>NOT(ISERROR(SEARCH("N/A",J154)))</formula>
    </cfRule>
    <cfRule type="containsText" dxfId="880" priority="102" operator="containsText" text="Start">
      <formula>NOT(ISERROR(SEARCH("Start",J154)))</formula>
    </cfRule>
    <cfRule type="containsText" dxfId="879" priority="101" operator="containsText" text="Stop">
      <formula>NOT(ISERROR(SEARCH("Stop",J154)))</formula>
    </cfRule>
    <cfRule type="containsText" dxfId="878"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{362F67BE-3EC9-4AB5-BD1B-7E826C1478F3}</x14:id>
        </ext>
      </extLst>
    </cfRule>
    <cfRule type="dataBar" priority="107">
      <dataBar>
        <cfvo type="num" val="0"/>
        <cfvo type="num" val="1"/>
        <color theme="0" tint="-0.249977111117893"/>
      </dataBar>
      <extLst>
        <ext xmlns:x14="http://schemas.microsoft.com/office/spreadsheetml/2009/9/main" uri="{B025F937-C7B1-47D3-B67F-A62EFF666E3E}">
          <x14:id>{4A7F10C4-E3E5-48C6-B358-FB482CFCA57F}</x14:id>
        </ext>
      </extLst>
    </cfRule>
  </conditionalFormatting>
  <conditionalFormatting sqref="J159 J164">
    <cfRule type="containsText" dxfId="877" priority="435" operator="containsText" text="Stop">
      <formula>NOT(ISERROR(SEARCH("Stop",J159)))</formula>
    </cfRule>
    <cfRule type="containsText" dxfId="876" priority="437" operator="containsText" text="N/A">
      <formula>NOT(ISERROR(SEARCH("N/A",J159)))</formula>
    </cfRule>
    <cfRule type="containsText" dxfId="875" priority="436" operator="containsText" text="Start">
      <formula>NOT(ISERROR(SEARCH("Start",J159)))</formula>
    </cfRule>
    <cfRule type="containsText" dxfId="874" priority="438" operator="containsText" text="Exceeds">
      <formula>NOT(ISERROR(SEARCH("Exceeds",J159)))</formula>
    </cfRule>
    <cfRule type="containsText" dxfId="873" priority="439" operator="containsText" text="Meets">
      <formula>NOT(ISERROR(SEARCH("Meets",J159)))</formula>
    </cfRule>
    <cfRule type="containsText" dxfId="872" priority="440" operator="containsText" text="Under">
      <formula>NOT(ISERROR(SEARCH("Under",J159)))</formula>
    </cfRule>
    <cfRule type="containsText" dxfId="871" priority="434" operator="containsText" text="Continue">
      <formula>NOT(ISERROR(SEARCH("Continue",J159)))</formula>
    </cfRule>
  </conditionalFormatting>
  <conditionalFormatting sqref="J161">
    <cfRule type="containsText" dxfId="870" priority="306" operator="containsText" text="Meets">
      <formula>NOT(ISERROR(SEARCH("Meets",J161)))</formula>
    </cfRule>
    <cfRule type="containsText" dxfId="869" priority="305" operator="containsText" text="Exceeds">
      <formula>NOT(ISERROR(SEARCH("Exceeds",J161)))</formula>
    </cfRule>
    <cfRule type="containsText" dxfId="868" priority="304" operator="containsText" text="N/A">
      <formula>NOT(ISERROR(SEARCH("N/A",J161)))</formula>
    </cfRule>
    <cfRule type="containsText" dxfId="867" priority="303" operator="containsText" text="Start">
      <formula>NOT(ISERROR(SEARCH("Start",J161)))</formula>
    </cfRule>
    <cfRule type="containsText" dxfId="866" priority="302" operator="containsText" text="Stop">
      <formula>NOT(ISERROR(SEARCH("Stop",J161)))</formula>
    </cfRule>
    <cfRule type="containsText" dxfId="865" priority="301" operator="containsText" text="Continue">
      <formula>NOT(ISERROR(SEARCH("Continue",J161)))</formula>
    </cfRule>
    <cfRule type="containsText" dxfId="864" priority="307" operator="containsText" text="Under">
      <formula>NOT(ISERROR(SEARCH("Under",J161)))</formula>
    </cfRule>
  </conditionalFormatting>
  <conditionalFormatting sqref="J166">
    <cfRule type="containsText" dxfId="863" priority="282" operator="containsText" text="Exceeds">
      <formula>NOT(ISERROR(SEARCH("Exceeds",J166)))</formula>
    </cfRule>
    <cfRule type="containsText" dxfId="862" priority="284" operator="containsText" text="Under">
      <formula>NOT(ISERROR(SEARCH("Under",J166)))</formula>
    </cfRule>
    <cfRule type="containsText" dxfId="861" priority="281" operator="containsText" text="N/A">
      <formula>NOT(ISERROR(SEARCH("N/A",J166)))</formula>
    </cfRule>
    <cfRule type="containsText" dxfId="860" priority="280" operator="containsText" text="Start">
      <formula>NOT(ISERROR(SEARCH("Start",J166)))</formula>
    </cfRule>
    <cfRule type="containsText" dxfId="859" priority="279" operator="containsText" text="Stop">
      <formula>NOT(ISERROR(SEARCH("Stop",J166)))</formula>
    </cfRule>
    <cfRule type="containsText" dxfId="858" priority="278" operator="containsText" text="Continue">
      <formula>NOT(ISERROR(SEARCH("Continue",J166)))</formula>
    </cfRule>
    <cfRule type="containsText" dxfId="857" priority="283" operator="containsText" text="Meets">
      <formula>NOT(ISERROR(SEARCH("Meets",J166)))</formula>
    </cfRule>
  </conditionalFormatting>
  <conditionalFormatting sqref="J169">
    <cfRule type="containsText" dxfId="856" priority="273" operator="containsText" text="Start">
      <formula>NOT(ISERROR(SEARCH("Start",J169)))</formula>
    </cfRule>
    <cfRule type="containsText" dxfId="855" priority="272" operator="containsText" text="Stop">
      <formula>NOT(ISERROR(SEARCH("Stop",J169)))</formula>
    </cfRule>
    <cfRule type="containsText" dxfId="854" priority="276" operator="containsText" text="Meets">
      <formula>NOT(ISERROR(SEARCH("Meets",J169)))</formula>
    </cfRule>
    <cfRule type="containsText" dxfId="853" priority="271" operator="containsText" text="Continue">
      <formula>NOT(ISERROR(SEARCH("Continue",J169)))</formula>
    </cfRule>
    <cfRule type="containsText" dxfId="852" priority="277" operator="containsText" text="Under">
      <formula>NOT(ISERROR(SEARCH("Under",J169)))</formula>
    </cfRule>
    <cfRule type="containsText" dxfId="851" priority="274" operator="containsText" text="N/A">
      <formula>NOT(ISERROR(SEARCH("N/A",J169)))</formula>
    </cfRule>
    <cfRule type="containsText" dxfId="850" priority="275" operator="containsText" text="Exceeds">
      <formula>NOT(ISERROR(SEARCH("Exceeds",J169)))</formula>
    </cfRule>
  </conditionalFormatting>
  <conditionalFormatting sqref="J171">
    <cfRule type="containsText" dxfId="849" priority="248" operator="containsText" text="Continue">
      <formula>NOT(ISERROR(SEARCH("Continue",J171)))</formula>
    </cfRule>
    <cfRule type="containsText" dxfId="848" priority="249" operator="containsText" text="Stop">
      <formula>NOT(ISERROR(SEARCH("Stop",J171)))</formula>
    </cfRule>
    <cfRule type="containsText" dxfId="847" priority="251" operator="containsText" text="N/A">
      <formula>NOT(ISERROR(SEARCH("N/A",J171)))</formula>
    </cfRule>
    <cfRule type="containsText" dxfId="846" priority="252" operator="containsText" text="Exceeds">
      <formula>NOT(ISERROR(SEARCH("Exceeds",J171)))</formula>
    </cfRule>
    <cfRule type="containsText" dxfId="845" priority="250" operator="containsText" text="Start">
      <formula>NOT(ISERROR(SEARCH("Start",J171)))</formula>
    </cfRule>
    <cfRule type="containsText" dxfId="844" priority="253" operator="containsText" text="Meets">
      <formula>NOT(ISERROR(SEARCH("Meets",J171)))</formula>
    </cfRule>
    <cfRule type="containsText" dxfId="843" priority="254" operator="containsText" text="Under">
      <formula>NOT(ISERROR(SEARCH("Under",J171)))</formula>
    </cfRule>
  </conditionalFormatting>
  <conditionalFormatting sqref="M62 M68">
    <cfRule type="containsText" dxfId="842" priority="448" operator="containsText" text="N/A">
      <formula>NOT(ISERROR(SEARCH("N/A",M62)))</formula>
    </cfRule>
    <cfRule type="containsText" dxfId="841" priority="449" operator="containsText" text="Exceeds">
      <formula>NOT(ISERROR(SEARCH("Exceeds",M62)))</formula>
    </cfRule>
    <cfRule type="containsText" dxfId="840" priority="450" operator="containsText" text="Meets">
      <formula>NOT(ISERROR(SEARCH("Meets",M62)))</formula>
    </cfRule>
    <cfRule type="containsText" dxfId="839" priority="451" operator="containsText" text="Under">
      <formula>NOT(ISERROR(SEARCH("Under",M62)))</formula>
    </cfRule>
  </conditionalFormatting>
  <conditionalFormatting sqref="Q14:Q16">
    <cfRule type="containsText" dxfId="838" priority="453" operator="containsText" text="Exceeds">
      <formula>NOT(ISERROR(SEARCH("Exceeds",Q14)))</formula>
    </cfRule>
    <cfRule type="containsText" dxfId="837" priority="454" operator="containsText" text="Meets">
      <formula>NOT(ISERROR(SEARCH("Meets",Q14)))</formula>
    </cfRule>
    <cfRule type="containsText" dxfId="836" priority="455" operator="containsText" text="Under">
      <formula>NOT(ISERROR(SEARCH("Under",Q14)))</formula>
    </cfRule>
    <cfRule type="containsText" dxfId="835" priority="452" operator="containsText" text="N/A">
      <formula>NOT(ISERROR(SEARCH("N/A",Q14)))</formula>
    </cfRule>
  </conditionalFormatting>
  <dataValidations count="8">
    <dataValidation type="list" allowBlank="1" showInputMessage="1" showErrorMessage="1" sqref="J73:J80" xr:uid="{FC0237CD-A18D-43B2-BE24-D82ECBE35EB8}">
      <formula1>"Yes, No"</formula1>
    </dataValidation>
    <dataValidation type="list" allowBlank="1" showInputMessage="1" showErrorMessage="1" sqref="G73:G80" xr:uid="{B090FB3E-5824-469B-9AA4-09E2F18A6D8D}">
      <formula1>"Online self-paced, Online, Hybrid, In person, Peer learning"</formula1>
    </dataValidation>
    <dataValidation type="list" allowBlank="1" showInputMessage="1" showErrorMessage="1" sqref="F178:F179" xr:uid="{91FD525F-C345-448B-B74D-A10B86C0D6C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8B637506-F2B0-466E-BFC6-5A359759F958}"/>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9BFAA4F-F7F6-44F3-B973-6B86597EFAA0}"/>
    <dataValidation allowBlank="1" showInputMessage="1" showErrorMessage="1" prompt="Cells I9 through BL9 contain the day number of the month for the Month represented in the cell block above each date cell and are auto calculated._x000a_Do not modify these cells._x000a_" sqref="A8:C8" xr:uid="{0CEF5318-70D2-4A01-AFFA-CFE70D323EE6}"/>
    <dataValidation allowBlank="1" showInputMessage="1" showErrorMessage="1" prompt="Enter Company Name in cell B4._x000a_A legend is in cells I4 through AC4.  The Legend label is in cell G4." sqref="A2:C2" xr:uid="{FFC67634-363F-4678-9C83-AA422F226D04}"/>
    <dataValidation type="list" allowBlank="1" showInputMessage="1" showErrorMessage="1" sqref="L73:L80" xr:uid="{2BDE754C-D65B-4D29-BDFA-804AF3BF1E31}">
      <formula1>"0, 1, 2, 3, 4, 5, 6, 7, 8, 9, 10"</formula1>
    </dataValidation>
  </dataValidations>
  <hyperlinks>
    <hyperlink ref="G85:H85" r:id="rId1" location=":~:text=use%20the%20method.-,Examples%20of%20SMART%20Goals,-We%20will%C2%A0create" display="Examples of SMART Goals" xr:uid="{50D9F16E-0B76-4CAA-A7F8-F6E7F8A41260}"/>
    <hyperlink ref="G85" r:id="rId2" location=":~:text=Examples%20of%20S.M.A.R.T.%20Goals" display="https://www.forbes.com/advisor/business/smart-goals/#:~:text=Examples%20of%20S.M.A.R.T.%20Goals" xr:uid="{FB63BCAC-5976-43EF-A766-F44496A05D91}"/>
    <hyperlink ref="I85" r:id="rId3" location=":~:text=use%20the%20method.-,Examples%20of%20SMART%20Goals,-We%20will%C2%A0create" display="Examples of SMART Goals" xr:uid="{2B873FD5-22F9-43AE-AEF3-9F48FA4A361D}"/>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BF97046E-AED3-41C2-BDF1-5FAD0C5FA2D4}">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99DEE26F-8268-4710-9387-3CF31AA0407C}">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8531594-F31D-4657-9C6C-A756548B4D7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F733C87-135E-4ACC-90F9-4FFAAE85A242}">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F548FAC2-DE13-431A-AECD-66F6393698A7}">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C6E1966-7FD3-493F-8F1A-BD4A220BC2E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A519199E-A33D-4ADA-B02D-623A89CA6DDB}">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46167D2-9372-4C34-AF61-DBFDC84FE82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AD4DC35D-7494-4085-8B67-E912C2A3977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59DAD0B7-6DC1-4BFC-AB02-2C8FCE7A874D}">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67AF3427-1D29-4AF0-B979-031183A5BA58}">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ECC2E1D-6E57-4989-B076-A4FF56C1169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33ECC5F-69C8-4A5A-B286-843B6F41046B}">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15750599-3B9E-4DFE-8BCE-99BEDBFC141A}">
            <x14:dataBar minLength="0" maxLength="100" gradient="0">
              <x14:cfvo type="num">
                <xm:f>0</xm:f>
              </x14:cfvo>
              <x14:cfvo type="num">
                <xm:f>1</xm:f>
              </x14:cfvo>
              <x14:negativeFillColor rgb="FFFF0000"/>
              <x14:axisColor rgb="FF000000"/>
            </x14:dataBar>
          </x14:cfRule>
          <x14:cfRule type="dataBar" id="{4FA5139F-0641-4153-B96F-6617A850B201}">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E590EA84-1227-4475-8D07-844C9C2269E9}">
            <x14:dataBar minLength="0" maxLength="100" gradient="0">
              <x14:cfvo type="num">
                <xm:f>0</xm:f>
              </x14:cfvo>
              <x14:cfvo type="num">
                <xm:f>1</xm:f>
              </x14:cfvo>
              <x14:negativeFillColor rgb="FFFF0000"/>
              <x14:axisColor rgb="FF000000"/>
            </x14:dataBar>
          </x14:cfRule>
          <x14:cfRule type="dataBar" id="{14E5F36A-4EB2-4C08-A37B-C0DFDCFC98E8}">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2B6AB639-69A7-4EB5-8B41-C7C9BEDA5571}">
            <x14:dataBar minLength="0" maxLength="100" gradient="0">
              <x14:cfvo type="num">
                <xm:f>0</xm:f>
              </x14:cfvo>
              <x14:cfvo type="num">
                <xm:f>1</xm:f>
              </x14:cfvo>
              <x14:negativeFillColor rgb="FFFF0000"/>
              <x14:axisColor rgb="FF000000"/>
            </x14:dataBar>
          </x14:cfRule>
          <x14:cfRule type="dataBar" id="{8F94B3EB-A372-440F-A61E-9442AD858CA4}">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9D0F7398-8ABB-4890-9F86-368CBF61CF52}">
            <x14:dataBar minLength="0" maxLength="100" gradient="0">
              <x14:cfvo type="num">
                <xm:f>0</xm:f>
              </x14:cfvo>
              <x14:cfvo type="num">
                <xm:f>1</xm:f>
              </x14:cfvo>
              <x14:negativeFillColor rgb="FFFF0000"/>
              <x14:axisColor rgb="FF000000"/>
            </x14:dataBar>
          </x14:cfRule>
          <x14:cfRule type="dataBar" id="{3D8FFB77-AC89-43A0-AD8F-E9EE20DB9B86}">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54ACFB19-2F00-4924-A7BC-340B66B01732}">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AED057E6-B069-480B-BF81-5F39BEF9AA31}">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201909C-5EB2-4A0D-950B-37FB30545FDC}">
            <x14:dataBar minLength="0" maxLength="100" gradient="0">
              <x14:cfvo type="num">
                <xm:f>0</xm:f>
              </x14:cfvo>
              <x14:cfvo type="num">
                <xm:f>1</xm:f>
              </x14:cfvo>
              <x14:negativeFillColor rgb="FFFF0000"/>
              <x14:axisColor rgb="FF000000"/>
            </x14:dataBar>
          </x14:cfRule>
          <x14:cfRule type="dataBar" id="{31B64D8A-D3E8-4A0B-B6F2-C09356C6FF4A}">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3D5736DB-3C99-4405-BBCF-39245AE54775}">
            <x14:dataBar minLength="0" maxLength="100" gradient="0">
              <x14:cfvo type="num">
                <xm:f>0</xm:f>
              </x14:cfvo>
              <x14:cfvo type="num">
                <xm:f>1</xm:f>
              </x14:cfvo>
              <x14:negativeFillColor rgb="FFFF0000"/>
              <x14:axisColor rgb="FF000000"/>
            </x14:dataBar>
          </x14:cfRule>
          <x14:cfRule type="dataBar" id="{CE0CD42C-E98E-4070-B5BE-2983B1926A6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026088C4-1E88-4DDF-BE1D-DF16DDA7B655}">
            <x14:dataBar minLength="0" maxLength="100" gradient="0">
              <x14:cfvo type="num">
                <xm:f>0</xm:f>
              </x14:cfvo>
              <x14:cfvo type="num">
                <xm:f>1</xm:f>
              </x14:cfvo>
              <x14:negativeFillColor rgb="FFFF0000"/>
              <x14:axisColor rgb="FF000000"/>
            </x14:dataBar>
          </x14:cfRule>
          <x14:cfRule type="dataBar" id="{F8ECC989-5817-4644-A7C4-D4920F7C03A9}">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7218EF6-EEAE-4D3A-A816-3E54560EF25D}">
            <x14:dataBar minLength="0" maxLength="100" gradient="0">
              <x14:cfvo type="num">
                <xm:f>0</xm:f>
              </x14:cfvo>
              <x14:cfvo type="num">
                <xm:f>1</xm:f>
              </x14:cfvo>
              <x14:negativeFillColor rgb="FFFF0000"/>
              <x14:axisColor rgb="FF000000"/>
            </x14:dataBar>
          </x14:cfRule>
          <x14:cfRule type="dataBar" id="{E8B1CFFC-175D-445E-80EB-9A3D8E30685D}">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DE5C554F-E926-4C33-93D5-6481735DE303}">
            <x14:dataBar minLength="0" maxLength="100" gradient="0">
              <x14:cfvo type="num">
                <xm:f>0</xm:f>
              </x14:cfvo>
              <x14:cfvo type="num">
                <xm:f>1</xm:f>
              </x14:cfvo>
              <x14:negativeFillColor rgb="FFFF0000"/>
              <x14:axisColor rgb="FF000000"/>
            </x14:dataBar>
          </x14:cfRule>
          <x14:cfRule type="dataBar" id="{E8A6AB32-E9E0-4631-B01D-2DA39D9C17E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B7273A7-962F-4874-9B88-109598AE55FE}">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53211D8E-FB0E-4560-8E49-20198FB30BA2}">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62E6A13F-9032-427B-9C83-7CD245F7E113}">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A64046D-C4C4-4D8F-98C1-EE93A885E641}">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E1502D6E-0C11-44FC-8334-20A75E50E94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34F02544-4B47-4777-BAA7-6226154B68E8}">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422E197B-8B16-4409-9218-0BDDEB4F0F07}">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1CE6870D-C249-4A15-B7E4-90424391221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62F67BE-3EC9-4AB5-BD1B-7E826C1478F3}">
            <x14:dataBar minLength="0" maxLength="100" gradient="0">
              <x14:cfvo type="num">
                <xm:f>0</xm:f>
              </x14:cfvo>
              <x14:cfvo type="num">
                <xm:f>1</xm:f>
              </x14:cfvo>
              <x14:negativeFillColor rgb="FFFF0000"/>
              <x14:axisColor rgb="FF000000"/>
            </x14:dataBar>
          </x14:cfRule>
          <x14:cfRule type="dataBar" id="{4A7F10C4-E3E5-48C6-B358-FB482CFCA57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E694-59B1-4FB9-88AB-86453E9A9142}">
  <sheetPr codeName="Sheet3">
    <pageSetUpPr autoPageBreaks="0" fitToPage="1"/>
  </sheetPr>
  <dimension ref="A1:Q191"/>
  <sheetViews>
    <sheetView topLeftCell="C165"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22" t="str">
        <f>'CC 2023'!E2</f>
        <v>Employee Name</v>
      </c>
      <c r="F2" s="522"/>
      <c r="G2" s="522"/>
      <c r="H2" s="522"/>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x14ac:dyDescent="0.35">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235"/>
      <c r="G6" s="236"/>
      <c r="H6" s="236"/>
      <c r="I6" s="236"/>
      <c r="J6" s="236"/>
      <c r="K6" s="236"/>
      <c r="L6" s="237"/>
      <c r="M6" s="154"/>
      <c r="O6" s="124"/>
    </row>
    <row r="7" spans="1:17" s="148" customFormat="1" ht="50.45" customHeight="1" x14ac:dyDescent="0.35">
      <c r="A7" s="100"/>
      <c r="B7" s="100"/>
      <c r="C7" s="101"/>
      <c r="D7" s="107"/>
      <c r="E7" s="105" t="s">
        <v>3</v>
      </c>
      <c r="F7" s="238" t="s">
        <v>217</v>
      </c>
      <c r="G7" s="239"/>
      <c r="H7" s="239"/>
      <c r="I7" s="239"/>
      <c r="J7" s="239"/>
      <c r="K7" s="239"/>
      <c r="L7" s="240"/>
      <c r="M7" s="154"/>
      <c r="O7" s="124"/>
    </row>
    <row r="8" spans="1:17" s="148" customFormat="1" ht="50.45" customHeight="1" x14ac:dyDescent="0.35">
      <c r="A8" s="100"/>
      <c r="B8" s="100"/>
      <c r="C8" s="101"/>
      <c r="D8" s="103"/>
      <c r="E8" s="106" t="s">
        <v>4</v>
      </c>
      <c r="F8" s="241"/>
      <c r="G8" s="242"/>
      <c r="H8" s="242"/>
      <c r="I8" s="242"/>
      <c r="J8" s="242"/>
      <c r="K8" s="242"/>
      <c r="L8" s="243"/>
      <c r="M8" s="151"/>
      <c r="N8" s="124"/>
    </row>
    <row r="9" spans="1:17" s="148" customFormat="1" ht="21" customHeight="1" x14ac:dyDescent="0.35">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t="s">
        <v>216</v>
      </c>
      <c r="G10" s="245"/>
      <c r="H10" s="245"/>
      <c r="I10" s="245"/>
      <c r="J10" s="245"/>
      <c r="K10" s="245"/>
      <c r="L10" s="246"/>
      <c r="M10" s="151"/>
      <c r="O10" s="149"/>
      <c r="Q10" s="124"/>
    </row>
    <row r="11" spans="1:17" s="148" customFormat="1" ht="50.45" customHeight="1" x14ac:dyDescent="0.35">
      <c r="C11" s="155"/>
      <c r="D11" s="156"/>
      <c r="E11" s="106" t="s">
        <v>6</v>
      </c>
      <c r="F11" s="247" t="s">
        <v>216</v>
      </c>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x14ac:dyDescent="0.35">
      <c r="D13" s="158"/>
      <c r="E13" s="159"/>
      <c r="F13" s="151"/>
      <c r="G13" s="151"/>
      <c r="H13" s="151"/>
      <c r="I13" s="151"/>
      <c r="J13" s="151"/>
      <c r="K13" s="151"/>
      <c r="L13" s="151"/>
      <c r="M13" s="44"/>
    </row>
    <row r="14" spans="1:17" ht="51.6" customHeight="1" x14ac:dyDescent="0.35">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TBD</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x14ac:dyDescent="0.35">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TBD</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x14ac:dyDescent="0.35">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x14ac:dyDescent="0.35">
      <c r="D27" s="158"/>
      <c r="E27" s="107"/>
      <c r="F27" s="107"/>
      <c r="G27" s="107"/>
      <c r="H27" s="107"/>
      <c r="I27" s="107"/>
      <c r="J27" s="107"/>
      <c r="K27" s="107"/>
      <c r="L27" s="107"/>
      <c r="M27" s="44"/>
    </row>
    <row r="28" spans="4:13" ht="67.5" customHeight="1" x14ac:dyDescent="0.35">
      <c r="D28" s="44"/>
      <c r="E28" s="118" t="s">
        <v>17</v>
      </c>
      <c r="F28" s="286"/>
      <c r="G28" s="286"/>
      <c r="H28" s="286"/>
      <c r="I28" s="286"/>
      <c r="J28" s="286"/>
      <c r="K28" s="286"/>
      <c r="L28" s="287"/>
      <c r="M28" s="44"/>
    </row>
    <row r="29" spans="4:13" ht="43.5" customHeight="1" x14ac:dyDescent="0.35">
      <c r="D29" s="158"/>
      <c r="E29" s="270" t="str">
        <f>CONCATENATE("Mid-year meeting - ", TEXT($F$10,"dd/mm/yyyy"))</f>
        <v>Mid-year meeting - TBD</v>
      </c>
      <c r="F29" s="117"/>
      <c r="G29" s="272" t="str">
        <f>'CC 2023'!E2</f>
        <v>Employee Name</v>
      </c>
      <c r="H29" s="273"/>
      <c r="I29" s="274"/>
      <c r="J29" s="275" t="str">
        <f>F7</f>
        <v>Manager Name</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TBD</v>
      </c>
      <c r="F31" s="117"/>
      <c r="G31" s="272" t="str">
        <f>'CC 2023'!E2</f>
        <v>Employee Name</v>
      </c>
      <c r="H31" s="273"/>
      <c r="I31" s="274"/>
      <c r="J31" s="275" t="str">
        <f>F7</f>
        <v>Manager Name</v>
      </c>
      <c r="K31" s="273"/>
      <c r="L31" s="276"/>
      <c r="M31" s="44"/>
    </row>
    <row r="32" spans="4:13" ht="110.25" customHeight="1" x14ac:dyDescent="0.35">
      <c r="D32" s="158"/>
      <c r="E32" s="271"/>
      <c r="F32" s="99"/>
      <c r="G32" s="277"/>
      <c r="H32" s="278"/>
      <c r="I32" s="279"/>
      <c r="J32" s="280"/>
      <c r="K32" s="278"/>
      <c r="L32" s="281"/>
      <c r="M32" s="44"/>
    </row>
    <row r="33" spans="4:13" ht="21" customHeight="1" x14ac:dyDescent="0.35">
      <c r="D33" s="158"/>
      <c r="E33" s="44"/>
      <c r="F33" s="44"/>
      <c r="G33" s="44"/>
      <c r="H33" s="44"/>
      <c r="I33" s="44"/>
      <c r="J33" s="44"/>
      <c r="K33" s="44"/>
      <c r="L33" s="44"/>
      <c r="M33" s="44"/>
    </row>
    <row r="34" spans="4:13" ht="67.5" customHeight="1" x14ac:dyDescent="0.35">
      <c r="D34" s="158"/>
      <c r="E34" s="118" t="s">
        <v>18</v>
      </c>
      <c r="F34" s="282"/>
      <c r="G34" s="283"/>
      <c r="H34" s="283"/>
      <c r="I34" s="283"/>
      <c r="J34" s="283"/>
      <c r="K34" s="283"/>
      <c r="L34" s="284"/>
      <c r="M34" s="44"/>
    </row>
    <row r="35" spans="4:13" ht="43.5" customHeight="1" x14ac:dyDescent="0.35">
      <c r="D35" s="158"/>
      <c r="E35" s="270" t="str">
        <f>CONCATENATE("Mid-year meeting - ", TEXT($F$10,"dd/mm/yyyy"))</f>
        <v>Mid-year meeting - TBD</v>
      </c>
      <c r="F35" s="117"/>
      <c r="G35" s="272" t="str">
        <f>'CC 2023'!E2</f>
        <v>Employee Name</v>
      </c>
      <c r="H35" s="273"/>
      <c r="I35" s="274"/>
      <c r="J35" s="275" t="str">
        <f>F7</f>
        <v>Manager Name</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TBD</v>
      </c>
      <c r="F37" s="117"/>
      <c r="G37" s="272" t="str">
        <f>'CC 2023'!E2</f>
        <v>Employee Name</v>
      </c>
      <c r="H37" s="273"/>
      <c r="I37" s="274"/>
      <c r="J37" s="275" t="str">
        <f>F7</f>
        <v>Manager Name</v>
      </c>
      <c r="K37" s="273"/>
      <c r="L37" s="276"/>
      <c r="M37" s="44"/>
    </row>
    <row r="38" spans="4:13" ht="144.94999999999999" customHeight="1" x14ac:dyDescent="0.35">
      <c r="D38" s="158"/>
      <c r="E38" s="271"/>
      <c r="F38" s="99"/>
      <c r="G38" s="277"/>
      <c r="H38" s="278"/>
      <c r="I38" s="279"/>
      <c r="J38" s="280"/>
      <c r="K38" s="278"/>
      <c r="L38" s="281"/>
      <c r="M38" s="44"/>
    </row>
    <row r="39" spans="4:13" ht="21" customHeight="1" x14ac:dyDescent="0.35">
      <c r="D39" s="158"/>
      <c r="E39" s="44"/>
      <c r="F39" s="44"/>
      <c r="G39" s="44"/>
      <c r="H39" s="44"/>
      <c r="I39" s="44"/>
      <c r="J39" s="44"/>
      <c r="K39" s="44"/>
      <c r="L39" s="44"/>
      <c r="M39" s="44"/>
    </row>
    <row r="40" spans="4:13" ht="67.5" customHeight="1" x14ac:dyDescent="0.35">
      <c r="D40" s="158"/>
      <c r="E40" s="118" t="s">
        <v>19</v>
      </c>
      <c r="F40" s="282"/>
      <c r="G40" s="283"/>
      <c r="H40" s="283"/>
      <c r="I40" s="283"/>
      <c r="J40" s="283"/>
      <c r="K40" s="283"/>
      <c r="L40" s="284"/>
      <c r="M40" s="44"/>
    </row>
    <row r="41" spans="4:13" ht="43.5" customHeight="1" x14ac:dyDescent="0.35">
      <c r="D41" s="158"/>
      <c r="E41" s="270" t="str">
        <f>CONCATENATE("Mid-year meeting - ", TEXT($F$10,"dd/mm/yyyy"))</f>
        <v>Mid-year meeting - TBD</v>
      </c>
      <c r="F41" s="117"/>
      <c r="G41" s="272" t="str">
        <f>'CC 2023'!E2</f>
        <v>Employee Name</v>
      </c>
      <c r="H41" s="273"/>
      <c r="I41" s="274"/>
      <c r="J41" s="275" t="str">
        <f>F7</f>
        <v>Manager Name</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TBD</v>
      </c>
      <c r="F43" s="117"/>
      <c r="G43" s="272" t="str">
        <f>'CC 2023'!E2</f>
        <v>Employee Name</v>
      </c>
      <c r="H43" s="273"/>
      <c r="I43" s="274"/>
      <c r="J43" s="275" t="str">
        <f>F7</f>
        <v>Manager Name</v>
      </c>
      <c r="K43" s="273"/>
      <c r="L43" s="276"/>
      <c r="M43" s="44"/>
    </row>
    <row r="44" spans="4:13" ht="113.45" customHeight="1" x14ac:dyDescent="0.35">
      <c r="D44" s="158"/>
      <c r="E44" s="271"/>
      <c r="F44" s="99"/>
      <c r="G44" s="294"/>
      <c r="H44" s="295"/>
      <c r="I44" s="296"/>
      <c r="J44" s="280"/>
      <c r="K44" s="278"/>
      <c r="L44" s="281"/>
      <c r="M44" s="44"/>
    </row>
    <row r="45" spans="4:13" ht="21" customHeight="1" x14ac:dyDescent="0.35">
      <c r="D45" s="158"/>
      <c r="E45" s="44"/>
      <c r="F45" s="44"/>
      <c r="G45" s="44"/>
      <c r="H45" s="44"/>
      <c r="I45" s="44"/>
      <c r="J45" s="44"/>
      <c r="K45" s="44"/>
      <c r="L45" s="44"/>
      <c r="M45" s="44"/>
    </row>
    <row r="46" spans="4:13" ht="67.5" customHeight="1" x14ac:dyDescent="0.35">
      <c r="D46" s="158"/>
      <c r="E46" s="118" t="s">
        <v>21</v>
      </c>
      <c r="F46" s="282"/>
      <c r="G46" s="283"/>
      <c r="H46" s="283"/>
      <c r="I46" s="283"/>
      <c r="J46" s="283"/>
      <c r="K46" s="283"/>
      <c r="L46" s="284"/>
      <c r="M46" s="44"/>
    </row>
    <row r="47" spans="4:13" ht="43.5" customHeight="1" x14ac:dyDescent="0.35">
      <c r="D47" s="156"/>
      <c r="E47" s="270" t="str">
        <f>CONCATENATE("Mid-year meeting - ", TEXT($F$10,"dd/mm/yyyy"))</f>
        <v>Mid-year meeting - TBD</v>
      </c>
      <c r="F47" s="117"/>
      <c r="G47" s="272" t="str">
        <f>'CC 2023'!E2</f>
        <v>Employee Name</v>
      </c>
      <c r="H47" s="273"/>
      <c r="I47" s="274"/>
      <c r="J47" s="275" t="str">
        <f>F7</f>
        <v>Manager Name</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TBD</v>
      </c>
      <c r="F49" s="117"/>
      <c r="G49" s="272" t="str">
        <f>'CC 2023'!E2</f>
        <v>Employee Name</v>
      </c>
      <c r="H49" s="273"/>
      <c r="I49" s="274"/>
      <c r="J49" s="275" t="str">
        <f>F7</f>
        <v>Manager Name</v>
      </c>
      <c r="K49" s="273"/>
      <c r="L49" s="276"/>
      <c r="M49" s="44"/>
    </row>
    <row r="50" spans="4:13" ht="110.25" customHeight="1" x14ac:dyDescent="0.35">
      <c r="D50" s="156"/>
      <c r="E50" s="271"/>
      <c r="F50" s="99"/>
      <c r="G50" s="277"/>
      <c r="H50" s="278"/>
      <c r="I50" s="279"/>
      <c r="J50" s="280"/>
      <c r="K50" s="278"/>
      <c r="L50" s="281"/>
      <c r="M50" s="44"/>
    </row>
    <row r="51" spans="4:13" ht="21" customHeight="1" x14ac:dyDescent="0.35">
      <c r="D51" s="158"/>
      <c r="E51" s="44"/>
      <c r="F51" s="44"/>
      <c r="G51" s="44"/>
      <c r="H51" s="44"/>
      <c r="I51" s="44"/>
      <c r="J51" s="44"/>
      <c r="K51" s="44"/>
      <c r="L51" s="44"/>
      <c r="M51" s="44"/>
    </row>
    <row r="52" spans="4:13" ht="67.5" customHeight="1" x14ac:dyDescent="0.35">
      <c r="D52" s="158"/>
      <c r="E52" s="118" t="s">
        <v>22</v>
      </c>
      <c r="F52" s="282"/>
      <c r="G52" s="283"/>
      <c r="H52" s="283"/>
      <c r="I52" s="283"/>
      <c r="J52" s="283"/>
      <c r="K52" s="283"/>
      <c r="L52" s="284"/>
      <c r="M52" s="44"/>
    </row>
    <row r="53" spans="4:13" ht="43.5" customHeight="1" x14ac:dyDescent="0.35">
      <c r="D53" s="156"/>
      <c r="E53" s="270" t="str">
        <f>CONCATENATE("Mid-year meeting - ", TEXT($F$10,"dd/mm/yyyy"))</f>
        <v>Mid-year meeting - TBD</v>
      </c>
      <c r="F53" s="117"/>
      <c r="G53" s="272" t="str">
        <f>'CC 2023'!E2</f>
        <v>Employee Name</v>
      </c>
      <c r="H53" s="273"/>
      <c r="I53" s="274"/>
      <c r="J53" s="275" t="str">
        <f>F7</f>
        <v>Manager Name</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TBD</v>
      </c>
      <c r="F55" s="117"/>
      <c r="G55" s="272" t="str">
        <f>'CC 2023'!E2</f>
        <v>Employee Name</v>
      </c>
      <c r="H55" s="273"/>
      <c r="I55" s="274"/>
      <c r="J55" s="275" t="str">
        <f>F7</f>
        <v>Manager Name</v>
      </c>
      <c r="K55" s="273"/>
      <c r="L55" s="276"/>
      <c r="M55" s="44"/>
    </row>
    <row r="56" spans="4:13" ht="110.25" customHeight="1" x14ac:dyDescent="0.35">
      <c r="D56" s="156"/>
      <c r="E56" s="271"/>
      <c r="F56" s="99"/>
      <c r="G56" s="277"/>
      <c r="H56" s="278"/>
      <c r="I56" s="279"/>
      <c r="J56" s="280"/>
      <c r="K56" s="278"/>
      <c r="L56" s="281"/>
      <c r="M56" s="44"/>
    </row>
    <row r="57" spans="4:13" ht="21" customHeight="1" x14ac:dyDescent="0.35">
      <c r="D57" s="158"/>
      <c r="E57" s="44"/>
      <c r="F57" s="44"/>
      <c r="G57" s="44"/>
      <c r="H57" s="44"/>
      <c r="I57" s="44"/>
      <c r="J57" s="44"/>
      <c r="K57" s="44"/>
      <c r="L57" s="44"/>
      <c r="M57" s="44"/>
    </row>
    <row r="58" spans="4:13" ht="67.5" customHeight="1" x14ac:dyDescent="0.35">
      <c r="D58" s="158"/>
      <c r="E58" s="118" t="s">
        <v>23</v>
      </c>
      <c r="F58" s="286"/>
      <c r="G58" s="286"/>
      <c r="H58" s="286"/>
      <c r="I58" s="286"/>
      <c r="J58" s="286"/>
      <c r="K58" s="286"/>
      <c r="L58" s="287"/>
      <c r="M58" s="44"/>
    </row>
    <row r="59" spans="4:13" ht="43.5" customHeight="1" x14ac:dyDescent="0.35">
      <c r="D59" s="156"/>
      <c r="E59" s="270" t="str">
        <f>CONCATENATE("Mid-year meeting - ", TEXT($F$10,"dd/mm/yyyy"))</f>
        <v>Mid-year meeting - TBD</v>
      </c>
      <c r="F59" s="117"/>
      <c r="G59" s="272" t="str">
        <f>'CC 2023'!E2</f>
        <v>Employee Name</v>
      </c>
      <c r="H59" s="273"/>
      <c r="I59" s="274"/>
      <c r="J59" s="275" t="str">
        <f>F7</f>
        <v>Manager Name</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TBD</v>
      </c>
      <c r="F61" s="117"/>
      <c r="G61" s="272" t="str">
        <f>'CC 2023'!E2</f>
        <v>Employee Name</v>
      </c>
      <c r="H61" s="273"/>
      <c r="I61" s="274"/>
      <c r="J61" s="275" t="str">
        <f>F7</f>
        <v>Manager Name</v>
      </c>
      <c r="K61" s="273"/>
      <c r="L61" s="276"/>
      <c r="M61" s="44"/>
    </row>
    <row r="62" spans="4:13" ht="110.25" customHeight="1" x14ac:dyDescent="0.35">
      <c r="D62" s="156"/>
      <c r="E62" s="271"/>
      <c r="F62" s="145"/>
      <c r="G62" s="297"/>
      <c r="H62" s="298"/>
      <c r="I62" s="299"/>
      <c r="J62" s="280"/>
      <c r="K62" s="278"/>
      <c r="L62" s="281"/>
      <c r="M62" s="44"/>
    </row>
    <row r="63" spans="4:13" ht="21" customHeight="1" x14ac:dyDescent="0.35">
      <c r="D63" s="158"/>
      <c r="E63" s="44"/>
      <c r="F63" s="44"/>
      <c r="G63" s="44"/>
      <c r="H63" s="44"/>
      <c r="I63" s="44"/>
      <c r="J63" s="44"/>
      <c r="K63" s="44"/>
      <c r="L63" s="44"/>
      <c r="M63" s="44"/>
    </row>
    <row r="64" spans="4:13" ht="67.5" customHeight="1" x14ac:dyDescent="0.35">
      <c r="D64" s="158"/>
      <c r="E64" s="118" t="s">
        <v>24</v>
      </c>
      <c r="F64" s="286"/>
      <c r="G64" s="286"/>
      <c r="H64" s="286"/>
      <c r="I64" s="286"/>
      <c r="J64" s="286"/>
      <c r="K64" s="286"/>
      <c r="L64" s="287"/>
      <c r="M64" s="44"/>
    </row>
    <row r="65" spans="3:15" ht="43.5" customHeight="1" x14ac:dyDescent="0.35">
      <c r="D65" s="156"/>
      <c r="E65" s="270" t="str">
        <f>CONCATENATE("Mid-year meeting - ", TEXT($F$10,"dd/mm/yyyy"))</f>
        <v>Mid-year meeting - TBD</v>
      </c>
      <c r="F65" s="117"/>
      <c r="G65" s="272" t="str">
        <f>'CC 2023'!E2</f>
        <v>Employee Name</v>
      </c>
      <c r="H65" s="273"/>
      <c r="I65" s="274"/>
      <c r="J65" s="275" t="str">
        <f>F7</f>
        <v>Manager Name</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TBD</v>
      </c>
      <c r="F67" s="117"/>
      <c r="G67" s="272" t="str">
        <f>'CC 2023'!E2</f>
        <v>Employee Name</v>
      </c>
      <c r="H67" s="273"/>
      <c r="I67" s="274"/>
      <c r="J67" s="275" t="str">
        <f>F7</f>
        <v>Manager Name</v>
      </c>
      <c r="K67" s="273"/>
      <c r="L67" s="276"/>
      <c r="M67" s="44"/>
    </row>
    <row r="68" spans="3:15" ht="110.25" customHeight="1" x14ac:dyDescent="0.35">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x14ac:dyDescent="0.35">
      <c r="D71" s="158"/>
      <c r="E71" s="260" t="s">
        <v>25</v>
      </c>
      <c r="F71" s="260"/>
      <c r="G71" s="260"/>
      <c r="H71" s="260"/>
      <c r="I71" s="260"/>
      <c r="J71" s="260"/>
      <c r="K71" s="260"/>
      <c r="L71" s="260"/>
      <c r="M71" s="44"/>
    </row>
    <row r="72" spans="3:15" s="163" customFormat="1" ht="78.599999999999994" customHeight="1" x14ac:dyDescent="0.35">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2"/>
      <c r="K74" s="81"/>
      <c r="L74" s="89"/>
      <c r="M74" s="44"/>
    </row>
    <row r="75" spans="3:15" ht="77.25"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x14ac:dyDescent="0.35">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x14ac:dyDescent="0.35">
      <c r="D85" s="158"/>
      <c r="E85" s="260" t="s">
        <v>35</v>
      </c>
      <c r="F85" s="260"/>
      <c r="G85" s="123" t="s">
        <v>36</v>
      </c>
      <c r="H85" s="123"/>
      <c r="I85" s="123"/>
      <c r="J85" s="107"/>
      <c r="K85" s="107"/>
      <c r="L85" s="107"/>
      <c r="M85" s="44"/>
    </row>
    <row r="86" spans="3:15" ht="74.25" customHeight="1" x14ac:dyDescent="0.35">
      <c r="C86" s="164"/>
      <c r="D86" s="158"/>
      <c r="E86" s="57"/>
      <c r="F86" s="306" t="s">
        <v>37</v>
      </c>
      <c r="G86" s="306"/>
      <c r="H86" s="306"/>
      <c r="I86" s="306"/>
      <c r="J86" s="306"/>
      <c r="K86" s="306"/>
      <c r="L86" s="307"/>
      <c r="M86" s="44"/>
      <c r="O86" s="124"/>
    </row>
    <row r="87" spans="3:15" ht="91.5" customHeight="1" x14ac:dyDescent="0.35">
      <c r="C87" s="164"/>
      <c r="D87" s="158"/>
      <c r="E87" s="56" t="s">
        <v>38</v>
      </c>
      <c r="F87" s="545"/>
      <c r="G87" s="348"/>
      <c r="H87" s="348"/>
      <c r="I87" s="348"/>
      <c r="J87" s="348"/>
      <c r="K87" s="348"/>
      <c r="L87" s="349"/>
      <c r="M87" s="44"/>
      <c r="O87" s="124"/>
    </row>
    <row r="88" spans="3:15" ht="53.45" customHeight="1" x14ac:dyDescent="0.35">
      <c r="C88" s="164"/>
      <c r="D88" s="158"/>
      <c r="E88" s="315" t="s">
        <v>40</v>
      </c>
      <c r="F88" s="316" t="s">
        <v>41</v>
      </c>
      <c r="G88" s="317"/>
      <c r="H88" s="318"/>
      <c r="I88" s="70" t="s">
        <v>42</v>
      </c>
      <c r="J88" s="70" t="s">
        <v>43</v>
      </c>
      <c r="K88" s="70" t="s">
        <v>44</v>
      </c>
      <c r="L88" s="125" t="s">
        <v>45</v>
      </c>
      <c r="M88" s="44"/>
    </row>
    <row r="89" spans="3:15" ht="131.1" customHeight="1" x14ac:dyDescent="0.35">
      <c r="C89" s="164"/>
      <c r="D89" s="158"/>
      <c r="E89" s="315"/>
      <c r="F89" s="344"/>
      <c r="G89" s="345"/>
      <c r="H89" s="346"/>
      <c r="I89" s="143"/>
      <c r="J89" s="75"/>
      <c r="K89" s="75"/>
      <c r="L89" s="75"/>
      <c r="M89" s="44"/>
      <c r="O89" s="322" t="b">
        <f>IF(L89="Fails to meet objective", 4, IF(L89="Partially meets objective", 3, IF(L89="Meets expectations", 2, IF(L89="Exceeds expectations", 1,IF(L89="To be done", "")))))</f>
        <v>0</v>
      </c>
    </row>
    <row r="90" spans="3:15" ht="53.45" customHeight="1" x14ac:dyDescent="0.35">
      <c r="C90" s="164"/>
      <c r="D90" s="158"/>
      <c r="E90" s="315"/>
      <c r="F90" s="323" t="str">
        <f>'CC 2023'!E2</f>
        <v>Employee Name</v>
      </c>
      <c r="G90" s="324"/>
      <c r="H90" s="324"/>
      <c r="I90" s="324"/>
      <c r="J90" s="324"/>
      <c r="K90" s="324"/>
      <c r="L90" s="325"/>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TBD</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TBD</v>
      </c>
      <c r="F93" s="330"/>
      <c r="G93" s="331"/>
      <c r="H93" s="334"/>
      <c r="I93" s="335"/>
      <c r="J93" s="335"/>
      <c r="K93" s="335"/>
      <c r="L93" s="336"/>
      <c r="M93" s="44"/>
      <c r="O93" s="322"/>
    </row>
    <row r="94" spans="3:15" ht="53.45" customHeight="1" x14ac:dyDescent="0.35">
      <c r="C94" s="164"/>
      <c r="D94" s="158"/>
      <c r="E94" s="315"/>
      <c r="F94" s="342" t="str">
        <f>F7</f>
        <v>Manager Name</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TBD</v>
      </c>
      <c r="F96" s="330"/>
      <c r="G96" s="331"/>
      <c r="H96" s="330"/>
      <c r="I96" s="332"/>
      <c r="J96" s="332"/>
      <c r="K96" s="332"/>
      <c r="L96" s="333"/>
      <c r="M96" s="44"/>
      <c r="O96" s="322"/>
    </row>
    <row r="97" spans="3:15" ht="135.94999999999999" customHeight="1" x14ac:dyDescent="0.35">
      <c r="C97" s="164"/>
      <c r="D97" s="158"/>
      <c r="E97" s="126" t="str">
        <f>CONCATENATE("End-of-year meeting - ", TEXT($F$11,"dd/mm/yyyy"))</f>
        <v>End-of-year meeting - TBD</v>
      </c>
      <c r="F97" s="330"/>
      <c r="G97" s="331"/>
      <c r="H97" s="334"/>
      <c r="I97" s="335"/>
      <c r="J97" s="335"/>
      <c r="K97" s="335"/>
      <c r="L97" s="336"/>
      <c r="M97" s="44"/>
      <c r="O97" s="322"/>
    </row>
    <row r="98" spans="3:15" ht="74.25" customHeight="1" x14ac:dyDescent="0.35">
      <c r="C98" s="164"/>
      <c r="D98" s="158"/>
      <c r="E98" s="57"/>
      <c r="F98" s="306" t="s">
        <v>53</v>
      </c>
      <c r="G98" s="306"/>
      <c r="H98" s="306"/>
      <c r="I98" s="306"/>
      <c r="J98" s="306"/>
      <c r="K98" s="306"/>
      <c r="L98" s="307"/>
      <c r="M98" s="44"/>
      <c r="O98" s="124"/>
    </row>
    <row r="99" spans="3:15" ht="91.5" customHeight="1" x14ac:dyDescent="0.35">
      <c r="C99" s="164"/>
      <c r="D99" s="158"/>
      <c r="E99" s="56" t="s">
        <v>38</v>
      </c>
      <c r="F99" s="338"/>
      <c r="G99" s="338"/>
      <c r="H99" s="338"/>
      <c r="I99" s="338"/>
      <c r="J99" s="338"/>
      <c r="K99" s="338"/>
      <c r="L99" s="339"/>
      <c r="M99" s="44"/>
      <c r="O99" s="124"/>
    </row>
    <row r="100" spans="3:15" ht="53.45" customHeight="1" x14ac:dyDescent="0.35">
      <c r="C100" s="164"/>
      <c r="D100" s="158"/>
      <c r="E100" s="315" t="s">
        <v>40</v>
      </c>
      <c r="F100" s="340" t="s">
        <v>41</v>
      </c>
      <c r="G100" s="340"/>
      <c r="H100" s="340"/>
      <c r="I100" s="70" t="s">
        <v>42</v>
      </c>
      <c r="J100" s="70" t="s">
        <v>43</v>
      </c>
      <c r="K100" s="70" t="s">
        <v>44</v>
      </c>
      <c r="L100" s="125" t="s">
        <v>45</v>
      </c>
      <c r="M100" s="44"/>
    </row>
    <row r="101" spans="3:15" ht="177.75" customHeight="1" x14ac:dyDescent="0.35">
      <c r="C101" s="164"/>
      <c r="D101" s="158"/>
      <c r="E101" s="315"/>
      <c r="F101" s="341"/>
      <c r="G101" s="341"/>
      <c r="H101" s="341"/>
      <c r="I101" s="143"/>
      <c r="J101" s="75"/>
      <c r="K101" s="75"/>
      <c r="L101" s="75"/>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TBD</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TBD</v>
      </c>
      <c r="F105" s="330"/>
      <c r="G105" s="331"/>
      <c r="H105" s="334"/>
      <c r="I105" s="335"/>
      <c r="J105" s="335"/>
      <c r="K105" s="335"/>
      <c r="L105" s="336"/>
      <c r="M105" s="44"/>
      <c r="N105" s="165"/>
      <c r="O105" s="322"/>
    </row>
    <row r="106" spans="3:15" ht="53.45" customHeight="1" x14ac:dyDescent="0.35">
      <c r="C106" s="164"/>
      <c r="D106" s="158"/>
      <c r="E106" s="315"/>
      <c r="F106" s="342" t="str">
        <f>F7</f>
        <v>Manager Name</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TBD</v>
      </c>
      <c r="F108" s="330"/>
      <c r="G108" s="331"/>
      <c r="H108" s="330"/>
      <c r="I108" s="332"/>
      <c r="J108" s="332"/>
      <c r="K108" s="332"/>
      <c r="L108" s="333"/>
      <c r="M108" s="44"/>
      <c r="N108" s="165"/>
      <c r="O108" s="322"/>
    </row>
    <row r="109" spans="3:15" ht="135.94999999999999" customHeight="1" x14ac:dyDescent="0.35">
      <c r="C109" s="164"/>
      <c r="D109" s="158"/>
      <c r="E109" s="126" t="str">
        <f>CONCATENATE("End-of-year meeting - ", TEXT($F$11,"dd/mm/yyyy"))</f>
        <v>End-of-year meeting - TBD</v>
      </c>
      <c r="F109" s="330"/>
      <c r="G109" s="331"/>
      <c r="H109" s="334"/>
      <c r="I109" s="335"/>
      <c r="J109" s="335"/>
      <c r="K109" s="335"/>
      <c r="L109" s="336"/>
      <c r="M109" s="44"/>
      <c r="N109" s="165"/>
      <c r="O109" s="322"/>
    </row>
    <row r="110" spans="3:15" ht="74.25" customHeight="1" x14ac:dyDescent="0.35">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338"/>
      <c r="G111" s="338"/>
      <c r="H111" s="338"/>
      <c r="I111" s="338"/>
      <c r="J111" s="338"/>
      <c r="K111" s="338"/>
      <c r="L111" s="339"/>
      <c r="M111" s="44"/>
      <c r="O111" s="124"/>
    </row>
    <row r="112" spans="3:15" ht="53.45" customHeight="1" x14ac:dyDescent="0.35">
      <c r="C112" s="164"/>
      <c r="D112" s="158"/>
      <c r="E112" s="315" t="s">
        <v>40</v>
      </c>
      <c r="F112" s="340" t="s">
        <v>41</v>
      </c>
      <c r="G112" s="340"/>
      <c r="H112" s="340"/>
      <c r="I112" s="127" t="s">
        <v>42</v>
      </c>
      <c r="J112" s="127" t="s">
        <v>43</v>
      </c>
      <c r="K112" s="127" t="s">
        <v>44</v>
      </c>
      <c r="L112" s="128" t="s">
        <v>45</v>
      </c>
      <c r="M112" s="44"/>
    </row>
    <row r="113" spans="3:15" ht="186.75" customHeight="1" x14ac:dyDescent="0.35">
      <c r="C113" s="164"/>
      <c r="D113" s="158"/>
      <c r="E113" s="315"/>
      <c r="F113" s="344"/>
      <c r="G113" s="345"/>
      <c r="H113" s="346"/>
      <c r="I113" s="143"/>
      <c r="J113" s="75"/>
      <c r="K113" s="75"/>
      <c r="L113" s="76"/>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TBD</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TBD</v>
      </c>
      <c r="F117" s="330"/>
      <c r="G117" s="331"/>
      <c r="H117" s="334"/>
      <c r="I117" s="335"/>
      <c r="J117" s="335"/>
      <c r="K117" s="335"/>
      <c r="L117" s="336"/>
      <c r="M117" s="44"/>
      <c r="O117" s="322"/>
    </row>
    <row r="118" spans="3:15" ht="53.45" customHeight="1" x14ac:dyDescent="0.35">
      <c r="C118" s="164"/>
      <c r="D118" s="158"/>
      <c r="E118" s="315"/>
      <c r="F118" s="342" t="str">
        <f>F7</f>
        <v>Manager Name</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TBD</v>
      </c>
      <c r="F120" s="330"/>
      <c r="G120" s="331"/>
      <c r="H120" s="330"/>
      <c r="I120" s="332"/>
      <c r="J120" s="332"/>
      <c r="K120" s="332"/>
      <c r="L120" s="333"/>
      <c r="M120" s="44"/>
      <c r="O120" s="322"/>
    </row>
    <row r="121" spans="3:15" ht="135.94999999999999" customHeight="1" x14ac:dyDescent="0.35">
      <c r="C121" s="164"/>
      <c r="D121" s="158"/>
      <c r="E121" s="126" t="str">
        <f>CONCATENATE("End-of-year meeting - ", TEXT($F$11,"dd/mm/yyyy"))</f>
        <v>End-of-year meeting - TBD</v>
      </c>
      <c r="F121" s="330"/>
      <c r="G121" s="331"/>
      <c r="H121" s="334"/>
      <c r="I121" s="335"/>
      <c r="J121" s="335"/>
      <c r="K121" s="335"/>
      <c r="L121" s="336"/>
      <c r="M121" s="44"/>
      <c r="O121" s="322"/>
    </row>
    <row r="122" spans="3:15" ht="74.25" customHeight="1" x14ac:dyDescent="0.35">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545"/>
      <c r="G123" s="348"/>
      <c r="H123" s="348"/>
      <c r="I123" s="348"/>
      <c r="J123" s="348"/>
      <c r="K123" s="348"/>
      <c r="L123" s="349"/>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c r="G125" s="345"/>
      <c r="H125" s="346"/>
      <c r="I125" s="143"/>
      <c r="J125" s="75"/>
      <c r="K125" s="75"/>
      <c r="L125" s="75"/>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TBD</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TBD</v>
      </c>
      <c r="F129" s="330"/>
      <c r="G129" s="331"/>
      <c r="H129" s="334"/>
      <c r="I129" s="335"/>
      <c r="J129" s="335"/>
      <c r="K129" s="335"/>
      <c r="L129" s="336"/>
      <c r="M129" s="44"/>
      <c r="O129" s="322"/>
    </row>
    <row r="130" spans="3:15" ht="53.45" customHeight="1" x14ac:dyDescent="0.35">
      <c r="C130" s="164"/>
      <c r="D130" s="158"/>
      <c r="E130" s="315"/>
      <c r="F130" s="342" t="str">
        <f>F7</f>
        <v>Manager Name</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TBD</v>
      </c>
      <c r="F132" s="330"/>
      <c r="G132" s="331"/>
      <c r="H132" s="330"/>
      <c r="I132" s="332"/>
      <c r="J132" s="332"/>
      <c r="K132" s="332"/>
      <c r="L132" s="333"/>
      <c r="M132" s="44"/>
      <c r="O132" s="322"/>
    </row>
    <row r="133" spans="3:15" ht="135.94999999999999" customHeight="1" x14ac:dyDescent="0.35">
      <c r="C133" s="164"/>
      <c r="D133" s="158"/>
      <c r="E133" s="126" t="str">
        <f>CONCATENATE("End-of-year meeting - ", TEXT($F$11,"dd/mm/yyyy"))</f>
        <v>End-of-year meeting - TBD</v>
      </c>
      <c r="F133" s="330"/>
      <c r="G133" s="331"/>
      <c r="H133" s="334"/>
      <c r="I133" s="335"/>
      <c r="J133" s="335"/>
      <c r="K133" s="335"/>
      <c r="L133" s="336"/>
      <c r="M133" s="44"/>
      <c r="O133" s="322"/>
    </row>
    <row r="134" spans="3:15" ht="74.25" customHeight="1" x14ac:dyDescent="0.35">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338"/>
      <c r="G135" s="338"/>
      <c r="H135" s="338"/>
      <c r="I135" s="338"/>
      <c r="J135" s="338"/>
      <c r="K135" s="338"/>
      <c r="L135" s="339"/>
      <c r="M135" s="44"/>
      <c r="O135" s="124"/>
    </row>
    <row r="136" spans="3:15" ht="53.45" customHeight="1" x14ac:dyDescent="0.35">
      <c r="C136" s="164"/>
      <c r="D136" s="158"/>
      <c r="E136" s="352" t="s">
        <v>40</v>
      </c>
      <c r="F136" s="340" t="s">
        <v>41</v>
      </c>
      <c r="G136" s="340"/>
      <c r="H136" s="340"/>
      <c r="I136" s="127" t="s">
        <v>42</v>
      </c>
      <c r="J136" s="127" t="s">
        <v>43</v>
      </c>
      <c r="K136" s="127" t="s">
        <v>44</v>
      </c>
      <c r="L136" s="128" t="s">
        <v>45</v>
      </c>
      <c r="M136" s="44"/>
    </row>
    <row r="137" spans="3:15" ht="220.5" customHeight="1" x14ac:dyDescent="0.35">
      <c r="C137" s="164"/>
      <c r="D137" s="158"/>
      <c r="E137" s="352"/>
      <c r="F137" s="344"/>
      <c r="G137" s="345"/>
      <c r="H137" s="346"/>
      <c r="I137" s="143"/>
      <c r="J137" s="75"/>
      <c r="K137" s="75"/>
      <c r="L137" s="76"/>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TBD</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TBD</v>
      </c>
      <c r="F141" s="330"/>
      <c r="G141" s="331"/>
      <c r="H141" s="334"/>
      <c r="I141" s="335"/>
      <c r="J141" s="335"/>
      <c r="K141" s="335"/>
      <c r="L141" s="336"/>
      <c r="M141" s="44"/>
      <c r="O141" s="322"/>
    </row>
    <row r="142" spans="3:15" ht="53.45" customHeight="1" x14ac:dyDescent="0.35">
      <c r="C142" s="164"/>
      <c r="D142" s="158"/>
      <c r="E142" s="352"/>
      <c r="F142" s="359" t="str">
        <f>F7</f>
        <v>Manager Name</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TBD</v>
      </c>
      <c r="F144" s="330"/>
      <c r="G144" s="331"/>
      <c r="H144" s="330"/>
      <c r="I144" s="332"/>
      <c r="J144" s="332"/>
      <c r="K144" s="332"/>
      <c r="L144" s="333"/>
      <c r="M144" s="44"/>
      <c r="O144" s="322"/>
    </row>
    <row r="145" spans="3:17" ht="135.94999999999999" customHeight="1" x14ac:dyDescent="0.35">
      <c r="C145" s="164"/>
      <c r="D145" s="158"/>
      <c r="E145" s="129" t="str">
        <f>CONCATENATE("End-of-year meeting - ", TEXT($F$11,"dd/mm/yyyy"))</f>
        <v>End-of-year meeting - TBD</v>
      </c>
      <c r="F145" s="330"/>
      <c r="G145" s="331"/>
      <c r="H145" s="334"/>
      <c r="I145" s="335"/>
      <c r="J145" s="335"/>
      <c r="K145" s="335"/>
      <c r="L145" s="336"/>
      <c r="M145" s="44"/>
      <c r="O145" s="322"/>
    </row>
    <row r="146" spans="3:17" ht="60.6" customHeight="1" x14ac:dyDescent="0.35">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x14ac:dyDescent="0.35">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x14ac:dyDescent="0.35">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TBD</v>
      </c>
      <c r="F154" s="224" t="s">
        <v>64</v>
      </c>
      <c r="G154" s="368" t="str">
        <f>'CC 2023'!E2</f>
        <v>Employee Name</v>
      </c>
      <c r="H154" s="368"/>
      <c r="I154" s="368"/>
      <c r="J154" s="368" t="str">
        <f>F7</f>
        <v>Manager Name</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TBD</v>
      </c>
      <c r="F156" s="224" t="s">
        <v>64</v>
      </c>
      <c r="G156" s="361" t="str">
        <f>'CC 2023'!E2</f>
        <v>Employee Name</v>
      </c>
      <c r="H156" s="361"/>
      <c r="I156" s="361"/>
      <c r="J156" s="361" t="str">
        <f>F7</f>
        <v>Manager Name</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x14ac:dyDescent="0.35">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TBD</v>
      </c>
      <c r="F159" s="224" t="s">
        <v>64</v>
      </c>
      <c r="G159" s="377" t="str">
        <f>'CC 2023'!E2</f>
        <v>Employee Name</v>
      </c>
      <c r="H159" s="378"/>
      <c r="I159" s="379"/>
      <c r="J159" s="380" t="str">
        <f>F7</f>
        <v>Manager Name</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TBD</v>
      </c>
      <c r="F161" s="224" t="s">
        <v>64</v>
      </c>
      <c r="G161" s="391" t="str">
        <f>'CC 2023'!E2</f>
        <v>Employee Name</v>
      </c>
      <c r="H161" s="392"/>
      <c r="I161" s="393"/>
      <c r="J161" s="394" t="str">
        <f>F7</f>
        <v>Manager Name</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x14ac:dyDescent="0.35">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TBD</v>
      </c>
      <c r="F164" s="224" t="s">
        <v>64</v>
      </c>
      <c r="G164" s="377" t="str">
        <f>'CC 2023'!E2</f>
        <v>Employee Name</v>
      </c>
      <c r="H164" s="378"/>
      <c r="I164" s="379"/>
      <c r="J164" s="377" t="str">
        <f>F7</f>
        <v>Manager Name</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TBD</v>
      </c>
      <c r="F166" s="224" t="s">
        <v>64</v>
      </c>
      <c r="G166" s="391" t="str">
        <f>'CC 2023'!E2</f>
        <v>Employee Name</v>
      </c>
      <c r="H166" s="392"/>
      <c r="I166" s="393"/>
      <c r="J166" s="391" t="str">
        <f>F7</f>
        <v>Manager Name</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x14ac:dyDescent="0.35">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TBD</v>
      </c>
      <c r="F169" s="224" t="s">
        <v>64</v>
      </c>
      <c r="G169" s="368" t="str">
        <f>'CC 2023'!E2</f>
        <v>Employee Name</v>
      </c>
      <c r="H169" s="368"/>
      <c r="I169" s="368"/>
      <c r="J169" s="368" t="str">
        <f>F7</f>
        <v>Manager Name</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TBD</v>
      </c>
      <c r="F171" s="224" t="s">
        <v>64</v>
      </c>
      <c r="G171" s="361" t="str">
        <f>'CC 2023'!E2</f>
        <v>Employee Name</v>
      </c>
      <c r="H171" s="361"/>
      <c r="I171" s="361"/>
      <c r="J171" s="361" t="str">
        <f>F7</f>
        <v>Manager Name</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t="str">
        <f>F7</f>
        <v>Manager Name</v>
      </c>
      <c r="K177" s="415"/>
      <c r="L177" s="416"/>
      <c r="M177" s="44"/>
      <c r="Q177" s="148"/>
    </row>
    <row r="178" spans="4:17" ht="111" customHeight="1" x14ac:dyDescent="0.35">
      <c r="D178" s="158"/>
      <c r="E178" s="139" t="str">
        <f>CONCATENATE("Mid-year meeting - ",TEXT($F$10,"dd/mm/yyyy"))</f>
        <v>Mid-year meeting - TBD</v>
      </c>
      <c r="F178" s="176"/>
      <c r="G178" s="373"/>
      <c r="H178" s="373"/>
      <c r="I178" s="373"/>
      <c r="J178" s="418"/>
      <c r="K178" s="418"/>
      <c r="L178" s="419"/>
      <c r="M178" s="44"/>
    </row>
    <row r="179" spans="4:17" ht="111" customHeight="1" x14ac:dyDescent="0.35">
      <c r="D179" s="158"/>
      <c r="E179" s="140" t="str">
        <f>CONCATENATE("End-of-year meeting - ", TEXT($F$11,"dd/mm/yyyy"))</f>
        <v>End-of-year meeting - TBD</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8" t="s">
        <v>80</v>
      </c>
      <c r="I186" s="428"/>
      <c r="J186" s="428"/>
      <c r="K186" s="428" t="s">
        <v>81</v>
      </c>
      <c r="L186" s="428"/>
      <c r="M186" s="44"/>
    </row>
    <row r="187" spans="4:17" ht="129.75" customHeight="1" x14ac:dyDescent="0.35">
      <c r="D187" s="158"/>
      <c r="E187" s="141" t="str">
        <f>CONCATENATE("Mid-year meeting - ",TEXT($F$10,"dd/mm/yyyy"))</f>
        <v>Mid-year meeting - TBD</v>
      </c>
      <c r="F187" s="422"/>
      <c r="G187" s="422"/>
      <c r="H187" s="422"/>
      <c r="I187" s="422"/>
      <c r="J187" s="422"/>
      <c r="K187" s="422"/>
      <c r="L187" s="422"/>
      <c r="M187" s="44"/>
    </row>
    <row r="188" spans="4:17" ht="129.75" customHeight="1" x14ac:dyDescent="0.35">
      <c r="D188" s="158"/>
      <c r="E188" s="142" t="str">
        <f>CONCATENATE("End-of-year meeting - ", TEXT($F$11,"dd/mm/yyyy"))</f>
        <v>End-of-year meeting - TBD</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rGfF7WBUwhD2Tn2mPlY5LtAipppE61ITGJttwGjuq2FpAW+iZPziuE75woEdrT4Xq25Ai32eDtbUQCK84TntgQ==" saltValue="yC2JrCnEldqT+UbARJF7UA==" spinCount="100000" sheet="1" formatCells="0" formatColumns="0" formatRows="0"/>
  <mergeCells count="286">
    <mergeCell ref="G170:I170"/>
    <mergeCell ref="J170:L170"/>
    <mergeCell ref="J169:L169"/>
    <mergeCell ref="G169:I169"/>
    <mergeCell ref="G160:I160"/>
    <mergeCell ref="J160:L160"/>
    <mergeCell ref="G161:I161"/>
    <mergeCell ref="J161:L161"/>
    <mergeCell ref="G162:I162"/>
    <mergeCell ref="J162:L162"/>
    <mergeCell ref="G155:I155"/>
    <mergeCell ref="G156:I156"/>
    <mergeCell ref="G157:I157"/>
    <mergeCell ref="J154:L154"/>
    <mergeCell ref="J155:L155"/>
    <mergeCell ref="J156:L156"/>
    <mergeCell ref="J157:L157"/>
    <mergeCell ref="J165:L165"/>
    <mergeCell ref="G167:I167"/>
    <mergeCell ref="J167:L167"/>
    <mergeCell ref="E88:E89"/>
    <mergeCell ref="E90:E91"/>
    <mergeCell ref="E94:E95"/>
    <mergeCell ref="F88:H88"/>
    <mergeCell ref="F89:H89"/>
    <mergeCell ref="F90:L90"/>
    <mergeCell ref="F94:L94"/>
    <mergeCell ref="J60:L60"/>
    <mergeCell ref="J61:L61"/>
    <mergeCell ref="J62:L62"/>
    <mergeCell ref="J65:L65"/>
    <mergeCell ref="F86:L86"/>
    <mergeCell ref="F87:L87"/>
    <mergeCell ref="J67:L67"/>
    <mergeCell ref="J68:L68"/>
    <mergeCell ref="G66:I66"/>
    <mergeCell ref="G67:I67"/>
    <mergeCell ref="G68:I68"/>
    <mergeCell ref="J54:L54"/>
    <mergeCell ref="J55:L55"/>
    <mergeCell ref="J56:L56"/>
    <mergeCell ref="J59:L59"/>
    <mergeCell ref="G54:I54"/>
    <mergeCell ref="G59:I59"/>
    <mergeCell ref="G60:I60"/>
    <mergeCell ref="G65:I65"/>
    <mergeCell ref="G61:I61"/>
    <mergeCell ref="G62:I62"/>
    <mergeCell ref="G56:I56"/>
    <mergeCell ref="G55:I55"/>
    <mergeCell ref="E2:H2"/>
    <mergeCell ref="O89:O97"/>
    <mergeCell ref="E71:L71"/>
    <mergeCell ref="E72:F72"/>
    <mergeCell ref="E73:F73"/>
    <mergeCell ref="E78:F78"/>
    <mergeCell ref="E53:E54"/>
    <mergeCell ref="E47:E48"/>
    <mergeCell ref="E49:E50"/>
    <mergeCell ref="F10:L10"/>
    <mergeCell ref="F11:L11"/>
    <mergeCell ref="E19:E22"/>
    <mergeCell ref="E15:E18"/>
    <mergeCell ref="E35:E36"/>
    <mergeCell ref="E37:E38"/>
    <mergeCell ref="J37:L37"/>
    <mergeCell ref="J38:L38"/>
    <mergeCell ref="J41:L41"/>
    <mergeCell ref="J42:L42"/>
    <mergeCell ref="J43:L43"/>
    <mergeCell ref="J44:L44"/>
    <mergeCell ref="J47:L47"/>
    <mergeCell ref="J48:L48"/>
    <mergeCell ref="J49:L49"/>
    <mergeCell ref="E29:E30"/>
    <mergeCell ref="E31:E32"/>
    <mergeCell ref="E41:E42"/>
    <mergeCell ref="J29:L29"/>
    <mergeCell ref="J31:L31"/>
    <mergeCell ref="J30:L30"/>
    <mergeCell ref="J32:L32"/>
    <mergeCell ref="J35:L35"/>
    <mergeCell ref="J36:L36"/>
    <mergeCell ref="G29:I29"/>
    <mergeCell ref="G30:I30"/>
    <mergeCell ref="G35:I35"/>
    <mergeCell ref="G36:I36"/>
    <mergeCell ref="G41:I41"/>
    <mergeCell ref="G42:I42"/>
    <mergeCell ref="F6:L6"/>
    <mergeCell ref="F7:L7"/>
    <mergeCell ref="E84:L84"/>
    <mergeCell ref="F8:L8"/>
    <mergeCell ref="E55:E56"/>
    <mergeCell ref="E75:F75"/>
    <mergeCell ref="E76:F76"/>
    <mergeCell ref="E74:F74"/>
    <mergeCell ref="E77:F77"/>
    <mergeCell ref="E79:F79"/>
    <mergeCell ref="E43:E44"/>
    <mergeCell ref="L15:L16"/>
    <mergeCell ref="L19:L20"/>
    <mergeCell ref="F64:L64"/>
    <mergeCell ref="E65:E66"/>
    <mergeCell ref="E67:E68"/>
    <mergeCell ref="J66:L66"/>
    <mergeCell ref="E14:F14"/>
    <mergeCell ref="F28:L28"/>
    <mergeCell ref="E26:L26"/>
    <mergeCell ref="F46:L46"/>
    <mergeCell ref="F52:L52"/>
    <mergeCell ref="F58:L58"/>
    <mergeCell ref="F34:L34"/>
    <mergeCell ref="F97:G97"/>
    <mergeCell ref="H97:L97"/>
    <mergeCell ref="F107:G107"/>
    <mergeCell ref="E159:E160"/>
    <mergeCell ref="F158:L158"/>
    <mergeCell ref="E59:E60"/>
    <mergeCell ref="E80:F80"/>
    <mergeCell ref="E85:F85"/>
    <mergeCell ref="E61:E62"/>
    <mergeCell ref="E156:E157"/>
    <mergeCell ref="F153:L153"/>
    <mergeCell ref="E154:E155"/>
    <mergeCell ref="F91:G91"/>
    <mergeCell ref="F92:G92"/>
    <mergeCell ref="F93:G93"/>
    <mergeCell ref="H91:L91"/>
    <mergeCell ref="H92:L92"/>
    <mergeCell ref="H93:L93"/>
    <mergeCell ref="F95:G95"/>
    <mergeCell ref="H95:L95"/>
    <mergeCell ref="F96:G96"/>
    <mergeCell ref="H96:L96"/>
    <mergeCell ref="H107:L107"/>
    <mergeCell ref="F108:G108"/>
    <mergeCell ref="F98:L98"/>
    <mergeCell ref="F99:L99"/>
    <mergeCell ref="E169:E170"/>
    <mergeCell ref="E175:L175"/>
    <mergeCell ref="F168:L168"/>
    <mergeCell ref="J166:L166"/>
    <mergeCell ref="G166:I166"/>
    <mergeCell ref="G165:I165"/>
    <mergeCell ref="F134:L134"/>
    <mergeCell ref="F135:L135"/>
    <mergeCell ref="E136:E137"/>
    <mergeCell ref="F136:H136"/>
    <mergeCell ref="F137:H137"/>
    <mergeCell ref="H108:L108"/>
    <mergeCell ref="F109:G109"/>
    <mergeCell ref="F110:L110"/>
    <mergeCell ref="F122:L122"/>
    <mergeCell ref="F111:L111"/>
    <mergeCell ref="F112:H112"/>
    <mergeCell ref="F113:H113"/>
    <mergeCell ref="F123:L123"/>
    <mergeCell ref="F124:H124"/>
    <mergeCell ref="F125:H125"/>
    <mergeCell ref="G159:I159"/>
    <mergeCell ref="H188:J188"/>
    <mergeCell ref="F188:G188"/>
    <mergeCell ref="K188:L188"/>
    <mergeCell ref="H186:J186"/>
    <mergeCell ref="F186:G186"/>
    <mergeCell ref="K186:L186"/>
    <mergeCell ref="K187:L187"/>
    <mergeCell ref="F187:G187"/>
    <mergeCell ref="H187:J187"/>
    <mergeCell ref="E184:L184"/>
    <mergeCell ref="E176:L176"/>
    <mergeCell ref="E151:L151"/>
    <mergeCell ref="J179:L179"/>
    <mergeCell ref="E183:L183"/>
    <mergeCell ref="F163:L163"/>
    <mergeCell ref="E164:E165"/>
    <mergeCell ref="E166:E167"/>
    <mergeCell ref="J178:L178"/>
    <mergeCell ref="E171:E172"/>
    <mergeCell ref="J177:L177"/>
    <mergeCell ref="F152:L152"/>
    <mergeCell ref="G172:I172"/>
    <mergeCell ref="J172:L172"/>
    <mergeCell ref="J171:L171"/>
    <mergeCell ref="G171:I171"/>
    <mergeCell ref="G177:I177"/>
    <mergeCell ref="G178:I178"/>
    <mergeCell ref="G179:I179"/>
    <mergeCell ref="E161:E162"/>
    <mergeCell ref="J159:L159"/>
    <mergeCell ref="J164:L164"/>
    <mergeCell ref="G164:I164"/>
    <mergeCell ref="G154:I154"/>
    <mergeCell ref="O113:O121"/>
    <mergeCell ref="E114:E115"/>
    <mergeCell ref="F114:L114"/>
    <mergeCell ref="E118:E119"/>
    <mergeCell ref="F118:L118"/>
    <mergeCell ref="E112:E113"/>
    <mergeCell ref="O101:O109"/>
    <mergeCell ref="E102:E103"/>
    <mergeCell ref="F102:L102"/>
    <mergeCell ref="E106:E107"/>
    <mergeCell ref="F106:L106"/>
    <mergeCell ref="E100:E101"/>
    <mergeCell ref="F100:H100"/>
    <mergeCell ref="F101:H101"/>
    <mergeCell ref="F104:G104"/>
    <mergeCell ref="F105:G105"/>
    <mergeCell ref="F103:G103"/>
    <mergeCell ref="H103:L103"/>
    <mergeCell ref="H104:L104"/>
    <mergeCell ref="H105:L105"/>
    <mergeCell ref="H109:L109"/>
    <mergeCell ref="F119:G119"/>
    <mergeCell ref="H119:L119"/>
    <mergeCell ref="F120:G120"/>
    <mergeCell ref="O125:O133"/>
    <mergeCell ref="E126:E127"/>
    <mergeCell ref="F126:L126"/>
    <mergeCell ref="E130:E131"/>
    <mergeCell ref="F130:L130"/>
    <mergeCell ref="E124:E125"/>
    <mergeCell ref="F132:G132"/>
    <mergeCell ref="H132:L132"/>
    <mergeCell ref="F133:G133"/>
    <mergeCell ref="H133:L133"/>
    <mergeCell ref="O137:O145"/>
    <mergeCell ref="E138:E139"/>
    <mergeCell ref="F138:L138"/>
    <mergeCell ref="E142:E143"/>
    <mergeCell ref="F142:L142"/>
    <mergeCell ref="F143:G143"/>
    <mergeCell ref="H143:L143"/>
    <mergeCell ref="F144:G144"/>
    <mergeCell ref="H144:L144"/>
    <mergeCell ref="F145:G145"/>
    <mergeCell ref="H145:L145"/>
    <mergeCell ref="F140:G140"/>
    <mergeCell ref="F141:G141"/>
    <mergeCell ref="F139:G139"/>
    <mergeCell ref="H139:L139"/>
    <mergeCell ref="H140:L140"/>
    <mergeCell ref="H141:L141"/>
    <mergeCell ref="H120:L120"/>
    <mergeCell ref="F121:G121"/>
    <mergeCell ref="H121:L121"/>
    <mergeCell ref="F131:G131"/>
    <mergeCell ref="H131:L131"/>
    <mergeCell ref="F115:G115"/>
    <mergeCell ref="F116:G116"/>
    <mergeCell ref="F117:G117"/>
    <mergeCell ref="H115:L115"/>
    <mergeCell ref="H116:L116"/>
    <mergeCell ref="H117:L117"/>
    <mergeCell ref="F128:G128"/>
    <mergeCell ref="F129:G129"/>
    <mergeCell ref="F127:G127"/>
    <mergeCell ref="H127:L127"/>
    <mergeCell ref="H128:L128"/>
    <mergeCell ref="H129:L129"/>
    <mergeCell ref="G47:I47"/>
    <mergeCell ref="G48:I48"/>
    <mergeCell ref="G53:I53"/>
    <mergeCell ref="G50:I50"/>
    <mergeCell ref="G44:I44"/>
    <mergeCell ref="G38:I38"/>
    <mergeCell ref="G32:I32"/>
    <mergeCell ref="G31:I31"/>
    <mergeCell ref="G37:I37"/>
    <mergeCell ref="G43:I43"/>
    <mergeCell ref="G49:I49"/>
    <mergeCell ref="F40:L40"/>
    <mergeCell ref="J50:L50"/>
    <mergeCell ref="J53:L53"/>
    <mergeCell ref="E25:F25"/>
    <mergeCell ref="G14:K14"/>
    <mergeCell ref="G15:K15"/>
    <mergeCell ref="G16:K16"/>
    <mergeCell ref="G17:K17"/>
    <mergeCell ref="G18:L18"/>
    <mergeCell ref="G19:K19"/>
    <mergeCell ref="G20:K20"/>
    <mergeCell ref="G21:K21"/>
    <mergeCell ref="G22:L22"/>
  </mergeCells>
  <conditionalFormatting sqref="E4">
    <cfRule type="containsText" dxfId="834" priority="661" operator="containsText" text="Stop">
      <formula>NOT(ISERROR(SEARCH("Stop",E4)))</formula>
    </cfRule>
    <cfRule type="containsText" dxfId="833" priority="662" operator="containsText" text="Start">
      <formula>NOT(ISERROR(SEARCH("Start",E4)))</formula>
    </cfRule>
    <cfRule type="containsText" dxfId="832" priority="660" operator="containsText" text="Continue">
      <formula>NOT(ISERROR(SEARCH("Continue",E4)))</formula>
    </cfRule>
  </conditionalFormatting>
  <conditionalFormatting sqref="E14">
    <cfRule type="containsText" dxfId="831" priority="2039" operator="containsText" text="Continue">
      <formula>NOT(ISERROR(SEARCH("Continue",E14)))</formula>
    </cfRule>
    <cfRule type="containsText" dxfId="830" priority="2040" operator="containsText" text="Stop">
      <formula>NOT(ISERROR(SEARCH("Stop",E14)))</formula>
    </cfRule>
    <cfRule type="containsText" dxfId="829" priority="2041" operator="containsText" text="Start">
      <formula>NOT(ISERROR(SEARCH("Start",E14)))</formula>
    </cfRule>
  </conditionalFormatting>
  <conditionalFormatting sqref="E28 E154 G154 E156 G156">
    <cfRule type="containsText" dxfId="828" priority="881" operator="containsText" text="N/A">
      <formula>NOT(ISERROR(SEARCH("N/A",E28)))</formula>
    </cfRule>
    <cfRule type="containsText" dxfId="827" priority="878" operator="containsText" text="Continue">
      <formula>NOT(ISERROR(SEARCH("Continue",E28)))</formula>
    </cfRule>
    <cfRule type="containsText" dxfId="826" priority="883" operator="containsText" text="Meets">
      <formula>NOT(ISERROR(SEARCH("Meets",E28)))</formula>
    </cfRule>
    <cfRule type="containsText" dxfId="825" priority="882" operator="containsText" text="Exceeds">
      <formula>NOT(ISERROR(SEARCH("Exceeds",E28)))</formula>
    </cfRule>
    <cfRule type="containsText" dxfId="824" priority="880" operator="containsText" text="Start">
      <formula>NOT(ISERROR(SEARCH("Start",E28)))</formula>
    </cfRule>
    <cfRule type="containsText" dxfId="823" priority="879" operator="containsText" text="Stop">
      <formula>NOT(ISERROR(SEARCH("Stop",E28)))</formula>
    </cfRule>
    <cfRule type="containsText" dxfId="822" priority="884" operator="containsText" text="Under">
      <formula>NOT(ISERROR(SEARCH("Under",E28)))</formula>
    </cfRule>
  </conditionalFormatting>
  <conditionalFormatting sqref="E34">
    <cfRule type="containsText" dxfId="821" priority="836" operator="containsText" text="Stop">
      <formula>NOT(ISERROR(SEARCH("Stop",E34)))</formula>
    </cfRule>
    <cfRule type="containsText" dxfId="820" priority="841" operator="containsText" text="Under">
      <formula>NOT(ISERROR(SEARCH("Under",E34)))</formula>
    </cfRule>
    <cfRule type="containsText" dxfId="819" priority="840" operator="containsText" text="Meets">
      <formula>NOT(ISERROR(SEARCH("Meets",E34)))</formula>
    </cfRule>
    <cfRule type="containsText" dxfId="818" priority="839" operator="containsText" text="Exceeds">
      <formula>NOT(ISERROR(SEARCH("Exceeds",E34)))</formula>
    </cfRule>
    <cfRule type="containsText" dxfId="817" priority="838" operator="containsText" text="N/A">
      <formula>NOT(ISERROR(SEARCH("N/A",E34)))</formula>
    </cfRule>
    <cfRule type="containsText" dxfId="816" priority="837" operator="containsText" text="Start">
      <formula>NOT(ISERROR(SEARCH("Start",E34)))</formula>
    </cfRule>
    <cfRule type="containsText" dxfId="815" priority="835" operator="containsText" text="Continue">
      <formula>NOT(ISERROR(SEARCH("Continue",E34)))</formula>
    </cfRule>
  </conditionalFormatting>
  <conditionalFormatting sqref="E40">
    <cfRule type="containsText" dxfId="814" priority="803" operator="containsText" text="Exceeds">
      <formula>NOT(ISERROR(SEARCH("Exceeds",E40)))</formula>
    </cfRule>
    <cfRule type="containsText" dxfId="813" priority="804" operator="containsText" text="Meets">
      <formula>NOT(ISERROR(SEARCH("Meets",E40)))</formula>
    </cfRule>
    <cfRule type="containsText" dxfId="812" priority="805" operator="containsText" text="Under">
      <formula>NOT(ISERROR(SEARCH("Under",E40)))</formula>
    </cfRule>
    <cfRule type="containsText" dxfId="811" priority="799" operator="containsText" text="Continue">
      <formula>NOT(ISERROR(SEARCH("Continue",E40)))</formula>
    </cfRule>
    <cfRule type="containsText" dxfId="810" priority="801" operator="containsText" text="Start">
      <formula>NOT(ISERROR(SEARCH("Start",E40)))</formula>
    </cfRule>
    <cfRule type="containsText" dxfId="809" priority="802" operator="containsText" text="N/A">
      <formula>NOT(ISERROR(SEARCH("N/A",E40)))</formula>
    </cfRule>
    <cfRule type="containsText" dxfId="808" priority="800" operator="containsText" text="Stop">
      <formula>NOT(ISERROR(SEARCH("Stop",E40)))</formula>
    </cfRule>
  </conditionalFormatting>
  <conditionalFormatting sqref="E46">
    <cfRule type="containsText" dxfId="807" priority="769" operator="containsText" text="Under">
      <formula>NOT(ISERROR(SEARCH("Under",E46)))</formula>
    </cfRule>
    <cfRule type="containsText" dxfId="806" priority="768" operator="containsText" text="Meets">
      <formula>NOT(ISERROR(SEARCH("Meets",E46)))</formula>
    </cfRule>
    <cfRule type="containsText" dxfId="805" priority="767" operator="containsText" text="Exceeds">
      <formula>NOT(ISERROR(SEARCH("Exceeds",E46)))</formula>
    </cfRule>
    <cfRule type="containsText" dxfId="804" priority="766" operator="containsText" text="N/A">
      <formula>NOT(ISERROR(SEARCH("N/A",E46)))</formula>
    </cfRule>
    <cfRule type="containsText" dxfId="803" priority="765" operator="containsText" text="Start">
      <formula>NOT(ISERROR(SEARCH("Start",E46)))</formula>
    </cfRule>
    <cfRule type="containsText" dxfId="802" priority="764" operator="containsText" text="Stop">
      <formula>NOT(ISERROR(SEARCH("Stop",E46)))</formula>
    </cfRule>
    <cfRule type="containsText" dxfId="801" priority="763" operator="containsText" text="Continue">
      <formula>NOT(ISERROR(SEARCH("Continue",E46)))</formula>
    </cfRule>
  </conditionalFormatting>
  <conditionalFormatting sqref="E52">
    <cfRule type="containsText" dxfId="800" priority="730" operator="containsText" text="N/A">
      <formula>NOT(ISERROR(SEARCH("N/A",E52)))</formula>
    </cfRule>
    <cfRule type="containsText" dxfId="799" priority="729" operator="containsText" text="Start">
      <formula>NOT(ISERROR(SEARCH("Start",E52)))</formula>
    </cfRule>
    <cfRule type="containsText" dxfId="798" priority="728" operator="containsText" text="Stop">
      <formula>NOT(ISERROR(SEARCH("Stop",E52)))</formula>
    </cfRule>
    <cfRule type="containsText" dxfId="797" priority="733" operator="containsText" text="Under">
      <formula>NOT(ISERROR(SEARCH("Under",E52)))</formula>
    </cfRule>
    <cfRule type="containsText" dxfId="796" priority="732" operator="containsText" text="Meets">
      <formula>NOT(ISERROR(SEARCH("Meets",E52)))</formula>
    </cfRule>
    <cfRule type="containsText" dxfId="795" priority="727" operator="containsText" text="Continue">
      <formula>NOT(ISERROR(SEARCH("Continue",E52)))</formula>
    </cfRule>
    <cfRule type="containsText" dxfId="794" priority="731" operator="containsText" text="Exceeds">
      <formula>NOT(ISERROR(SEARCH("Exceeds",E52)))</formula>
    </cfRule>
  </conditionalFormatting>
  <conditionalFormatting sqref="E58">
    <cfRule type="containsText" dxfId="793" priority="693" operator="containsText" text="Start">
      <formula>NOT(ISERROR(SEARCH("Start",E58)))</formula>
    </cfRule>
    <cfRule type="containsText" dxfId="792" priority="694" operator="containsText" text="N/A">
      <formula>NOT(ISERROR(SEARCH("N/A",E58)))</formula>
    </cfRule>
    <cfRule type="containsText" dxfId="791" priority="696" operator="containsText" text="Meets">
      <formula>NOT(ISERROR(SEARCH("Meets",E58)))</formula>
    </cfRule>
    <cfRule type="containsText" dxfId="790" priority="695" operator="containsText" text="Exceeds">
      <formula>NOT(ISERROR(SEARCH("Exceeds",E58)))</formula>
    </cfRule>
    <cfRule type="containsText" dxfId="789" priority="697" operator="containsText" text="Under">
      <formula>NOT(ISERROR(SEARCH("Under",E58)))</formula>
    </cfRule>
    <cfRule type="containsText" dxfId="788" priority="691" operator="containsText" text="Continue">
      <formula>NOT(ISERROR(SEARCH("Continue",E58)))</formula>
    </cfRule>
    <cfRule type="containsText" dxfId="787" priority="692" operator="containsText" text="Stop">
      <formula>NOT(ISERROR(SEARCH("Stop",E58)))</formula>
    </cfRule>
  </conditionalFormatting>
  <conditionalFormatting sqref="E64">
    <cfRule type="containsText" dxfId="786" priority="376" operator="containsText" text="Stop">
      <formula>NOT(ISERROR(SEARCH("Stop",E64)))</formula>
    </cfRule>
    <cfRule type="containsText" dxfId="785" priority="377" operator="containsText" text="Start">
      <formula>NOT(ISERROR(SEARCH("Start",E64)))</formula>
    </cfRule>
    <cfRule type="containsText" dxfId="784" priority="379" operator="containsText" text="Exceeds">
      <formula>NOT(ISERROR(SEARCH("Exceeds",E64)))</formula>
    </cfRule>
    <cfRule type="containsText" dxfId="783" priority="380" operator="containsText" text="Meets">
      <formula>NOT(ISERROR(SEARCH("Meets",E64)))</formula>
    </cfRule>
    <cfRule type="containsText" dxfId="782" priority="381" operator="containsText" text="Under">
      <formula>NOT(ISERROR(SEARCH("Under",E64)))</formula>
    </cfRule>
    <cfRule type="containsText" dxfId="781" priority="378" operator="containsText" text="N/A">
      <formula>NOT(ISERROR(SEARCH("N/A",E64)))</formula>
    </cfRule>
    <cfRule type="containsText" dxfId="780" priority="375" operator="containsText" text="Continue">
      <formula>NOT(ISERROR(SEARCH("Continue",E64)))</formula>
    </cfRule>
  </conditionalFormatting>
  <conditionalFormatting sqref="E159 E164">
    <cfRule type="containsText" dxfId="779" priority="1019" operator="containsText" text="Exceeds">
      <formula>NOT(ISERROR(SEARCH("Exceeds",E159)))</formula>
    </cfRule>
    <cfRule type="containsText" dxfId="778" priority="1018" operator="containsText" text="N/A">
      <formula>NOT(ISERROR(SEARCH("N/A",E159)))</formula>
    </cfRule>
    <cfRule type="containsText" dxfId="777" priority="1017" operator="containsText" text="Start">
      <formula>NOT(ISERROR(SEARCH("Start",E159)))</formula>
    </cfRule>
    <cfRule type="containsText" dxfId="776" priority="1016" operator="containsText" text="Stop">
      <formula>NOT(ISERROR(SEARCH("Stop",E159)))</formula>
    </cfRule>
    <cfRule type="containsText" dxfId="775" priority="1015" operator="containsText" text="Continue">
      <formula>NOT(ISERROR(SEARCH("Continue",E159)))</formula>
    </cfRule>
    <cfRule type="containsText" dxfId="774" priority="1020" operator="containsText" text="Meets">
      <formula>NOT(ISERROR(SEARCH("Meets",E159)))</formula>
    </cfRule>
    <cfRule type="containsText" dxfId="773" priority="1021" operator="containsText" text="Under">
      <formula>NOT(ISERROR(SEARCH("Under",E159)))</formula>
    </cfRule>
  </conditionalFormatting>
  <conditionalFormatting sqref="E161 E166">
    <cfRule type="containsText" dxfId="772" priority="1007" operator="containsText" text="Under">
      <formula>NOT(ISERROR(SEARCH("Under",E161)))</formula>
    </cfRule>
    <cfRule type="containsText" dxfId="771" priority="1006" operator="containsText" text="Meets">
      <formula>NOT(ISERROR(SEARCH("Meets",E161)))</formula>
    </cfRule>
    <cfRule type="containsText" dxfId="770" priority="1005" operator="containsText" text="Exceeds">
      <formula>NOT(ISERROR(SEARCH("Exceeds",E161)))</formula>
    </cfRule>
    <cfRule type="containsText" dxfId="769" priority="1004" operator="containsText" text="N/A">
      <formula>NOT(ISERROR(SEARCH("N/A",E161)))</formula>
    </cfRule>
    <cfRule type="containsText" dxfId="768" priority="1003" operator="containsText" text="Start">
      <formula>NOT(ISERROR(SEARCH("Start",E161)))</formula>
    </cfRule>
    <cfRule type="containsText" dxfId="767" priority="1002" operator="containsText" text="Stop">
      <formula>NOT(ISERROR(SEARCH("Stop",E161)))</formula>
    </cfRule>
    <cfRule type="containsText" dxfId="766" priority="1001" operator="containsText" text="Continue">
      <formula>NOT(ISERROR(SEARCH("Continue",E161)))</formula>
    </cfRule>
  </conditionalFormatting>
  <conditionalFormatting sqref="E169">
    <cfRule type="containsText" dxfId="765" priority="1068" operator="containsText" text="Start">
      <formula>NOT(ISERROR(SEARCH("Start",E169)))</formula>
    </cfRule>
    <cfRule type="containsText" dxfId="764" priority="1067" operator="containsText" text="Stop">
      <formula>NOT(ISERROR(SEARCH("Stop",E169)))</formula>
    </cfRule>
    <cfRule type="containsText" dxfId="763" priority="1066" operator="containsText" text="Continue">
      <formula>NOT(ISERROR(SEARCH("Continue",E169)))</formula>
    </cfRule>
    <cfRule type="containsText" dxfId="762" priority="1072" operator="containsText" text="Under">
      <formula>NOT(ISERROR(SEARCH("Under",E169)))</formula>
    </cfRule>
    <cfRule type="containsText" dxfId="761" priority="1071" operator="containsText" text="Meets">
      <formula>NOT(ISERROR(SEARCH("Meets",E169)))</formula>
    </cfRule>
    <cfRule type="containsText" dxfId="760" priority="1070" operator="containsText" text="Exceeds">
      <formula>NOT(ISERROR(SEARCH("Exceeds",E169)))</formula>
    </cfRule>
    <cfRule type="containsText" dxfId="759" priority="1069" operator="containsText" text="N/A">
      <formula>NOT(ISERROR(SEARCH("N/A",E169)))</formula>
    </cfRule>
  </conditionalFormatting>
  <conditionalFormatting sqref="E171">
    <cfRule type="containsText" dxfId="758" priority="925" operator="containsText" text="N/A">
      <formula>NOT(ISERROR(SEARCH("N/A",E171)))</formula>
    </cfRule>
    <cfRule type="containsText" dxfId="757" priority="926" operator="containsText" text="Exceeds">
      <formula>NOT(ISERROR(SEARCH("Exceeds",E171)))</formula>
    </cfRule>
    <cfRule type="containsText" dxfId="756" priority="927" operator="containsText" text="Meets">
      <formula>NOT(ISERROR(SEARCH("Meets",E171)))</formula>
    </cfRule>
    <cfRule type="containsText" dxfId="755" priority="928" operator="containsText" text="Under">
      <formula>NOT(ISERROR(SEARCH("Under",E171)))</formula>
    </cfRule>
    <cfRule type="containsText" dxfId="754" priority="922" operator="containsText" text="Continue">
      <formula>NOT(ISERROR(SEARCH("Continue",E171)))</formula>
    </cfRule>
    <cfRule type="containsText" dxfId="753" priority="923" operator="containsText" text="Stop">
      <formula>NOT(ISERROR(SEARCH("Stop",E171)))</formula>
    </cfRule>
    <cfRule type="containsText" dxfId="752" priority="924" operator="containsText" text="Start">
      <formula>NOT(ISERROR(SEARCH("Start",E171)))</formula>
    </cfRule>
  </conditionalFormatting>
  <conditionalFormatting sqref="E12:L13">
    <cfRule type="containsText" dxfId="751" priority="654" operator="containsText" text="Continue">
      <formula>NOT(ISERROR(SEARCH("Continue",E12)))</formula>
    </cfRule>
    <cfRule type="containsText" dxfId="750" priority="655" operator="containsText" text="Stop">
      <formula>NOT(ISERROR(SEARCH("Stop",E12)))</formula>
    </cfRule>
    <cfRule type="containsText" dxfId="749" priority="656" operator="containsText" text="Start">
      <formula>NOT(ISERROR(SEARCH("Start",E12)))</formula>
    </cfRule>
  </conditionalFormatting>
  <conditionalFormatting sqref="F32">
    <cfRule type="dataBar" priority="123">
      <dataBar>
        <cfvo type="num" val="0"/>
        <cfvo type="num" val="1"/>
        <color theme="0" tint="-0.249977111117893"/>
      </dataBar>
      <extLst>
        <ext xmlns:x14="http://schemas.microsoft.com/office/spreadsheetml/2009/9/main" uri="{B025F937-C7B1-47D3-B67F-A62EFF666E3E}">
          <x14:id>{A8F8C207-A56F-4306-89B1-2D1C71F5C64E}</x14:id>
        </ext>
      </extLst>
    </cfRule>
  </conditionalFormatting>
  <conditionalFormatting sqref="F38 F36">
    <cfRule type="dataBar" priority="297">
      <dataBar>
        <cfvo type="num" val="0"/>
        <cfvo type="num" val="1"/>
        <color theme="0" tint="-0.249977111117893"/>
      </dataBar>
      <extLst>
        <ext xmlns:x14="http://schemas.microsoft.com/office/spreadsheetml/2009/9/main" uri="{B025F937-C7B1-47D3-B67F-A62EFF666E3E}">
          <x14:id>{F24FF897-AF89-4046-8F6E-77CF9B9646D9}</x14:id>
        </ext>
      </extLst>
    </cfRule>
  </conditionalFormatting>
  <conditionalFormatting sqref="F42">
    <cfRule type="dataBar" priority="121">
      <dataBar>
        <cfvo type="num" val="0"/>
        <cfvo type="num" val="1"/>
        <color theme="0" tint="-0.249977111117893"/>
      </dataBar>
      <extLst>
        <ext xmlns:x14="http://schemas.microsoft.com/office/spreadsheetml/2009/9/main" uri="{B025F937-C7B1-47D3-B67F-A62EFF666E3E}">
          <x14:id>{298F2B64-A92E-4A64-886A-DC818E592776}</x14:id>
        </ext>
      </extLst>
    </cfRule>
  </conditionalFormatting>
  <conditionalFormatting sqref="F44">
    <cfRule type="dataBar" priority="268">
      <dataBar>
        <cfvo type="num" val="0"/>
        <cfvo type="num" val="1"/>
        <color theme="0" tint="-0.249977111117893"/>
      </dataBar>
      <extLst>
        <ext xmlns:x14="http://schemas.microsoft.com/office/spreadsheetml/2009/9/main" uri="{B025F937-C7B1-47D3-B67F-A62EFF666E3E}">
          <x14:id>{CBB1FAA9-C97C-47BC-8B69-ADA007A5E98A}</x14:id>
        </ext>
      </extLst>
    </cfRule>
  </conditionalFormatting>
  <conditionalFormatting sqref="F48">
    <cfRule type="dataBar" priority="120">
      <dataBar>
        <cfvo type="num" val="0"/>
        <cfvo type="num" val="1"/>
        <color theme="0" tint="-0.249977111117893"/>
      </dataBar>
      <extLst>
        <ext xmlns:x14="http://schemas.microsoft.com/office/spreadsheetml/2009/9/main" uri="{B025F937-C7B1-47D3-B67F-A62EFF666E3E}">
          <x14:id>{ECD0F364-FBC4-4FA7-B94C-CC814058D0B9}</x14:id>
        </ext>
      </extLst>
    </cfRule>
  </conditionalFormatting>
  <conditionalFormatting sqref="F50">
    <cfRule type="dataBar" priority="239">
      <dataBar>
        <cfvo type="num" val="0"/>
        <cfvo type="num" val="1"/>
        <color theme="0" tint="-0.249977111117893"/>
      </dataBar>
      <extLst>
        <ext xmlns:x14="http://schemas.microsoft.com/office/spreadsheetml/2009/9/main" uri="{B025F937-C7B1-47D3-B67F-A62EFF666E3E}">
          <x14:id>{3EE64423-439D-4ABC-97E3-73EAFE780581}</x14:id>
        </ext>
      </extLst>
    </cfRule>
  </conditionalFormatting>
  <conditionalFormatting sqref="F54">
    <cfRule type="dataBar" priority="118">
      <dataBar>
        <cfvo type="num" val="0"/>
        <cfvo type="num" val="1"/>
        <color theme="0" tint="-0.249977111117893"/>
      </dataBar>
      <extLst>
        <ext xmlns:x14="http://schemas.microsoft.com/office/spreadsheetml/2009/9/main" uri="{B025F937-C7B1-47D3-B67F-A62EFF666E3E}">
          <x14:id>{51F35C33-8DF7-4939-A375-329B68D1DB6D}</x14:id>
        </ext>
      </extLst>
    </cfRule>
  </conditionalFormatting>
  <conditionalFormatting sqref="F56">
    <cfRule type="dataBar" priority="210">
      <dataBar>
        <cfvo type="num" val="0"/>
        <cfvo type="num" val="1"/>
        <color theme="0" tint="-0.249977111117893"/>
      </dataBar>
      <extLst>
        <ext xmlns:x14="http://schemas.microsoft.com/office/spreadsheetml/2009/9/main" uri="{B025F937-C7B1-47D3-B67F-A62EFF666E3E}">
          <x14:id>{F8490C26-567B-4835-8A33-F3CD27733B43}</x14:id>
        </ext>
      </extLst>
    </cfRule>
  </conditionalFormatting>
  <conditionalFormatting sqref="F60">
    <cfRule type="dataBar" priority="119">
      <dataBar>
        <cfvo type="num" val="0"/>
        <cfvo type="num" val="1"/>
        <color theme="0" tint="-0.249977111117893"/>
      </dataBar>
      <extLst>
        <ext xmlns:x14="http://schemas.microsoft.com/office/spreadsheetml/2009/9/main" uri="{B025F937-C7B1-47D3-B67F-A62EFF666E3E}">
          <x14:id>{B6DEB625-8700-4790-9BD3-ECAF92DB4B87}</x14:id>
        </ext>
      </extLst>
    </cfRule>
  </conditionalFormatting>
  <conditionalFormatting sqref="F62">
    <cfRule type="dataBar" priority="181">
      <dataBar>
        <cfvo type="num" val="0"/>
        <cfvo type="num" val="1"/>
        <color theme="0" tint="-0.249977111117893"/>
      </dataBar>
      <extLst>
        <ext xmlns:x14="http://schemas.microsoft.com/office/spreadsheetml/2009/9/main" uri="{B025F937-C7B1-47D3-B67F-A62EFF666E3E}">
          <x14:id>{321F5CFA-3979-4DE5-92BF-2CCD199EF76A}</x14:id>
        </ext>
      </extLst>
    </cfRule>
  </conditionalFormatting>
  <conditionalFormatting sqref="F66">
    <cfRule type="dataBar" priority="117">
      <dataBar>
        <cfvo type="num" val="0"/>
        <cfvo type="num" val="1"/>
        <color theme="0" tint="-0.249977111117893"/>
      </dataBar>
      <extLst>
        <ext xmlns:x14="http://schemas.microsoft.com/office/spreadsheetml/2009/9/main" uri="{B025F937-C7B1-47D3-B67F-A62EFF666E3E}">
          <x14:id>{EEEA8183-8904-4A35-BE8A-E6FB756396A2}</x14:id>
        </ext>
      </extLst>
    </cfRule>
  </conditionalFormatting>
  <conditionalFormatting sqref="F68">
    <cfRule type="dataBar" priority="152">
      <dataBar>
        <cfvo type="num" val="0"/>
        <cfvo type="num" val="1"/>
        <color theme="0" tint="-0.249977111117893"/>
      </dataBar>
      <extLst>
        <ext xmlns:x14="http://schemas.microsoft.com/office/spreadsheetml/2009/9/main" uri="{B025F937-C7B1-47D3-B67F-A62EFF666E3E}">
          <x14:id>{423A237E-98C7-44D4-9DE5-BB0B18A330F6}</x14:id>
        </ext>
      </extLst>
    </cfRule>
  </conditionalFormatting>
  <conditionalFormatting sqref="F92:F93 G146 H92 F96:F97 H96 F104:F105 H104 F108:F109 H108 F120:F121 H120 F132:F133 H132 F144:F145 H144 F140:F141 H140 F128:F129 H128 F116:F117 H116">
    <cfRule type="dataBar" priority="116">
      <dataBar>
        <cfvo type="num" val="0"/>
        <cfvo type="num" val="1"/>
        <color theme="0" tint="-0.249977111117893"/>
      </dataBar>
      <extLst>
        <ext xmlns:x14="http://schemas.microsoft.com/office/spreadsheetml/2009/9/main" uri="{B025F937-C7B1-47D3-B67F-A62EFF666E3E}">
          <x14:id>{A00442FD-C760-4912-82D3-9BADC6CD8F50}</x14:id>
        </ext>
      </extLst>
    </cfRule>
  </conditionalFormatting>
  <conditionalFormatting sqref="F157">
    <cfRule type="containsText" dxfId="748" priority="985" operator="containsText" text="Stop">
      <formula>NOT(ISERROR(SEARCH("Stop",F157)))</formula>
    </cfRule>
    <cfRule type="containsText" dxfId="747" priority="984" operator="containsText" text="Continue">
      <formula>NOT(ISERROR(SEARCH("Continue",F157)))</formula>
    </cfRule>
    <cfRule type="dataBar" priority="983">
      <dataBar>
        <cfvo type="num" val="0"/>
        <cfvo type="num" val="1"/>
        <color theme="0" tint="-0.249977111117893"/>
      </dataBar>
      <extLst>
        <ext xmlns:x14="http://schemas.microsoft.com/office/spreadsheetml/2009/9/main" uri="{B025F937-C7B1-47D3-B67F-A62EFF666E3E}">
          <x14:id>{0A9F2FA2-705A-402B-AD11-43A429454AF5}</x14:id>
        </ext>
      </extLst>
    </cfRule>
    <cfRule type="containsText" dxfId="746" priority="990" operator="containsText" text="Under">
      <formula>NOT(ISERROR(SEARCH("Under",F157)))</formula>
    </cfRule>
    <cfRule type="containsText" dxfId="745" priority="989" operator="containsText" text="Meets">
      <formula>NOT(ISERROR(SEARCH("Meets",F157)))</formula>
    </cfRule>
    <cfRule type="containsText" dxfId="744" priority="988" operator="containsText" text="Exceeds">
      <formula>NOT(ISERROR(SEARCH("Exceeds",F157)))</formula>
    </cfRule>
    <cfRule type="containsText" dxfId="743" priority="987" operator="containsText" text="N/A">
      <formula>NOT(ISERROR(SEARCH("N/A",F157)))</formula>
    </cfRule>
    <cfRule type="dataBar" priority="991">
      <dataBar>
        <cfvo type="num" val="0"/>
        <cfvo type="num" val="1"/>
        <color rgb="FF63C384"/>
      </dataBar>
      <extLst>
        <ext xmlns:x14="http://schemas.microsoft.com/office/spreadsheetml/2009/9/main" uri="{B025F937-C7B1-47D3-B67F-A62EFF666E3E}">
          <x14:id>{AF408706-C417-4A31-83D3-41D5C4E547E6}</x14:id>
        </ext>
      </extLst>
    </cfRule>
    <cfRule type="containsText" dxfId="742" priority="986" operator="containsText" text="Start">
      <formula>NOT(ISERROR(SEARCH("Start",F157)))</formula>
    </cfRule>
  </conditionalFormatting>
  <conditionalFormatting sqref="F162">
    <cfRule type="containsText" dxfId="741" priority="472" operator="containsText" text="Exceeds">
      <formula>NOT(ISERROR(SEARCH("Exceeds",F162)))</formula>
    </cfRule>
    <cfRule type="containsText" dxfId="740" priority="473" operator="containsText" text="Meets">
      <formula>NOT(ISERROR(SEARCH("Meets",F162)))</formula>
    </cfRule>
    <cfRule type="containsText" dxfId="739" priority="474" operator="containsText" text="Under">
      <formula>NOT(ISERROR(SEARCH("Under",F162)))</formula>
    </cfRule>
    <cfRule type="dataBar" priority="475">
      <dataBar>
        <cfvo type="num" val="0"/>
        <cfvo type="num" val="1"/>
        <color rgb="FF63C384"/>
      </dataBar>
      <extLst>
        <ext xmlns:x14="http://schemas.microsoft.com/office/spreadsheetml/2009/9/main" uri="{B025F937-C7B1-47D3-B67F-A62EFF666E3E}">
          <x14:id>{D5B011AE-31B7-4F79-9803-181C459D865E}</x14:id>
        </ext>
      </extLst>
    </cfRule>
    <cfRule type="containsText" dxfId="738" priority="470" operator="containsText" text="Start">
      <formula>NOT(ISERROR(SEARCH("Start",F162)))</formula>
    </cfRule>
    <cfRule type="containsText" dxfId="737" priority="469" operator="containsText" text="Stop">
      <formula>NOT(ISERROR(SEARCH("Stop",F162)))</formula>
    </cfRule>
    <cfRule type="dataBar" priority="467">
      <dataBar>
        <cfvo type="num" val="0"/>
        <cfvo type="num" val="1"/>
        <color theme="0" tint="-0.249977111117893"/>
      </dataBar>
      <extLst>
        <ext xmlns:x14="http://schemas.microsoft.com/office/spreadsheetml/2009/9/main" uri="{B025F937-C7B1-47D3-B67F-A62EFF666E3E}">
          <x14:id>{44A894E2-A760-4AE8-928B-8D16C4D66262}</x14:id>
        </ext>
      </extLst>
    </cfRule>
    <cfRule type="containsText" dxfId="736" priority="471" operator="containsText" text="N/A">
      <formula>NOT(ISERROR(SEARCH("N/A",F162)))</formula>
    </cfRule>
    <cfRule type="containsText" dxfId="735" priority="468" operator="containsText" text="Continue">
      <formula>NOT(ISERROR(SEARCH("Continue",F162)))</formula>
    </cfRule>
  </conditionalFormatting>
  <conditionalFormatting sqref="F167">
    <cfRule type="dataBar" priority="443">
      <dataBar>
        <cfvo type="num" val="0"/>
        <cfvo type="num" val="1"/>
        <color rgb="FF63C384"/>
      </dataBar>
      <extLst>
        <ext xmlns:x14="http://schemas.microsoft.com/office/spreadsheetml/2009/9/main" uri="{B025F937-C7B1-47D3-B67F-A62EFF666E3E}">
          <x14:id>{30C7B1DB-78EB-40F3-86A1-94D218386F37}</x14:id>
        </ext>
      </extLst>
    </cfRule>
    <cfRule type="containsText" dxfId="734" priority="442" operator="containsText" text="Under">
      <formula>NOT(ISERROR(SEARCH("Under",F167)))</formula>
    </cfRule>
    <cfRule type="containsText" dxfId="733" priority="441" operator="containsText" text="Meets">
      <formula>NOT(ISERROR(SEARCH("Meets",F167)))</formula>
    </cfRule>
    <cfRule type="containsText" dxfId="732" priority="439" operator="containsText" text="N/A">
      <formula>NOT(ISERROR(SEARCH("N/A",F167)))</formula>
    </cfRule>
    <cfRule type="dataBar" priority="435">
      <dataBar>
        <cfvo type="num" val="0"/>
        <cfvo type="num" val="1"/>
        <color theme="0" tint="-0.249977111117893"/>
      </dataBar>
      <extLst>
        <ext xmlns:x14="http://schemas.microsoft.com/office/spreadsheetml/2009/9/main" uri="{B025F937-C7B1-47D3-B67F-A62EFF666E3E}">
          <x14:id>{12751B78-4159-4F6D-B1EB-CFF4FF6FC63A}</x14:id>
        </ext>
      </extLst>
    </cfRule>
    <cfRule type="containsText" dxfId="731" priority="436" operator="containsText" text="Continue">
      <formula>NOT(ISERROR(SEARCH("Continue",F167)))</formula>
    </cfRule>
    <cfRule type="containsText" dxfId="730" priority="438" operator="containsText" text="Start">
      <formula>NOT(ISERROR(SEARCH("Start",F167)))</formula>
    </cfRule>
    <cfRule type="containsText" dxfId="729" priority="440" operator="containsText" text="Exceeds">
      <formula>NOT(ISERROR(SEARCH("Exceeds",F167)))</formula>
    </cfRule>
    <cfRule type="containsText" dxfId="728" priority="437" operator="containsText" text="Stop">
      <formula>NOT(ISERROR(SEARCH("Stop",F167)))</formula>
    </cfRule>
  </conditionalFormatting>
  <conditionalFormatting sqref="F172">
    <cfRule type="dataBar" priority="396">
      <dataBar>
        <cfvo type="num" val="0"/>
        <cfvo type="num" val="1"/>
        <color theme="0" tint="-0.249977111117893"/>
      </dataBar>
      <extLst>
        <ext xmlns:x14="http://schemas.microsoft.com/office/spreadsheetml/2009/9/main" uri="{B025F937-C7B1-47D3-B67F-A62EFF666E3E}">
          <x14:id>{6585D62D-F591-44D3-A885-365C20659360}</x14:id>
        </ext>
      </extLst>
    </cfRule>
    <cfRule type="containsText" dxfId="727" priority="403" operator="containsText" text="Under">
      <formula>NOT(ISERROR(SEARCH("Under",F172)))</formula>
    </cfRule>
    <cfRule type="containsText" dxfId="726" priority="402" operator="containsText" text="Meets">
      <formula>NOT(ISERROR(SEARCH("Meets",F172)))</formula>
    </cfRule>
    <cfRule type="containsText" dxfId="725" priority="401" operator="containsText" text="Exceeds">
      <formula>NOT(ISERROR(SEARCH("Exceeds",F172)))</formula>
    </cfRule>
    <cfRule type="containsText" dxfId="724" priority="400" operator="containsText" text="N/A">
      <formula>NOT(ISERROR(SEARCH("N/A",F172)))</formula>
    </cfRule>
    <cfRule type="dataBar" priority="404">
      <dataBar>
        <cfvo type="num" val="0"/>
        <cfvo type="num" val="1"/>
        <color rgb="FF63C384"/>
      </dataBar>
      <extLst>
        <ext xmlns:x14="http://schemas.microsoft.com/office/spreadsheetml/2009/9/main" uri="{B025F937-C7B1-47D3-B67F-A62EFF666E3E}">
          <x14:id>{A079EE5B-3A98-4BF1-80C8-A933CD792F4E}</x14:id>
        </ext>
      </extLst>
    </cfRule>
    <cfRule type="containsText" dxfId="723" priority="399" operator="containsText" text="Start">
      <formula>NOT(ISERROR(SEARCH("Start",F172)))</formula>
    </cfRule>
    <cfRule type="containsText" dxfId="722" priority="398" operator="containsText" text="Stop">
      <formula>NOT(ISERROR(SEARCH("Stop",F172)))</formula>
    </cfRule>
    <cfRule type="containsText" dxfId="721" priority="397" operator="containsText" text="Continue">
      <formula>NOT(ISERROR(SEARCH("Continue",F172)))</formula>
    </cfRule>
  </conditionalFormatting>
  <conditionalFormatting sqref="F30:G30">
    <cfRule type="dataBar" priority="122">
      <dataBar>
        <cfvo type="num" val="0"/>
        <cfvo type="num" val="1"/>
        <color theme="0" tint="-0.249977111117893"/>
      </dataBar>
      <extLst>
        <ext xmlns:x14="http://schemas.microsoft.com/office/spreadsheetml/2009/9/main" uri="{B025F937-C7B1-47D3-B67F-A62EFF666E3E}">
          <x14:id>{B937BC51-6F69-46AA-A0F6-56CD87BCD0FB}</x14:id>
        </ext>
      </extLst>
    </cfRule>
  </conditionalFormatting>
  <conditionalFormatting sqref="F148:G148 G25 H147 K73:K80">
    <cfRule type="dataBar" priority="2042">
      <dataBar>
        <cfvo type="num" val="0"/>
        <cfvo type="num" val="1"/>
        <color theme="0" tint="-0.249977111117893"/>
      </dataBar>
      <extLst>
        <ext xmlns:x14="http://schemas.microsoft.com/office/spreadsheetml/2009/9/main" uri="{B025F937-C7B1-47D3-B67F-A62EFF666E3E}">
          <x14:id>{79A20887-B72D-4226-A093-ACFA0DB4C085}</x14:id>
        </ext>
      </extLst>
    </cfRule>
  </conditionalFormatting>
  <conditionalFormatting sqref="F155:G155">
    <cfRule type="dataBar" priority="992">
      <dataBar>
        <cfvo type="num" val="0"/>
        <cfvo type="num" val="1"/>
        <color theme="0" tint="-0.249977111117893"/>
      </dataBar>
      <extLst>
        <ext xmlns:x14="http://schemas.microsoft.com/office/spreadsheetml/2009/9/main" uri="{B025F937-C7B1-47D3-B67F-A62EFF666E3E}">
          <x14:id>{A729A512-5AE0-461C-8FBD-48E00AFCFA07}</x14:id>
        </ext>
      </extLst>
    </cfRule>
    <cfRule type="containsText" dxfId="720" priority="993" operator="containsText" text="Continue">
      <formula>NOT(ISERROR(SEARCH("Continue",F155)))</formula>
    </cfRule>
    <cfRule type="containsText" dxfId="719" priority="994" operator="containsText" text="Stop">
      <formula>NOT(ISERROR(SEARCH("Stop",F155)))</formula>
    </cfRule>
    <cfRule type="containsText" dxfId="718" priority="995" operator="containsText" text="Start">
      <formula>NOT(ISERROR(SEARCH("Start",F155)))</formula>
    </cfRule>
    <cfRule type="containsText" dxfId="717" priority="996" operator="containsText" text="N/A">
      <formula>NOT(ISERROR(SEARCH("N/A",F155)))</formula>
    </cfRule>
    <cfRule type="containsText" dxfId="716" priority="997" operator="containsText" text="Exceeds">
      <formula>NOT(ISERROR(SEARCH("Exceeds",F155)))</formula>
    </cfRule>
    <cfRule type="containsText" dxfId="715" priority="998" operator="containsText" text="Meets">
      <formula>NOT(ISERROR(SEARCH("Meets",F155)))</formula>
    </cfRule>
    <cfRule type="containsText" dxfId="714" priority="999" operator="containsText" text="Under">
      <formula>NOT(ISERROR(SEARCH("Under",F155)))</formula>
    </cfRule>
    <cfRule type="dataBar" priority="1000">
      <dataBar>
        <cfvo type="num" val="0"/>
        <cfvo type="num" val="1"/>
        <color rgb="FF63C384"/>
      </dataBar>
      <extLst>
        <ext xmlns:x14="http://schemas.microsoft.com/office/spreadsheetml/2009/9/main" uri="{B025F937-C7B1-47D3-B67F-A62EFF666E3E}">
          <x14:id>{1DE4EA2B-5B74-405A-8C1D-3524834A0CB8}</x14:id>
        </ext>
      </extLst>
    </cfRule>
  </conditionalFormatting>
  <conditionalFormatting sqref="F160:G160">
    <cfRule type="dataBar" priority="484">
      <dataBar>
        <cfvo type="num" val="0"/>
        <cfvo type="num" val="1"/>
        <color rgb="FF63C384"/>
      </dataBar>
      <extLst>
        <ext xmlns:x14="http://schemas.microsoft.com/office/spreadsheetml/2009/9/main" uri="{B025F937-C7B1-47D3-B67F-A62EFF666E3E}">
          <x14:id>{4904B687-812D-4161-A0BF-F4EEC7B1888B}</x14:id>
        </ext>
      </extLst>
    </cfRule>
    <cfRule type="containsText" dxfId="713" priority="483" operator="containsText" text="Under">
      <formula>NOT(ISERROR(SEARCH("Under",F160)))</formula>
    </cfRule>
    <cfRule type="containsText" dxfId="712" priority="482" operator="containsText" text="Meets">
      <formula>NOT(ISERROR(SEARCH("Meets",F160)))</formula>
    </cfRule>
    <cfRule type="containsText" dxfId="711" priority="481" operator="containsText" text="Exceeds">
      <formula>NOT(ISERROR(SEARCH("Exceeds",F160)))</formula>
    </cfRule>
    <cfRule type="containsText" dxfId="710" priority="480" operator="containsText" text="N/A">
      <formula>NOT(ISERROR(SEARCH("N/A",F160)))</formula>
    </cfRule>
    <cfRule type="containsText" dxfId="709" priority="479" operator="containsText" text="Start">
      <formula>NOT(ISERROR(SEARCH("Start",F160)))</formula>
    </cfRule>
    <cfRule type="containsText" dxfId="708" priority="478" operator="containsText" text="Stop">
      <formula>NOT(ISERROR(SEARCH("Stop",F160)))</formula>
    </cfRule>
    <cfRule type="containsText" dxfId="707" priority="477" operator="containsText" text="Continue">
      <formula>NOT(ISERROR(SEARCH("Continue",F160)))</formula>
    </cfRule>
    <cfRule type="dataBar" priority="476">
      <dataBar>
        <cfvo type="num" val="0"/>
        <cfvo type="num" val="1"/>
        <color theme="0" tint="-0.249977111117893"/>
      </dataBar>
      <extLst>
        <ext xmlns:x14="http://schemas.microsoft.com/office/spreadsheetml/2009/9/main" uri="{B025F937-C7B1-47D3-B67F-A62EFF666E3E}">
          <x14:id>{D1B5FDBE-A952-495D-AC85-47932AFAA1B4}</x14:id>
        </ext>
      </extLst>
    </cfRule>
  </conditionalFormatting>
  <conditionalFormatting sqref="F165:G165">
    <cfRule type="containsText" dxfId="706" priority="338" operator="containsText" text="Meets">
      <formula>NOT(ISERROR(SEARCH("Meets",F165)))</formula>
    </cfRule>
    <cfRule type="containsText" dxfId="705" priority="335" operator="containsText" text="Start">
      <formula>NOT(ISERROR(SEARCH("Start",F165)))</formula>
    </cfRule>
    <cfRule type="containsText" dxfId="704" priority="337" operator="containsText" text="Exceeds">
      <formula>NOT(ISERROR(SEARCH("Exceeds",F165)))</formula>
    </cfRule>
    <cfRule type="dataBar" priority="332">
      <dataBar>
        <cfvo type="num" val="0"/>
        <cfvo type="num" val="1"/>
        <color theme="0" tint="-0.249977111117893"/>
      </dataBar>
      <extLst>
        <ext xmlns:x14="http://schemas.microsoft.com/office/spreadsheetml/2009/9/main" uri="{B025F937-C7B1-47D3-B67F-A62EFF666E3E}">
          <x14:id>{B24D1F73-A17D-464F-9B3A-9575380E81B8}</x14:id>
        </ext>
      </extLst>
    </cfRule>
    <cfRule type="containsText" dxfId="703" priority="333" operator="containsText" text="Continue">
      <formula>NOT(ISERROR(SEARCH("Continue",F165)))</formula>
    </cfRule>
    <cfRule type="containsText" dxfId="702" priority="336" operator="containsText" text="N/A">
      <formula>NOT(ISERROR(SEARCH("N/A",F165)))</formula>
    </cfRule>
    <cfRule type="containsText" dxfId="701" priority="334" operator="containsText" text="Stop">
      <formula>NOT(ISERROR(SEARCH("Stop",F165)))</formula>
    </cfRule>
    <cfRule type="containsText" dxfId="700" priority="339" operator="containsText" text="Under">
      <formula>NOT(ISERROR(SEARCH("Under",F165)))</formula>
    </cfRule>
    <cfRule type="dataBar" priority="340">
      <dataBar>
        <cfvo type="num" val="0"/>
        <cfvo type="num" val="1"/>
        <color rgb="FF63C384"/>
      </dataBar>
      <extLst>
        <ext xmlns:x14="http://schemas.microsoft.com/office/spreadsheetml/2009/9/main" uri="{B025F937-C7B1-47D3-B67F-A62EFF666E3E}">
          <x14:id>{B4834E7E-4229-4D61-B58D-68AF8520D4DF}</x14:id>
        </ext>
      </extLst>
    </cfRule>
  </conditionalFormatting>
  <conditionalFormatting sqref="F170:G170">
    <cfRule type="dataBar" priority="323">
      <dataBar>
        <cfvo type="num" val="0"/>
        <cfvo type="num" val="1"/>
        <color theme="0" tint="-0.249977111117893"/>
      </dataBar>
      <extLst>
        <ext xmlns:x14="http://schemas.microsoft.com/office/spreadsheetml/2009/9/main" uri="{B025F937-C7B1-47D3-B67F-A62EFF666E3E}">
          <x14:id>{94B04C2F-868A-4ED7-9773-C232C6BEC0A0}</x14:id>
        </ext>
      </extLst>
    </cfRule>
    <cfRule type="containsText" dxfId="699" priority="325" operator="containsText" text="Stop">
      <formula>NOT(ISERROR(SEARCH("Stop",F170)))</formula>
    </cfRule>
    <cfRule type="containsText" dxfId="698" priority="324" operator="containsText" text="Continue">
      <formula>NOT(ISERROR(SEARCH("Continue",F170)))</formula>
    </cfRule>
    <cfRule type="containsText" dxfId="697" priority="326" operator="containsText" text="Start">
      <formula>NOT(ISERROR(SEARCH("Start",F170)))</formula>
    </cfRule>
    <cfRule type="containsText" dxfId="696" priority="327" operator="containsText" text="N/A">
      <formula>NOT(ISERROR(SEARCH("N/A",F170)))</formula>
    </cfRule>
    <cfRule type="containsText" dxfId="695" priority="328" operator="containsText" text="Exceeds">
      <formula>NOT(ISERROR(SEARCH("Exceeds",F170)))</formula>
    </cfRule>
    <cfRule type="containsText" dxfId="694" priority="329" operator="containsText" text="Meets">
      <formula>NOT(ISERROR(SEARCH("Meets",F170)))</formula>
    </cfRule>
    <cfRule type="dataBar" priority="331">
      <dataBar>
        <cfvo type="num" val="0"/>
        <cfvo type="num" val="1"/>
        <color rgb="FF63C384"/>
      </dataBar>
      <extLst>
        <ext xmlns:x14="http://schemas.microsoft.com/office/spreadsheetml/2009/9/main" uri="{B025F937-C7B1-47D3-B67F-A62EFF666E3E}">
          <x14:id>{2247779D-632E-4BC7-8E23-FDD639732A25}</x14:id>
        </ext>
      </extLst>
    </cfRule>
    <cfRule type="containsText" dxfId="693" priority="330" operator="containsText" text="Under">
      <formula>NOT(ISERROR(SEARCH("Under",F170)))</formula>
    </cfRule>
  </conditionalFormatting>
  <conditionalFormatting sqref="F178:G178">
    <cfRule type="dataBar" priority="322">
      <dataBar>
        <cfvo type="num" val="0"/>
        <cfvo type="num" val="1"/>
        <color rgb="FF63C384"/>
      </dataBar>
      <extLst>
        <ext xmlns:x14="http://schemas.microsoft.com/office/spreadsheetml/2009/9/main" uri="{B025F937-C7B1-47D3-B67F-A62EFF666E3E}">
          <x14:id>{A66BAA16-37D6-4E95-9029-0C1F5ADDB9F9}</x14:id>
        </ext>
      </extLst>
    </cfRule>
    <cfRule type="containsText" dxfId="692" priority="318" operator="containsText" text="N/A">
      <formula>NOT(ISERROR(SEARCH("N/A",F178)))</formula>
    </cfRule>
    <cfRule type="containsText" dxfId="691" priority="321" operator="containsText" text="Under">
      <formula>NOT(ISERROR(SEARCH("Under",F178)))</formula>
    </cfRule>
    <cfRule type="dataBar" priority="314">
      <dataBar>
        <cfvo type="num" val="0"/>
        <cfvo type="num" val="1"/>
        <color theme="0" tint="-0.249977111117893"/>
      </dataBar>
      <extLst>
        <ext xmlns:x14="http://schemas.microsoft.com/office/spreadsheetml/2009/9/main" uri="{B025F937-C7B1-47D3-B67F-A62EFF666E3E}">
          <x14:id>{2298544A-BAFB-4902-9142-C8729422BCFE}</x14:id>
        </ext>
      </extLst>
    </cfRule>
    <cfRule type="containsText" dxfId="690" priority="315" operator="containsText" text="Continue">
      <formula>NOT(ISERROR(SEARCH("Continue",F178)))</formula>
    </cfRule>
    <cfRule type="containsText" dxfId="689" priority="316" operator="containsText" text="Stop">
      <formula>NOT(ISERROR(SEARCH("Stop",F178)))</formula>
    </cfRule>
    <cfRule type="containsText" dxfId="688" priority="317" operator="containsText" text="Start">
      <formula>NOT(ISERROR(SEARCH("Start",F178)))</formula>
    </cfRule>
    <cfRule type="containsText" dxfId="687" priority="319" operator="containsText" text="Exceeds">
      <formula>NOT(ISERROR(SEARCH("Exceeds",F178)))</formula>
    </cfRule>
    <cfRule type="containsText" dxfId="686" priority="320" operator="containsText" text="Meets">
      <formula>NOT(ISERROR(SEARCH("Meets",F178)))</formula>
    </cfRule>
  </conditionalFormatting>
  <conditionalFormatting sqref="G29">
    <cfRule type="containsText" dxfId="685" priority="875" operator="containsText" text="Exceeds">
      <formula>NOT(ISERROR(SEARCH("Exceeds",G29)))</formula>
    </cfRule>
    <cfRule type="containsText" dxfId="684" priority="877" operator="containsText" text="Under">
      <formula>NOT(ISERROR(SEARCH("Under",G29)))</formula>
    </cfRule>
    <cfRule type="containsText" dxfId="683" priority="873" operator="containsText" text="Start">
      <formula>NOT(ISERROR(SEARCH("Start",G29)))</formula>
    </cfRule>
    <cfRule type="containsText" dxfId="682" priority="872" operator="containsText" text="Stop">
      <formula>NOT(ISERROR(SEARCH("Stop",G29)))</formula>
    </cfRule>
    <cfRule type="containsText" dxfId="681" priority="871" operator="containsText" text="Continue">
      <formula>NOT(ISERROR(SEARCH("Continue",G29)))</formula>
    </cfRule>
    <cfRule type="containsText" dxfId="680" priority="876" operator="containsText" text="Meets">
      <formula>NOT(ISERROR(SEARCH("Meets",G29)))</formula>
    </cfRule>
    <cfRule type="containsText" dxfId="679" priority="874" operator="containsText" text="N/A">
      <formula>NOT(ISERROR(SEARCH("N/A",G29)))</formula>
    </cfRule>
  </conditionalFormatting>
  <conditionalFormatting sqref="G31">
    <cfRule type="containsText" dxfId="678" priority="34" operator="containsText" text="Meets">
      <formula>NOT(ISERROR(SEARCH("Meets",G31)))</formula>
    </cfRule>
    <cfRule type="containsText" dxfId="677" priority="33" operator="containsText" text="Exceeds">
      <formula>NOT(ISERROR(SEARCH("Exceeds",G31)))</formula>
    </cfRule>
    <cfRule type="containsText" dxfId="676" priority="31" operator="containsText" text="Start">
      <formula>NOT(ISERROR(SEARCH("Start",G31)))</formula>
    </cfRule>
    <cfRule type="containsText" dxfId="675" priority="30" operator="containsText" text="Stop">
      <formula>NOT(ISERROR(SEARCH("Stop",G31)))</formula>
    </cfRule>
    <cfRule type="containsText" dxfId="674" priority="29" operator="containsText" text="Continue">
      <formula>NOT(ISERROR(SEARCH("Continue",G31)))</formula>
    </cfRule>
    <cfRule type="containsText" dxfId="673" priority="35" operator="containsText" text="Under">
      <formula>NOT(ISERROR(SEARCH("Under",G31)))</formula>
    </cfRule>
    <cfRule type="containsText" dxfId="672" priority="32" operator="containsText" text="N/A">
      <formula>NOT(ISERROR(SEARCH("N/A",G31)))</formula>
    </cfRule>
  </conditionalFormatting>
  <conditionalFormatting sqref="G35">
    <cfRule type="containsText" dxfId="671" priority="97" operator="containsText" text="Exceeds">
      <formula>NOT(ISERROR(SEARCH("Exceeds",G35)))</formula>
    </cfRule>
    <cfRule type="containsText" dxfId="670" priority="98" operator="containsText" text="Meets">
      <formula>NOT(ISERROR(SEARCH("Meets",G35)))</formula>
    </cfRule>
    <cfRule type="containsText" dxfId="669" priority="99" operator="containsText" text="Under">
      <formula>NOT(ISERROR(SEARCH("Under",G35)))</formula>
    </cfRule>
    <cfRule type="containsText" dxfId="668" priority="94" operator="containsText" text="Stop">
      <formula>NOT(ISERROR(SEARCH("Stop",G35)))</formula>
    </cfRule>
    <cfRule type="containsText" dxfId="667" priority="93" operator="containsText" text="Continue">
      <formula>NOT(ISERROR(SEARCH("Continue",G35)))</formula>
    </cfRule>
    <cfRule type="containsText" dxfId="666" priority="96" operator="containsText" text="N/A">
      <formula>NOT(ISERROR(SEARCH("N/A",G35)))</formula>
    </cfRule>
    <cfRule type="containsText" dxfId="665"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{CF72DFDB-00BB-43D4-ADE1-87E2D64D896A}</x14:id>
        </ext>
      </extLst>
    </cfRule>
  </conditionalFormatting>
  <conditionalFormatting sqref="G37">
    <cfRule type="containsText" dxfId="664" priority="25" operator="containsText" text="N/A">
      <formula>NOT(ISERROR(SEARCH("N/A",G37)))</formula>
    </cfRule>
    <cfRule type="containsText" dxfId="663" priority="26" operator="containsText" text="Exceeds">
      <formula>NOT(ISERROR(SEARCH("Exceeds",G37)))</formula>
    </cfRule>
    <cfRule type="containsText" dxfId="662" priority="27" operator="containsText" text="Meets">
      <formula>NOT(ISERROR(SEARCH("Meets",G37)))</formula>
    </cfRule>
    <cfRule type="containsText" dxfId="661" priority="28" operator="containsText" text="Under">
      <formula>NOT(ISERROR(SEARCH("Under",G37)))</formula>
    </cfRule>
    <cfRule type="containsText" dxfId="660" priority="22" operator="containsText" text="Continue">
      <formula>NOT(ISERROR(SEARCH("Continue",G37)))</formula>
    </cfRule>
    <cfRule type="containsText" dxfId="659" priority="23" operator="containsText" text="Stop">
      <formula>NOT(ISERROR(SEARCH("Stop",G37)))</formula>
    </cfRule>
    <cfRule type="containsText" dxfId="658" priority="24" operator="containsText" text="Start">
      <formula>NOT(ISERROR(SEARCH("Start",G37)))</formula>
    </cfRule>
  </conditionalFormatting>
  <conditionalFormatting sqref="G41">
    <cfRule type="containsText" dxfId="657" priority="85" operator="containsText" text="Continue">
      <formula>NOT(ISERROR(SEARCH("Continue",G41)))</formula>
    </cfRule>
    <cfRule type="containsText" dxfId="656" priority="86" operator="containsText" text="Stop">
      <formula>NOT(ISERROR(SEARCH("Stop",G41)))</formula>
    </cfRule>
    <cfRule type="containsText" dxfId="655" priority="87" operator="containsText" text="Start">
      <formula>NOT(ISERROR(SEARCH("Start",G41)))</formula>
    </cfRule>
    <cfRule type="containsText" dxfId="654" priority="88" operator="containsText" text="N/A">
      <formula>NOT(ISERROR(SEARCH("N/A",G41)))</formula>
    </cfRule>
    <cfRule type="containsText" dxfId="653" priority="89" operator="containsText" text="Exceeds">
      <formula>NOT(ISERROR(SEARCH("Exceeds",G41)))</formula>
    </cfRule>
    <cfRule type="containsText" dxfId="652" priority="90" operator="containsText" text="Meets">
      <formula>NOT(ISERROR(SEARCH("Meets",G41)))</formula>
    </cfRule>
    <cfRule type="containsText" dxfId="651"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{F264F816-88D5-4F53-A470-AAE089E78F4B}</x14:id>
        </ext>
      </extLst>
    </cfRule>
  </conditionalFormatting>
  <conditionalFormatting sqref="G43">
    <cfRule type="containsText" dxfId="650" priority="17" operator="containsText" text="Start">
      <formula>NOT(ISERROR(SEARCH("Start",G43)))</formula>
    </cfRule>
    <cfRule type="containsText" dxfId="649" priority="16" operator="containsText" text="Stop">
      <formula>NOT(ISERROR(SEARCH("Stop",G43)))</formula>
    </cfRule>
    <cfRule type="containsText" dxfId="648" priority="20" operator="containsText" text="Meets">
      <formula>NOT(ISERROR(SEARCH("Meets",G43)))</formula>
    </cfRule>
    <cfRule type="containsText" dxfId="647" priority="15" operator="containsText" text="Continue">
      <formula>NOT(ISERROR(SEARCH("Continue",G43)))</formula>
    </cfRule>
    <cfRule type="containsText" dxfId="646" priority="19" operator="containsText" text="Exceeds">
      <formula>NOT(ISERROR(SEARCH("Exceeds",G43)))</formula>
    </cfRule>
    <cfRule type="containsText" dxfId="645" priority="21" operator="containsText" text="Under">
      <formula>NOT(ISERROR(SEARCH("Under",G43)))</formula>
    </cfRule>
    <cfRule type="containsText" dxfId="644" priority="18" operator="containsText" text="N/A">
      <formula>NOT(ISERROR(SEARCH("N/A",G43)))</formula>
    </cfRule>
  </conditionalFormatting>
  <conditionalFormatting sqref="G47">
    <cfRule type="containsText" dxfId="643" priority="78" operator="containsText" text="Stop">
      <formula>NOT(ISERROR(SEARCH("Stop",G47)))</formula>
    </cfRule>
    <cfRule type="containsText" dxfId="642" priority="77" operator="containsText" text="Continue">
      <formula>NOT(ISERROR(SEARCH("Continue",G47)))</formula>
    </cfRule>
    <cfRule type="containsText" dxfId="641" priority="79" operator="containsText" text="Start">
      <formula>NOT(ISERROR(SEARCH("Start",G47)))</formula>
    </cfRule>
    <cfRule type="containsText" dxfId="640" priority="80" operator="containsText" text="N/A">
      <formula>NOT(ISERROR(SEARCH("N/A",G47)))</formula>
    </cfRule>
    <cfRule type="containsText" dxfId="639" priority="81" operator="containsText" text="Exceeds">
      <formula>NOT(ISERROR(SEARCH("Exceeds",G47)))</formula>
    </cfRule>
    <cfRule type="containsText" dxfId="638" priority="82" operator="containsText" text="Meets">
      <formula>NOT(ISERROR(SEARCH("Meets",G47)))</formula>
    </cfRule>
    <cfRule type="containsText" dxfId="637"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{DB69FAC3-BB60-4968-B11E-46F2A5E7F1F7}</x14:id>
        </ext>
      </extLst>
    </cfRule>
  </conditionalFormatting>
  <conditionalFormatting sqref="G49">
    <cfRule type="containsText" dxfId="636" priority="14" operator="containsText" text="Under">
      <formula>NOT(ISERROR(SEARCH("Under",G49)))</formula>
    </cfRule>
    <cfRule type="containsText" dxfId="635" priority="13" operator="containsText" text="Meets">
      <formula>NOT(ISERROR(SEARCH("Meets",G49)))</formula>
    </cfRule>
    <cfRule type="containsText" dxfId="634" priority="12" operator="containsText" text="Exceeds">
      <formula>NOT(ISERROR(SEARCH("Exceeds",G49)))</formula>
    </cfRule>
    <cfRule type="containsText" dxfId="633" priority="11" operator="containsText" text="N/A">
      <formula>NOT(ISERROR(SEARCH("N/A",G49)))</formula>
    </cfRule>
    <cfRule type="containsText" dxfId="632" priority="10" operator="containsText" text="Start">
      <formula>NOT(ISERROR(SEARCH("Start",G49)))</formula>
    </cfRule>
    <cfRule type="containsText" dxfId="631" priority="9" operator="containsText" text="Stop">
      <formula>NOT(ISERROR(SEARCH("Stop",G49)))</formula>
    </cfRule>
    <cfRule type="containsText" dxfId="630" priority="8" operator="containsText" text="Continue">
      <formula>NOT(ISERROR(SEARCH("Continue",G49)))</formula>
    </cfRule>
  </conditionalFormatting>
  <conditionalFormatting sqref="G53">
    <cfRule type="containsText" dxfId="629" priority="73" operator="containsText" text="Exceeds">
      <formula>NOT(ISERROR(SEARCH("Exceeds",G53)))</formula>
    </cfRule>
    <cfRule type="containsText" dxfId="628" priority="69" operator="containsText" text="Continue">
      <formula>NOT(ISERROR(SEARCH("Continue",G53)))</formula>
    </cfRule>
    <cfRule type="containsText" dxfId="627" priority="74" operator="containsText" text="Meets">
      <formula>NOT(ISERROR(SEARCH("Meets",G53)))</formula>
    </cfRule>
    <cfRule type="containsText" dxfId="626" priority="71" operator="containsText" text="Start">
      <formula>NOT(ISERROR(SEARCH("Start",G53)))</formula>
    </cfRule>
    <cfRule type="containsText" dxfId="625" priority="72" operator="containsText" text="N/A">
      <formula>NOT(ISERROR(SEARCH("N/A",G53)))</formula>
    </cfRule>
    <cfRule type="containsText" dxfId="624" priority="75" operator="containsText" text="Under">
      <formula>NOT(ISERROR(SEARCH("Under",G53)))</formula>
    </cfRule>
    <cfRule type="containsText" dxfId="623"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{5F636DA8-8F99-41D9-AA02-5C772FC62E6D}</x14:id>
        </ext>
      </extLst>
    </cfRule>
  </conditionalFormatting>
  <conditionalFormatting sqref="G55">
    <cfRule type="containsText" dxfId="622" priority="7" operator="containsText" text="Under">
      <formula>NOT(ISERROR(SEARCH("Under",G55)))</formula>
    </cfRule>
    <cfRule type="containsText" dxfId="621" priority="1" operator="containsText" text="Continue">
      <formula>NOT(ISERROR(SEARCH("Continue",G55)))</formula>
    </cfRule>
    <cfRule type="containsText" dxfId="620" priority="2" operator="containsText" text="Stop">
      <formula>NOT(ISERROR(SEARCH("Stop",G55)))</formula>
    </cfRule>
    <cfRule type="containsText" dxfId="619" priority="3" operator="containsText" text="Start">
      <formula>NOT(ISERROR(SEARCH("Start",G55)))</formula>
    </cfRule>
    <cfRule type="containsText" dxfId="618" priority="4" operator="containsText" text="N/A">
      <formula>NOT(ISERROR(SEARCH("N/A",G55)))</formula>
    </cfRule>
    <cfRule type="containsText" dxfId="617" priority="5" operator="containsText" text="Exceeds">
      <formula>NOT(ISERROR(SEARCH("Exceeds",G55)))</formula>
    </cfRule>
    <cfRule type="containsText" dxfId="616" priority="6" operator="containsText" text="Meets">
      <formula>NOT(ISERROR(SEARCH("Meets",G55)))</formula>
    </cfRule>
  </conditionalFormatting>
  <conditionalFormatting sqref="G59">
    <cfRule type="containsText" dxfId="615" priority="67" operator="containsText" text="Under">
      <formula>NOT(ISERROR(SEARCH("Under",G59)))</formula>
    </cfRule>
    <cfRule type="containsText" dxfId="614" priority="66" operator="containsText" text="Meets">
      <formula>NOT(ISERROR(SEARCH("Meets",G59)))</formula>
    </cfRule>
    <cfRule type="containsText" dxfId="613" priority="65" operator="containsText" text="Exceeds">
      <formula>NOT(ISERROR(SEARCH("Exceeds",G59)))</formula>
    </cfRule>
    <cfRule type="containsText" dxfId="612" priority="61" operator="containsText" text="Continue">
      <formula>NOT(ISERROR(SEARCH("Continue",G59)))</formula>
    </cfRule>
    <cfRule type="containsText" dxfId="611" priority="62" operator="containsText" text="Stop">
      <formula>NOT(ISERROR(SEARCH("Stop",G59)))</formula>
    </cfRule>
    <cfRule type="containsText" dxfId="610" priority="63" operator="containsText" text="Start">
      <formula>NOT(ISERROR(SEARCH("Start",G59)))</formula>
    </cfRule>
    <cfRule type="containsText" dxfId="609"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{778328BC-40EB-4DC7-9543-E45C6DFFADBC}</x14:id>
        </ext>
      </extLst>
    </cfRule>
  </conditionalFormatting>
  <conditionalFormatting sqref="G61">
    <cfRule type="containsText" dxfId="608" priority="41" operator="containsText" text="Exceeds">
      <formula>NOT(ISERROR(SEARCH("Exceeds",G61)))</formula>
    </cfRule>
    <cfRule type="containsText" dxfId="607" priority="42" operator="containsText" text="Meets">
      <formula>NOT(ISERROR(SEARCH("Meets",G61)))</formula>
    </cfRule>
    <cfRule type="containsText" dxfId="606" priority="43" operator="containsText" text="Under">
      <formula>NOT(ISERROR(SEARCH("Under",G61)))</formula>
    </cfRule>
    <cfRule type="containsText" dxfId="605" priority="40" operator="containsText" text="N/A">
      <formula>NOT(ISERROR(SEARCH("N/A",G61)))</formula>
    </cfRule>
    <cfRule type="containsText" dxfId="604" priority="39" operator="containsText" text="Start">
      <formula>NOT(ISERROR(SEARCH("Start",G61)))</formula>
    </cfRule>
    <cfRule type="containsText" dxfId="603" priority="38" operator="containsText" text="Stop">
      <formula>NOT(ISERROR(SEARCH("Stop",G61)))</formula>
    </cfRule>
    <cfRule type="containsText" dxfId="602"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{2012A304-F66D-4871-B836-543725B309E4}</x14:id>
        </ext>
      </extLst>
    </cfRule>
  </conditionalFormatting>
  <conditionalFormatting sqref="G65">
    <cfRule type="containsText" dxfId="601" priority="59" operator="containsText" text="Under">
      <formula>NOT(ISERROR(SEARCH("Under",G65)))</formula>
    </cfRule>
    <cfRule type="containsText" dxfId="600" priority="57" operator="containsText" text="Exceeds">
      <formula>NOT(ISERROR(SEARCH("Exceeds",G65)))</formula>
    </cfRule>
    <cfRule type="containsText" dxfId="599" priority="56" operator="containsText" text="N/A">
      <formula>NOT(ISERROR(SEARCH("N/A",G65)))</formula>
    </cfRule>
    <cfRule type="containsText" dxfId="598" priority="53" operator="containsText" text="Continue">
      <formula>NOT(ISERROR(SEARCH("Continue",G65)))</formula>
    </cfRule>
    <cfRule type="containsText" dxfId="597" priority="54" operator="containsText" text="Stop">
      <formula>NOT(ISERROR(SEARCH("Stop",G65)))</formula>
    </cfRule>
    <cfRule type="containsText" dxfId="596" priority="58" operator="containsText" text="Meets">
      <formula>NOT(ISERROR(SEARCH("Meets",G65)))</formula>
    </cfRule>
    <cfRule type="containsText" dxfId="595"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{74DE6C48-5460-4082-9A06-5A8B44A39CCA}</x14:id>
        </ext>
      </extLst>
    </cfRule>
  </conditionalFormatting>
  <conditionalFormatting sqref="G67">
    <cfRule type="containsText" dxfId="594" priority="45" operator="containsText" text="Continue">
      <formula>NOT(ISERROR(SEARCH("Continue",G67)))</formula>
    </cfRule>
    <cfRule type="containsText" dxfId="593" priority="47" operator="containsText" text="Start">
      <formula>NOT(ISERROR(SEARCH("Start",G67)))</formula>
    </cfRule>
    <cfRule type="containsText" dxfId="592" priority="48" operator="containsText" text="N/A">
      <formula>NOT(ISERROR(SEARCH("N/A",G67)))</formula>
    </cfRule>
    <cfRule type="containsText" dxfId="591" priority="49" operator="containsText" text="Exceeds">
      <formula>NOT(ISERROR(SEARCH("Exceeds",G67)))</formula>
    </cfRule>
    <cfRule type="containsText" dxfId="590" priority="50" operator="containsText" text="Meets">
      <formula>NOT(ISERROR(SEARCH("Meets",G67)))</formula>
    </cfRule>
    <cfRule type="containsText" dxfId="589" priority="46" operator="containsText" text="Stop">
      <formula>NOT(ISERROR(SEARCH("Stop",G67)))</formula>
    </cfRule>
    <cfRule type="containsText" dxfId="588"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{9511C6E1-DEB5-44E5-90AC-2658C173902A}</x14:id>
        </ext>
      </extLst>
    </cfRule>
  </conditionalFormatting>
  <conditionalFormatting sqref="G159 G161">
    <cfRule type="containsText" dxfId="587" priority="460" operator="containsText" text="Continue">
      <formula>NOT(ISERROR(SEARCH("Continue",G159)))</formula>
    </cfRule>
    <cfRule type="containsText" dxfId="586" priority="461" operator="containsText" text="Stop">
      <formula>NOT(ISERROR(SEARCH("Stop",G159)))</formula>
    </cfRule>
    <cfRule type="containsText" dxfId="585" priority="462" operator="containsText" text="Start">
      <formula>NOT(ISERROR(SEARCH("Start",G159)))</formula>
    </cfRule>
    <cfRule type="containsText" dxfId="584" priority="463" operator="containsText" text="N/A">
      <formula>NOT(ISERROR(SEARCH("N/A",G159)))</formula>
    </cfRule>
    <cfRule type="containsText" dxfId="583" priority="464" operator="containsText" text="Exceeds">
      <formula>NOT(ISERROR(SEARCH("Exceeds",G159)))</formula>
    </cfRule>
    <cfRule type="containsText" dxfId="582" priority="466" operator="containsText" text="Under">
      <formula>NOT(ISERROR(SEARCH("Under",G159)))</formula>
    </cfRule>
    <cfRule type="containsText" dxfId="581" priority="465" operator="containsText" text="Meets">
      <formula>NOT(ISERROR(SEARCH("Meets",G159)))</formula>
    </cfRule>
  </conditionalFormatting>
  <conditionalFormatting sqref="G164 G166">
    <cfRule type="containsText" dxfId="580" priority="434" operator="containsText" text="Under">
      <formula>NOT(ISERROR(SEARCH("Under",G164)))</formula>
    </cfRule>
    <cfRule type="containsText" dxfId="579" priority="428" operator="containsText" text="Continue">
      <formula>NOT(ISERROR(SEARCH("Continue",G164)))</formula>
    </cfRule>
    <cfRule type="containsText" dxfId="578" priority="429" operator="containsText" text="Stop">
      <formula>NOT(ISERROR(SEARCH("Stop",G164)))</formula>
    </cfRule>
    <cfRule type="containsText" dxfId="577" priority="431" operator="containsText" text="N/A">
      <formula>NOT(ISERROR(SEARCH("N/A",G164)))</formula>
    </cfRule>
    <cfRule type="containsText" dxfId="576" priority="432" operator="containsText" text="Exceeds">
      <formula>NOT(ISERROR(SEARCH("Exceeds",G164)))</formula>
    </cfRule>
    <cfRule type="containsText" dxfId="575" priority="433" operator="containsText" text="Meets">
      <formula>NOT(ISERROR(SEARCH("Meets",G164)))</formula>
    </cfRule>
    <cfRule type="containsText" dxfId="574" priority="430" operator="containsText" text="Start">
      <formula>NOT(ISERROR(SEARCH("Start",G164)))</formula>
    </cfRule>
  </conditionalFormatting>
  <conditionalFormatting sqref="G169 G171">
    <cfRule type="containsText" dxfId="573" priority="392" operator="containsText" text="N/A">
      <formula>NOT(ISERROR(SEARCH("N/A",G169)))</formula>
    </cfRule>
    <cfRule type="containsText" dxfId="572" priority="393" operator="containsText" text="Exceeds">
      <formula>NOT(ISERROR(SEARCH("Exceeds",G169)))</formula>
    </cfRule>
    <cfRule type="containsText" dxfId="571" priority="394" operator="containsText" text="Meets">
      <formula>NOT(ISERROR(SEARCH("Meets",G169)))</formula>
    </cfRule>
    <cfRule type="containsText" dxfId="570" priority="395" operator="containsText" text="Under">
      <formula>NOT(ISERROR(SEARCH("Under",G169)))</formula>
    </cfRule>
    <cfRule type="containsText" dxfId="569" priority="390" operator="containsText" text="Stop">
      <formula>NOT(ISERROR(SEARCH("Stop",G169)))</formula>
    </cfRule>
    <cfRule type="containsText" dxfId="568" priority="391" operator="containsText" text="Start">
      <formula>NOT(ISERROR(SEARCH("Start",G169)))</formula>
    </cfRule>
    <cfRule type="containsText" dxfId="567" priority="389" operator="containsText" text="Continue">
      <formula>NOT(ISERROR(SEARCH("Continue",G169)))</formula>
    </cfRule>
  </conditionalFormatting>
  <conditionalFormatting sqref="J29">
    <cfRule type="containsText" dxfId="566" priority="857" operator="containsText" text="Continue">
      <formula>NOT(ISERROR(SEARCH("Continue",J29)))</formula>
    </cfRule>
    <cfRule type="containsText" dxfId="565" priority="862" operator="containsText" text="Meets">
      <formula>NOT(ISERROR(SEARCH("Meets",J29)))</formula>
    </cfRule>
    <cfRule type="containsText" dxfId="564" priority="863" operator="containsText" text="Under">
      <formula>NOT(ISERROR(SEARCH("Under",J29)))</formula>
    </cfRule>
    <cfRule type="containsText" dxfId="563" priority="861" operator="containsText" text="Exceeds">
      <formula>NOT(ISERROR(SEARCH("Exceeds",J29)))</formula>
    </cfRule>
    <cfRule type="containsText" dxfId="562" priority="860" operator="containsText" text="N/A">
      <formula>NOT(ISERROR(SEARCH("N/A",J29)))</formula>
    </cfRule>
    <cfRule type="containsText" dxfId="561" priority="859" operator="containsText" text="Start">
      <formula>NOT(ISERROR(SEARCH("Start",J29)))</formula>
    </cfRule>
    <cfRule type="containsText" dxfId="560" priority="858" operator="containsText" text="Stop">
      <formula>NOT(ISERROR(SEARCH("Stop",J29)))</formula>
    </cfRule>
  </conditionalFormatting>
  <conditionalFormatting sqref="J31">
    <cfRule type="containsText" dxfId="559" priority="299" operator="containsText" text="Stop">
      <formula>NOT(ISERROR(SEARCH("Stop",J31)))</formula>
    </cfRule>
    <cfRule type="containsText" dxfId="558" priority="303" operator="containsText" text="Meets">
      <formula>NOT(ISERROR(SEARCH("Meets",J31)))</formula>
    </cfRule>
    <cfRule type="containsText" dxfId="557" priority="302" operator="containsText" text="Exceeds">
      <formula>NOT(ISERROR(SEARCH("Exceeds",J31)))</formula>
    </cfRule>
    <cfRule type="containsText" dxfId="556" priority="301" operator="containsText" text="N/A">
      <formula>NOT(ISERROR(SEARCH("N/A",J31)))</formula>
    </cfRule>
    <cfRule type="containsText" dxfId="555" priority="300" operator="containsText" text="Start">
      <formula>NOT(ISERROR(SEARCH("Start",J31)))</formula>
    </cfRule>
    <cfRule type="containsText" dxfId="554" priority="298" operator="containsText" text="Continue">
      <formula>NOT(ISERROR(SEARCH("Continue",J31)))</formula>
    </cfRule>
    <cfRule type="containsText" dxfId="553" priority="304" operator="containsText" text="Under">
      <formula>NOT(ISERROR(SEARCH("Under",J31)))</formula>
    </cfRule>
  </conditionalFormatting>
  <conditionalFormatting sqref="J35">
    <cfRule type="containsText" dxfId="552" priority="289" operator="containsText" text="Under">
      <formula>NOT(ISERROR(SEARCH("Under",J35)))</formula>
    </cfRule>
    <cfRule type="containsText" dxfId="551" priority="283" operator="containsText" text="Continue">
      <formula>NOT(ISERROR(SEARCH("Continue",J35)))</formula>
    </cfRule>
    <cfRule type="containsText" dxfId="550" priority="284" operator="containsText" text="Stop">
      <formula>NOT(ISERROR(SEARCH("Stop",J35)))</formula>
    </cfRule>
    <cfRule type="containsText" dxfId="549" priority="285" operator="containsText" text="Start">
      <formula>NOT(ISERROR(SEARCH("Start",J35)))</formula>
    </cfRule>
    <cfRule type="containsText" dxfId="548" priority="288" operator="containsText" text="Meets">
      <formula>NOT(ISERROR(SEARCH("Meets",J35)))</formula>
    </cfRule>
    <cfRule type="containsText" dxfId="547" priority="287" operator="containsText" text="Exceeds">
      <formula>NOT(ISERROR(SEARCH("Exceeds",J35)))</formula>
    </cfRule>
    <cfRule type="containsText" dxfId="546" priority="286" operator="containsText" text="N/A">
      <formula>NOT(ISERROR(SEARCH("N/A",J35)))</formula>
    </cfRule>
  </conditionalFormatting>
  <conditionalFormatting sqref="J37">
    <cfRule type="containsText" dxfId="545" priority="272" operator="containsText" text="N/A">
      <formula>NOT(ISERROR(SEARCH("N/A",J37)))</formula>
    </cfRule>
    <cfRule type="containsText" dxfId="544" priority="273" operator="containsText" text="Exceeds">
      <formula>NOT(ISERROR(SEARCH("Exceeds",J37)))</formula>
    </cfRule>
    <cfRule type="containsText" dxfId="543" priority="271" operator="containsText" text="Start">
      <formula>NOT(ISERROR(SEARCH("Start",J37)))</formula>
    </cfRule>
    <cfRule type="containsText" dxfId="542" priority="270" operator="containsText" text="Stop">
      <formula>NOT(ISERROR(SEARCH("Stop",J37)))</formula>
    </cfRule>
    <cfRule type="containsText" dxfId="541" priority="269" operator="containsText" text="Continue">
      <formula>NOT(ISERROR(SEARCH("Continue",J37)))</formula>
    </cfRule>
    <cfRule type="containsText" dxfId="540" priority="274" operator="containsText" text="Meets">
      <formula>NOT(ISERROR(SEARCH("Meets",J37)))</formula>
    </cfRule>
    <cfRule type="containsText" dxfId="539" priority="275" operator="containsText" text="Under">
      <formula>NOT(ISERROR(SEARCH("Under",J37)))</formula>
    </cfRule>
  </conditionalFormatting>
  <conditionalFormatting sqref="J41">
    <cfRule type="containsText" dxfId="538" priority="259" operator="containsText" text="Meets">
      <formula>NOT(ISERROR(SEARCH("Meets",J41)))</formula>
    </cfRule>
    <cfRule type="containsText" dxfId="537" priority="256" operator="containsText" text="Start">
      <formula>NOT(ISERROR(SEARCH("Start",J41)))</formula>
    </cfRule>
    <cfRule type="containsText" dxfId="536" priority="257" operator="containsText" text="N/A">
      <formula>NOT(ISERROR(SEARCH("N/A",J41)))</formula>
    </cfRule>
    <cfRule type="containsText" dxfId="535" priority="258" operator="containsText" text="Exceeds">
      <formula>NOT(ISERROR(SEARCH("Exceeds",J41)))</formula>
    </cfRule>
    <cfRule type="containsText" dxfId="534" priority="260" operator="containsText" text="Under">
      <formula>NOT(ISERROR(SEARCH("Under",J41)))</formula>
    </cfRule>
    <cfRule type="containsText" dxfId="533" priority="254" operator="containsText" text="Continue">
      <formula>NOT(ISERROR(SEARCH("Continue",J41)))</formula>
    </cfRule>
    <cfRule type="containsText" dxfId="532" priority="255" operator="containsText" text="Stop">
      <formula>NOT(ISERROR(SEARCH("Stop",J41)))</formula>
    </cfRule>
  </conditionalFormatting>
  <conditionalFormatting sqref="J43">
    <cfRule type="containsText" dxfId="531" priority="242" operator="containsText" text="Start">
      <formula>NOT(ISERROR(SEARCH("Start",J43)))</formula>
    </cfRule>
    <cfRule type="containsText" dxfId="530" priority="245" operator="containsText" text="Meets">
      <formula>NOT(ISERROR(SEARCH("Meets",J43)))</formula>
    </cfRule>
    <cfRule type="containsText" dxfId="529" priority="240" operator="containsText" text="Continue">
      <formula>NOT(ISERROR(SEARCH("Continue",J43)))</formula>
    </cfRule>
    <cfRule type="containsText" dxfId="528" priority="243" operator="containsText" text="N/A">
      <formula>NOT(ISERROR(SEARCH("N/A",J43)))</formula>
    </cfRule>
    <cfRule type="containsText" dxfId="527" priority="246" operator="containsText" text="Under">
      <formula>NOT(ISERROR(SEARCH("Under",J43)))</formula>
    </cfRule>
    <cfRule type="containsText" dxfId="526" priority="244" operator="containsText" text="Exceeds">
      <formula>NOT(ISERROR(SEARCH("Exceeds",J43)))</formula>
    </cfRule>
    <cfRule type="containsText" dxfId="525" priority="241" operator="containsText" text="Stop">
      <formula>NOT(ISERROR(SEARCH("Stop",J43)))</formula>
    </cfRule>
  </conditionalFormatting>
  <conditionalFormatting sqref="J47">
    <cfRule type="containsText" dxfId="524" priority="229" operator="containsText" text="Exceeds">
      <formula>NOT(ISERROR(SEARCH("Exceeds",J47)))</formula>
    </cfRule>
    <cfRule type="containsText" dxfId="523" priority="225" operator="containsText" text="Continue">
      <formula>NOT(ISERROR(SEARCH("Continue",J47)))</formula>
    </cfRule>
    <cfRule type="containsText" dxfId="522" priority="226" operator="containsText" text="Stop">
      <formula>NOT(ISERROR(SEARCH("Stop",J47)))</formula>
    </cfRule>
    <cfRule type="containsText" dxfId="521" priority="228" operator="containsText" text="N/A">
      <formula>NOT(ISERROR(SEARCH("N/A",J47)))</formula>
    </cfRule>
    <cfRule type="containsText" dxfId="520" priority="230" operator="containsText" text="Meets">
      <formula>NOT(ISERROR(SEARCH("Meets",J47)))</formula>
    </cfRule>
    <cfRule type="containsText" dxfId="519" priority="231" operator="containsText" text="Under">
      <formula>NOT(ISERROR(SEARCH("Under",J47)))</formula>
    </cfRule>
    <cfRule type="containsText" dxfId="518" priority="227" operator="containsText" text="Start">
      <formula>NOT(ISERROR(SEARCH("Start",J47)))</formula>
    </cfRule>
  </conditionalFormatting>
  <conditionalFormatting sqref="J49">
    <cfRule type="containsText" dxfId="517" priority="217" operator="containsText" text="Under">
      <formula>NOT(ISERROR(SEARCH("Under",J49)))</formula>
    </cfRule>
    <cfRule type="containsText" dxfId="516" priority="212" operator="containsText" text="Stop">
      <formula>NOT(ISERROR(SEARCH("Stop",J49)))</formula>
    </cfRule>
    <cfRule type="containsText" dxfId="515" priority="216" operator="containsText" text="Meets">
      <formula>NOT(ISERROR(SEARCH("Meets",J49)))</formula>
    </cfRule>
    <cfRule type="containsText" dxfId="514" priority="213" operator="containsText" text="Start">
      <formula>NOT(ISERROR(SEARCH("Start",J49)))</formula>
    </cfRule>
    <cfRule type="containsText" dxfId="513" priority="211" operator="containsText" text="Continue">
      <formula>NOT(ISERROR(SEARCH("Continue",J49)))</formula>
    </cfRule>
    <cfRule type="containsText" dxfId="512" priority="214" operator="containsText" text="N/A">
      <formula>NOT(ISERROR(SEARCH("N/A",J49)))</formula>
    </cfRule>
    <cfRule type="containsText" dxfId="511" priority="215" operator="containsText" text="Exceeds">
      <formula>NOT(ISERROR(SEARCH("Exceeds",J49)))</formula>
    </cfRule>
  </conditionalFormatting>
  <conditionalFormatting sqref="J53">
    <cfRule type="containsText" dxfId="510" priority="196" operator="containsText" text="Continue">
      <formula>NOT(ISERROR(SEARCH("Continue",J53)))</formula>
    </cfRule>
    <cfRule type="containsText" dxfId="509" priority="197" operator="containsText" text="Stop">
      <formula>NOT(ISERROR(SEARCH("Stop",J53)))</formula>
    </cfRule>
    <cfRule type="containsText" dxfId="508" priority="198" operator="containsText" text="Start">
      <formula>NOT(ISERROR(SEARCH("Start",J53)))</formula>
    </cfRule>
    <cfRule type="containsText" dxfId="507" priority="199" operator="containsText" text="N/A">
      <formula>NOT(ISERROR(SEARCH("N/A",J53)))</formula>
    </cfRule>
    <cfRule type="containsText" dxfId="506" priority="200" operator="containsText" text="Exceeds">
      <formula>NOT(ISERROR(SEARCH("Exceeds",J53)))</formula>
    </cfRule>
    <cfRule type="containsText" dxfId="505" priority="201" operator="containsText" text="Meets">
      <formula>NOT(ISERROR(SEARCH("Meets",J53)))</formula>
    </cfRule>
    <cfRule type="containsText" dxfId="504" priority="202" operator="containsText" text="Under">
      <formula>NOT(ISERROR(SEARCH("Under",J53)))</formula>
    </cfRule>
  </conditionalFormatting>
  <conditionalFormatting sqref="J55">
    <cfRule type="containsText" dxfId="503" priority="182" operator="containsText" text="Continue">
      <formula>NOT(ISERROR(SEARCH("Continue",J55)))</formula>
    </cfRule>
    <cfRule type="containsText" dxfId="502" priority="186" operator="containsText" text="Exceeds">
      <formula>NOT(ISERROR(SEARCH("Exceeds",J55)))</formula>
    </cfRule>
    <cfRule type="containsText" dxfId="501" priority="187" operator="containsText" text="Meets">
      <formula>NOT(ISERROR(SEARCH("Meets",J55)))</formula>
    </cfRule>
    <cfRule type="containsText" dxfId="500" priority="188" operator="containsText" text="Under">
      <formula>NOT(ISERROR(SEARCH("Under",J55)))</formula>
    </cfRule>
    <cfRule type="containsText" dxfId="499" priority="183" operator="containsText" text="Stop">
      <formula>NOT(ISERROR(SEARCH("Stop",J55)))</formula>
    </cfRule>
    <cfRule type="containsText" dxfId="498" priority="184" operator="containsText" text="Start">
      <formula>NOT(ISERROR(SEARCH("Start",J55)))</formula>
    </cfRule>
    <cfRule type="containsText" dxfId="497" priority="185" operator="containsText" text="N/A">
      <formula>NOT(ISERROR(SEARCH("N/A",J55)))</formula>
    </cfRule>
  </conditionalFormatting>
  <conditionalFormatting sqref="J59">
    <cfRule type="containsText" dxfId="496" priority="167" operator="containsText" text="Continue">
      <formula>NOT(ISERROR(SEARCH("Continue",J59)))</formula>
    </cfRule>
    <cfRule type="containsText" dxfId="495" priority="168" operator="containsText" text="Stop">
      <formula>NOT(ISERROR(SEARCH("Stop",J59)))</formula>
    </cfRule>
    <cfRule type="containsText" dxfId="494" priority="169" operator="containsText" text="Start">
      <formula>NOT(ISERROR(SEARCH("Start",J59)))</formula>
    </cfRule>
    <cfRule type="containsText" dxfId="493" priority="170" operator="containsText" text="N/A">
      <formula>NOT(ISERROR(SEARCH("N/A",J59)))</formula>
    </cfRule>
    <cfRule type="containsText" dxfId="492" priority="171" operator="containsText" text="Exceeds">
      <formula>NOT(ISERROR(SEARCH("Exceeds",J59)))</formula>
    </cfRule>
    <cfRule type="containsText" dxfId="491" priority="172" operator="containsText" text="Meets">
      <formula>NOT(ISERROR(SEARCH("Meets",J59)))</formula>
    </cfRule>
    <cfRule type="containsText" dxfId="490" priority="173" operator="containsText" text="Under">
      <formula>NOT(ISERROR(SEARCH("Under",J59)))</formula>
    </cfRule>
  </conditionalFormatting>
  <conditionalFormatting sqref="J61">
    <cfRule type="containsText" dxfId="489" priority="155" operator="containsText" text="Start">
      <formula>NOT(ISERROR(SEARCH("Start",J61)))</formula>
    </cfRule>
    <cfRule type="containsText" dxfId="488" priority="154" operator="containsText" text="Stop">
      <formula>NOT(ISERROR(SEARCH("Stop",J61)))</formula>
    </cfRule>
    <cfRule type="containsText" dxfId="487" priority="156" operator="containsText" text="N/A">
      <formula>NOT(ISERROR(SEARCH("N/A",J61)))</formula>
    </cfRule>
    <cfRule type="containsText" dxfId="486" priority="153" operator="containsText" text="Continue">
      <formula>NOT(ISERROR(SEARCH("Continue",J61)))</formula>
    </cfRule>
    <cfRule type="containsText" dxfId="485" priority="157" operator="containsText" text="Exceeds">
      <formula>NOT(ISERROR(SEARCH("Exceeds",J61)))</formula>
    </cfRule>
    <cfRule type="containsText" dxfId="484" priority="158" operator="containsText" text="Meets">
      <formula>NOT(ISERROR(SEARCH("Meets",J61)))</formula>
    </cfRule>
    <cfRule type="containsText" dxfId="483" priority="159" operator="containsText" text="Under">
      <formula>NOT(ISERROR(SEARCH("Under",J61)))</formula>
    </cfRule>
  </conditionalFormatting>
  <conditionalFormatting sqref="J65">
    <cfRule type="containsText" dxfId="482" priority="141" operator="containsText" text="N/A">
      <formula>NOT(ISERROR(SEARCH("N/A",J65)))</formula>
    </cfRule>
    <cfRule type="containsText" dxfId="481" priority="140" operator="containsText" text="Start">
      <formula>NOT(ISERROR(SEARCH("Start",J65)))</formula>
    </cfRule>
    <cfRule type="containsText" dxfId="480" priority="139" operator="containsText" text="Stop">
      <formula>NOT(ISERROR(SEARCH("Stop",J65)))</formula>
    </cfRule>
    <cfRule type="containsText" dxfId="479" priority="138" operator="containsText" text="Continue">
      <formula>NOT(ISERROR(SEARCH("Continue",J65)))</formula>
    </cfRule>
    <cfRule type="containsText" dxfId="478" priority="144" operator="containsText" text="Under">
      <formula>NOT(ISERROR(SEARCH("Under",J65)))</formula>
    </cfRule>
    <cfRule type="containsText" dxfId="477" priority="143" operator="containsText" text="Meets">
      <formula>NOT(ISERROR(SEARCH("Meets",J65)))</formula>
    </cfRule>
    <cfRule type="containsText" dxfId="476" priority="142" operator="containsText" text="Exceeds">
      <formula>NOT(ISERROR(SEARCH("Exceeds",J65)))</formula>
    </cfRule>
  </conditionalFormatting>
  <conditionalFormatting sqref="J67">
    <cfRule type="containsText" dxfId="475" priority="128" operator="containsText" text="Exceeds">
      <formula>NOT(ISERROR(SEARCH("Exceeds",J67)))</formula>
    </cfRule>
    <cfRule type="containsText" dxfId="474" priority="127" operator="containsText" text="N/A">
      <formula>NOT(ISERROR(SEARCH("N/A",J67)))</formula>
    </cfRule>
    <cfRule type="containsText" dxfId="473" priority="126" operator="containsText" text="Start">
      <formula>NOT(ISERROR(SEARCH("Start",J67)))</formula>
    </cfRule>
    <cfRule type="containsText" dxfId="472" priority="125" operator="containsText" text="Stop">
      <formula>NOT(ISERROR(SEARCH("Stop",J67)))</formula>
    </cfRule>
    <cfRule type="containsText" dxfId="471" priority="124" operator="containsText" text="Continue">
      <formula>NOT(ISERROR(SEARCH("Continue",J67)))</formula>
    </cfRule>
    <cfRule type="containsText" dxfId="470" priority="130" operator="containsText" text="Under">
      <formula>NOT(ISERROR(SEARCH("Under",J67)))</formula>
    </cfRule>
    <cfRule type="containsText" dxfId="469" priority="129" operator="containsText" text="Meets">
      <formula>NOT(ISERROR(SEARCH("Meets",J67)))</formula>
    </cfRule>
  </conditionalFormatting>
  <conditionalFormatting sqref="J154:J156">
    <cfRule type="containsText" dxfId="468" priority="106" operator="containsText" text="Under">
      <formula>NOT(ISERROR(SEARCH("Under",J154)))</formula>
    </cfRule>
    <cfRule type="containsText" dxfId="467" priority="105" operator="containsText" text="Meets">
      <formula>NOT(ISERROR(SEARCH("Meets",J154)))</formula>
    </cfRule>
    <cfRule type="containsText" dxfId="466" priority="104" operator="containsText" text="Exceeds">
      <formula>NOT(ISERROR(SEARCH("Exceeds",J154)))</formula>
    </cfRule>
    <cfRule type="containsText" dxfId="465" priority="103" operator="containsText" text="N/A">
      <formula>NOT(ISERROR(SEARCH("N/A",J154)))</formula>
    </cfRule>
    <cfRule type="containsText" dxfId="464" priority="102" operator="containsText" text="Start">
      <formula>NOT(ISERROR(SEARCH("Start",J154)))</formula>
    </cfRule>
    <cfRule type="containsText" dxfId="463" priority="101" operator="containsText" text="Stop">
      <formula>NOT(ISERROR(SEARCH("Stop",J154)))</formula>
    </cfRule>
    <cfRule type="containsText" dxfId="462" priority="100" operator="containsText" text="Continue">
      <formula>NOT(ISERROR(SEARCH("Continue",J154)))</formula>
    </cfRule>
  </conditionalFormatting>
  <conditionalFormatting sqref="J155">
    <cfRule type="dataBar" priority="115">
      <dataBar>
        <cfvo type="num" val="0"/>
        <cfvo type="num" val="1"/>
        <color rgb="FF63C384"/>
      </dataBar>
      <extLst>
        <ext xmlns:x14="http://schemas.microsoft.com/office/spreadsheetml/2009/9/main" uri="{B025F937-C7B1-47D3-B67F-A62EFF666E3E}">
          <x14:id>{6B0A676D-2166-4DBB-A050-34B3908933B9}</x14:id>
        </ext>
      </extLst>
    </cfRule>
    <cfRule type="dataBar" priority="107">
      <dataBar>
        <cfvo type="num" val="0"/>
        <cfvo type="num" val="1"/>
        <color theme="0" tint="-0.249977111117893"/>
      </dataBar>
      <extLst>
        <ext xmlns:x14="http://schemas.microsoft.com/office/spreadsheetml/2009/9/main" uri="{B025F937-C7B1-47D3-B67F-A62EFF666E3E}">
          <x14:id>{994DD667-C841-49D9-9754-380E39504E2A}</x14:id>
        </ext>
      </extLst>
    </cfRule>
  </conditionalFormatting>
  <conditionalFormatting sqref="J159 J164">
    <cfRule type="containsText" dxfId="461" priority="1023" operator="containsText" text="Stop">
      <formula>NOT(ISERROR(SEARCH("Stop",J159)))</formula>
    </cfRule>
    <cfRule type="containsText" dxfId="460" priority="1025" operator="containsText" text="N/A">
      <formula>NOT(ISERROR(SEARCH("N/A",J159)))</formula>
    </cfRule>
    <cfRule type="containsText" dxfId="459" priority="1024" operator="containsText" text="Start">
      <formula>NOT(ISERROR(SEARCH("Start",J159)))</formula>
    </cfRule>
    <cfRule type="containsText" dxfId="458" priority="1026" operator="containsText" text="Exceeds">
      <formula>NOT(ISERROR(SEARCH("Exceeds",J159)))</formula>
    </cfRule>
    <cfRule type="containsText" dxfId="457" priority="1027" operator="containsText" text="Meets">
      <formula>NOT(ISERROR(SEARCH("Meets",J159)))</formula>
    </cfRule>
    <cfRule type="containsText" dxfId="456" priority="1028" operator="containsText" text="Under">
      <formula>NOT(ISERROR(SEARCH("Under",J159)))</formula>
    </cfRule>
    <cfRule type="containsText" dxfId="455" priority="1022" operator="containsText" text="Continue">
      <formula>NOT(ISERROR(SEARCH("Continue",J159)))</formula>
    </cfRule>
  </conditionalFormatting>
  <conditionalFormatting sqref="J161">
    <cfRule type="containsText" dxfId="454" priority="458" operator="containsText" text="Meets">
      <formula>NOT(ISERROR(SEARCH("Meets",J161)))</formula>
    </cfRule>
    <cfRule type="containsText" dxfId="453" priority="457" operator="containsText" text="Exceeds">
      <formula>NOT(ISERROR(SEARCH("Exceeds",J161)))</formula>
    </cfRule>
    <cfRule type="containsText" dxfId="452" priority="456" operator="containsText" text="N/A">
      <formula>NOT(ISERROR(SEARCH("N/A",J161)))</formula>
    </cfRule>
    <cfRule type="containsText" dxfId="451" priority="455" operator="containsText" text="Start">
      <formula>NOT(ISERROR(SEARCH("Start",J161)))</formula>
    </cfRule>
    <cfRule type="containsText" dxfId="450" priority="454" operator="containsText" text="Stop">
      <formula>NOT(ISERROR(SEARCH("Stop",J161)))</formula>
    </cfRule>
    <cfRule type="containsText" dxfId="449" priority="453" operator="containsText" text="Continue">
      <formula>NOT(ISERROR(SEARCH("Continue",J161)))</formula>
    </cfRule>
    <cfRule type="containsText" dxfId="448" priority="459" operator="containsText" text="Under">
      <formula>NOT(ISERROR(SEARCH("Under",J161)))</formula>
    </cfRule>
  </conditionalFormatting>
  <conditionalFormatting sqref="J166">
    <cfRule type="containsText" dxfId="447" priority="425" operator="containsText" text="Exceeds">
      <formula>NOT(ISERROR(SEARCH("Exceeds",J166)))</formula>
    </cfRule>
    <cfRule type="containsText" dxfId="446" priority="427" operator="containsText" text="Under">
      <formula>NOT(ISERROR(SEARCH("Under",J166)))</formula>
    </cfRule>
    <cfRule type="containsText" dxfId="445" priority="424" operator="containsText" text="N/A">
      <formula>NOT(ISERROR(SEARCH("N/A",J166)))</formula>
    </cfRule>
    <cfRule type="containsText" dxfId="444" priority="423" operator="containsText" text="Start">
      <formula>NOT(ISERROR(SEARCH("Start",J166)))</formula>
    </cfRule>
    <cfRule type="containsText" dxfId="443" priority="422" operator="containsText" text="Stop">
      <formula>NOT(ISERROR(SEARCH("Stop",J166)))</formula>
    </cfRule>
    <cfRule type="containsText" dxfId="442" priority="421" operator="containsText" text="Continue">
      <formula>NOT(ISERROR(SEARCH("Continue",J166)))</formula>
    </cfRule>
    <cfRule type="containsText" dxfId="441" priority="426" operator="containsText" text="Meets">
      <formula>NOT(ISERROR(SEARCH("Meets",J166)))</formula>
    </cfRule>
  </conditionalFormatting>
  <conditionalFormatting sqref="J169">
    <cfRule type="containsText" dxfId="440" priority="416" operator="containsText" text="Start">
      <formula>NOT(ISERROR(SEARCH("Start",J169)))</formula>
    </cfRule>
    <cfRule type="containsText" dxfId="439" priority="415" operator="containsText" text="Stop">
      <formula>NOT(ISERROR(SEARCH("Stop",J169)))</formula>
    </cfRule>
    <cfRule type="containsText" dxfId="438" priority="419" operator="containsText" text="Meets">
      <formula>NOT(ISERROR(SEARCH("Meets",J169)))</formula>
    </cfRule>
    <cfRule type="containsText" dxfId="437" priority="414" operator="containsText" text="Continue">
      <formula>NOT(ISERROR(SEARCH("Continue",J169)))</formula>
    </cfRule>
    <cfRule type="containsText" dxfId="436" priority="420" operator="containsText" text="Under">
      <formula>NOT(ISERROR(SEARCH("Under",J169)))</formula>
    </cfRule>
    <cfRule type="containsText" dxfId="435" priority="417" operator="containsText" text="N/A">
      <formula>NOT(ISERROR(SEARCH("N/A",J169)))</formula>
    </cfRule>
    <cfRule type="containsText" dxfId="434" priority="418" operator="containsText" text="Exceeds">
      <formula>NOT(ISERROR(SEARCH("Exceeds",J169)))</formula>
    </cfRule>
  </conditionalFormatting>
  <conditionalFormatting sqref="J171">
    <cfRule type="containsText" dxfId="433" priority="382" operator="containsText" text="Continue">
      <formula>NOT(ISERROR(SEARCH("Continue",J171)))</formula>
    </cfRule>
    <cfRule type="containsText" dxfId="432" priority="383" operator="containsText" text="Stop">
      <formula>NOT(ISERROR(SEARCH("Stop",J171)))</formula>
    </cfRule>
    <cfRule type="containsText" dxfId="431" priority="385" operator="containsText" text="N/A">
      <formula>NOT(ISERROR(SEARCH("N/A",J171)))</formula>
    </cfRule>
    <cfRule type="containsText" dxfId="430" priority="386" operator="containsText" text="Exceeds">
      <formula>NOT(ISERROR(SEARCH("Exceeds",J171)))</formula>
    </cfRule>
    <cfRule type="containsText" dxfId="429" priority="384" operator="containsText" text="Start">
      <formula>NOT(ISERROR(SEARCH("Start",J171)))</formula>
    </cfRule>
    <cfRule type="containsText" dxfId="428" priority="387" operator="containsText" text="Meets">
      <formula>NOT(ISERROR(SEARCH("Meets",J171)))</formula>
    </cfRule>
    <cfRule type="containsText" dxfId="427" priority="388" operator="containsText" text="Under">
      <formula>NOT(ISERROR(SEARCH("Under",J171)))</formula>
    </cfRule>
  </conditionalFormatting>
  <conditionalFormatting sqref="M62 M68">
    <cfRule type="containsText" dxfId="426" priority="1850" operator="containsText" text="N/A">
      <formula>NOT(ISERROR(SEARCH("N/A",M62)))</formula>
    </cfRule>
    <cfRule type="containsText" dxfId="425" priority="1851" operator="containsText" text="Exceeds">
      <formula>NOT(ISERROR(SEARCH("Exceeds",M62)))</formula>
    </cfRule>
    <cfRule type="containsText" dxfId="424" priority="1852" operator="containsText" text="Meets">
      <formula>NOT(ISERROR(SEARCH("Meets",M62)))</formula>
    </cfRule>
    <cfRule type="containsText" dxfId="423" priority="1853" operator="containsText" text="Under">
      <formula>NOT(ISERROR(SEARCH("Under",M62)))</formula>
    </cfRule>
  </conditionalFormatting>
  <conditionalFormatting sqref="Q14:Q16">
    <cfRule type="containsText" dxfId="422" priority="1975" operator="containsText" text="Exceeds">
      <formula>NOT(ISERROR(SEARCH("Exceeds",Q14)))</formula>
    </cfRule>
    <cfRule type="containsText" dxfId="421" priority="1976" operator="containsText" text="Meets">
      <formula>NOT(ISERROR(SEARCH("Meets",Q14)))</formula>
    </cfRule>
    <cfRule type="containsText" dxfId="420" priority="1977" operator="containsText" text="Under">
      <formula>NOT(ISERROR(SEARCH("Under",Q14)))</formula>
    </cfRule>
    <cfRule type="containsText" dxfId="419" priority="1974" operator="containsText" text="N/A">
      <formula>NOT(ISERROR(SEARCH("N/A",Q14)))</formula>
    </cfRule>
  </conditionalFormatting>
  <dataValidations count="8">
    <dataValidation type="list" allowBlank="1" showInputMessage="1" showErrorMessage="1" sqref="L73:L80" xr:uid="{41AADC24-2491-48AB-92A3-A1070D2FE79B}">
      <formula1>"0, 1, 2, 3, 4, 5, 6, 7, 8, 9, 10"</formula1>
    </dataValidation>
    <dataValidation allowBlank="1" showInputMessage="1" showErrorMessage="1" prompt="Enter Company Name in cell B4._x000a_A legend is in cells I4 through AC4.  The Legend label is in cell G4." sqref="A2:C2" xr:uid="{F86B6265-E33F-4111-9FA6-E16DB2A21E3D}"/>
    <dataValidation allowBlank="1" showInputMessage="1" showErrorMessage="1" prompt="Cells I9 through BL9 contain the day number of the month for the Month represented in the cell block above each date cell and are auto calculated._x000a_Do not modify these cells._x000a_" sqref="A8:C8" xr:uid="{06F95B8A-16B8-41D8-A7FE-337CE751F139}"/>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F1A3B87C-8A84-4931-82CC-CF74A300F053}"/>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D9C193B-56EB-4652-9DB5-87D4648362DC}"/>
    <dataValidation type="list" allowBlank="1" showInputMessage="1" showErrorMessage="1" sqref="F178:F179" xr:uid="{738C168A-5E63-459A-AB1C-C10397A8D74F}">
      <formula1>"Ready for next, Happy for now"</formula1>
    </dataValidation>
    <dataValidation type="list" allowBlank="1" showInputMessage="1" showErrorMessage="1" sqref="G73:G80" xr:uid="{ECF77D46-2145-443E-A0D0-27C95A36EF2C}">
      <formula1>"Online self-paced, Online, Hybrid, In person, Peer learning"</formula1>
    </dataValidation>
    <dataValidation type="list" allowBlank="1" showInputMessage="1" showErrorMessage="1" sqref="J73:J80" xr:uid="{4CE37AC1-C027-426C-AB27-16FD28C729C8}">
      <formula1>"Yes, No"</formula1>
    </dataValidation>
  </dataValidations>
  <hyperlinks>
    <hyperlink ref="G85:H85" r:id="rId1" location=":~:text=use%20the%20method.-,Examples%20of%20SMART%20Goals,-We%20will%C2%A0create" display="Examples of SMART Goals" xr:uid="{416E2522-CEB2-4557-9287-29A5CD7B74FE}"/>
    <hyperlink ref="G85" r:id="rId2" location=":~:text=Examples%20of%20S.M.A.R.T.%20Goals" display="https://www.forbes.com/advisor/business/smart-goals/#:~:text=Examples%20of%20S.M.A.R.T.%20Goals" xr:uid="{645DC235-57FE-4A7A-9F30-0C9BDEFAB22F}"/>
    <hyperlink ref="I85" r:id="rId3" location=":~:text=use%20the%20method.-,Examples%20of%20SMART%20Goals,-We%20will%C2%A0create" display="Examples of SMART Goals" xr:uid="{BB695A85-7A55-415C-A3C1-FFB7DF4B958F}"/>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A8F8C207-A56F-4306-89B1-2D1C71F5C64E}">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F24FF897-AF89-4046-8F6E-77CF9B9646D9}">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98F2B64-A92E-4A64-886A-DC818E592776}">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CBB1FAA9-C97C-47BC-8B69-ADA007A5E98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ECD0F364-FBC4-4FA7-B94C-CC814058D0B9}">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3EE64423-439D-4ABC-97E3-73EAFE780581}">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51F35C33-8DF7-4939-A375-329B68D1DB6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F8490C26-567B-4835-8A33-F3CD27733B43}">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6DEB625-8700-4790-9BD3-ECAF92DB4B87}">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321F5CFA-3979-4DE5-92BF-2CCD199EF76A}">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EEEA8183-8904-4A35-BE8A-E6FB756396A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23A237E-98C7-44D4-9DE5-BB0B18A330F6}">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00442FD-C760-4912-82D3-9BADC6CD8F50}">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A9F2FA2-705A-402B-AD11-43A429454AF5}">
            <x14:dataBar minLength="0" maxLength="100" gradient="0">
              <x14:cfvo type="num">
                <xm:f>0</xm:f>
              </x14:cfvo>
              <x14:cfvo type="num">
                <xm:f>1</xm:f>
              </x14:cfvo>
              <x14:negativeFillColor rgb="FFFF0000"/>
              <x14:axisColor rgb="FF000000"/>
            </x14:dataBar>
          </x14:cfRule>
          <x14:cfRule type="dataBar" id="{AF408706-C417-4A31-83D3-41D5C4E547E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D5B011AE-31B7-4F79-9803-181C459D865E}">
            <x14:dataBar minLength="0" maxLength="100" gradient="0">
              <x14:cfvo type="num">
                <xm:f>0</xm:f>
              </x14:cfvo>
              <x14:cfvo type="num">
                <xm:f>1</xm:f>
              </x14:cfvo>
              <x14:negativeFillColor rgb="FFFF0000"/>
              <x14:axisColor rgb="FF000000"/>
            </x14:dataBar>
          </x14:cfRule>
          <x14:cfRule type="dataBar" id="{44A894E2-A760-4AE8-928B-8D16C4D66262}">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30C7B1DB-78EB-40F3-86A1-94D218386F37}">
            <x14:dataBar minLength="0" maxLength="100" gradient="0">
              <x14:cfvo type="num">
                <xm:f>0</xm:f>
              </x14:cfvo>
              <x14:cfvo type="num">
                <xm:f>1</xm:f>
              </x14:cfvo>
              <x14:negativeFillColor rgb="FFFF0000"/>
              <x14:axisColor rgb="FF000000"/>
            </x14:dataBar>
          </x14:cfRule>
          <x14:cfRule type="dataBar" id="{12751B78-4159-4F6D-B1EB-CFF4FF6FC63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6585D62D-F591-44D3-A885-365C20659360}">
            <x14:dataBar minLength="0" maxLength="100" gradient="0">
              <x14:cfvo type="num">
                <xm:f>0</xm:f>
              </x14:cfvo>
              <x14:cfvo type="num">
                <xm:f>1</xm:f>
              </x14:cfvo>
              <x14:negativeFillColor rgb="FFFF0000"/>
              <x14:axisColor rgb="FF000000"/>
            </x14:dataBar>
          </x14:cfRule>
          <x14:cfRule type="dataBar" id="{A079EE5B-3A98-4BF1-80C8-A933CD792F4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B937BC51-6F69-46AA-A0F6-56CD87BCD0FB}">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79A20887-B72D-4226-A093-ACFA0DB4C0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729A512-5AE0-461C-8FBD-48E00AFCFA07}">
            <x14:dataBar minLength="0" maxLength="100" gradient="0">
              <x14:cfvo type="num">
                <xm:f>0</xm:f>
              </x14:cfvo>
              <x14:cfvo type="num">
                <xm:f>1</xm:f>
              </x14:cfvo>
              <x14:negativeFillColor rgb="FFFF0000"/>
              <x14:axisColor rgb="FF000000"/>
            </x14:dataBar>
          </x14:cfRule>
          <x14:cfRule type="dataBar" id="{1DE4EA2B-5B74-405A-8C1D-3524834A0CB8}">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4904B687-812D-4161-A0BF-F4EEC7B1888B}">
            <x14:dataBar minLength="0" maxLength="100" gradient="0">
              <x14:cfvo type="num">
                <xm:f>0</xm:f>
              </x14:cfvo>
              <x14:cfvo type="num">
                <xm:f>1</xm:f>
              </x14:cfvo>
              <x14:negativeFillColor rgb="FFFF0000"/>
              <x14:axisColor rgb="FF000000"/>
            </x14:dataBar>
          </x14:cfRule>
          <x14:cfRule type="dataBar" id="{D1B5FDBE-A952-495D-AC85-47932AFAA1B4}">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B24D1F73-A17D-464F-9B3A-9575380E81B8}">
            <x14:dataBar minLength="0" maxLength="100" gradient="0">
              <x14:cfvo type="num">
                <xm:f>0</xm:f>
              </x14:cfvo>
              <x14:cfvo type="num">
                <xm:f>1</xm:f>
              </x14:cfvo>
              <x14:negativeFillColor rgb="FFFF0000"/>
              <x14:axisColor rgb="FF000000"/>
            </x14:dataBar>
          </x14:cfRule>
          <x14:cfRule type="dataBar" id="{B4834E7E-4229-4D61-B58D-68AF8520D4DF}">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94B04C2F-868A-4ED7-9773-C232C6BEC0A0}">
            <x14:dataBar minLength="0" maxLength="100" gradient="0">
              <x14:cfvo type="num">
                <xm:f>0</xm:f>
              </x14:cfvo>
              <x14:cfvo type="num">
                <xm:f>1</xm:f>
              </x14:cfvo>
              <x14:negativeFillColor rgb="FFFF0000"/>
              <x14:axisColor rgb="FF000000"/>
            </x14:dataBar>
          </x14:cfRule>
          <x14:cfRule type="dataBar" id="{2247779D-632E-4BC7-8E23-FDD639732A25}">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66BAA16-37D6-4E95-9029-0C1F5ADDB9F9}">
            <x14:dataBar minLength="0" maxLength="100" gradient="0">
              <x14:cfvo type="num">
                <xm:f>0</xm:f>
              </x14:cfvo>
              <x14:cfvo type="num">
                <xm:f>1</xm:f>
              </x14:cfvo>
              <x14:negativeFillColor rgb="FFFF0000"/>
              <x14:axisColor rgb="FF000000"/>
            </x14:dataBar>
          </x14:cfRule>
          <x14:cfRule type="dataBar" id="{2298544A-BAFB-4902-9142-C8729422BCF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CF72DFDB-00BB-43D4-ADE1-87E2D64D896A}">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F264F816-88D5-4F53-A470-AAE089E78F4B}">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69FAC3-BB60-4968-B11E-46F2A5E7F1F7}">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F636DA8-8F99-41D9-AA02-5C772FC62E6D}">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778328BC-40EB-4DC7-9543-E45C6DFFADBC}">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2012A304-F66D-4871-B836-543725B309E4}">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4DE6C48-5460-4082-9A06-5A8B44A39CCA}">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9511C6E1-DEB5-44E5-90AC-2658C173902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6B0A676D-2166-4DBB-A050-34B3908933B9}">
            <x14:dataBar minLength="0" maxLength="100" gradient="0">
              <x14:cfvo type="num">
                <xm:f>0</xm:f>
              </x14:cfvo>
              <x14:cfvo type="num">
                <xm:f>1</xm:f>
              </x14:cfvo>
              <x14:negativeFillColor rgb="FFFF0000"/>
              <x14:axisColor rgb="FF000000"/>
            </x14:dataBar>
          </x14:cfRule>
          <x14:cfRule type="dataBar" id="{994DD667-C841-49D9-9754-380E39504E2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47F2-1BB2-4619-98A1-AD9B65C72E75}">
  <sheetPr>
    <pageSetUpPr autoPageBreaks="0" fitToPage="1"/>
  </sheetPr>
  <dimension ref="A1:Q191"/>
  <sheetViews>
    <sheetView topLeftCell="B165" zoomScale="53" zoomScaleNormal="7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31.42578125" style="124" customWidth="1"/>
    <col min="8" max="8" width="35.85546875" style="124" customWidth="1"/>
    <col min="9" max="9" width="52.140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22" t="str">
        <f>'CC 2023'!E2</f>
        <v>Employee Name</v>
      </c>
      <c r="F2" s="522"/>
      <c r="G2" s="522"/>
      <c r="H2" s="522"/>
      <c r="I2" s="150"/>
      <c r="J2" s="150"/>
      <c r="K2" s="133"/>
      <c r="L2" s="144" t="e">
        <f>CONCATENATE(G146,"/",Q174)</f>
        <v>#DIV/0!</v>
      </c>
      <c r="M2" s="151"/>
      <c r="O2" s="149"/>
    </row>
    <row r="3" spans="1:17" s="148" customFormat="1" ht="23.25" customHeight="1" x14ac:dyDescent="0.25">
      <c r="A3" s="100"/>
      <c r="B3" s="100"/>
      <c r="C3" s="101"/>
      <c r="D3" s="107"/>
      <c r="E3" s="152">
        <v>2026</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235" t="str">
        <f>'CC 2026'!F6</f>
        <v xml:space="preserve">Full Stack Developer </v>
      </c>
      <c r="G6" s="236"/>
      <c r="H6" s="236"/>
      <c r="I6" s="236"/>
      <c r="J6" s="236"/>
      <c r="K6" s="236"/>
      <c r="L6" s="237"/>
      <c r="M6" s="154"/>
      <c r="O6" s="124"/>
    </row>
    <row r="7" spans="1:17" s="148" customFormat="1" ht="50.45" customHeight="1" x14ac:dyDescent="0.35">
      <c r="A7" s="100"/>
      <c r="B7" s="100"/>
      <c r="C7" s="101"/>
      <c r="D7" s="107"/>
      <c r="E7" s="105" t="s">
        <v>3</v>
      </c>
      <c r="F7" s="238" t="str">
        <f>'CC 2026'!F7</f>
        <v xml:space="preserve">Anael </v>
      </c>
      <c r="G7" s="239"/>
      <c r="H7" s="239"/>
      <c r="I7" s="239"/>
      <c r="J7" s="239"/>
      <c r="K7" s="239"/>
      <c r="L7" s="240"/>
      <c r="M7" s="154"/>
      <c r="O7" s="124"/>
    </row>
    <row r="8" spans="1:17" s="148" customFormat="1" ht="50.45" customHeight="1" thickBot="1" x14ac:dyDescent="0.4">
      <c r="A8" s="100"/>
      <c r="B8" s="100"/>
      <c r="C8" s="101"/>
      <c r="D8" s="103"/>
      <c r="E8" s="106" t="s">
        <v>4</v>
      </c>
      <c r="F8" s="241">
        <f>'CC 2026'!F8</f>
        <v>45475</v>
      </c>
      <c r="G8" s="242"/>
      <c r="H8" s="242"/>
      <c r="I8" s="242"/>
      <c r="J8" s="242"/>
      <c r="K8" s="242"/>
      <c r="L8" s="243"/>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244" t="s">
        <v>216</v>
      </c>
      <c r="G10" s="245"/>
      <c r="H10" s="245"/>
      <c r="I10" s="245"/>
      <c r="J10" s="245"/>
      <c r="K10" s="245"/>
      <c r="L10" s="246"/>
      <c r="M10" s="151"/>
      <c r="O10" s="149"/>
      <c r="Q10" s="124"/>
    </row>
    <row r="11" spans="1:17" s="148" customFormat="1" ht="50.45" customHeight="1" thickBot="1" x14ac:dyDescent="0.4">
      <c r="C11" s="155"/>
      <c r="D11" s="156"/>
      <c r="E11" s="106" t="s">
        <v>6</v>
      </c>
      <c r="F11" s="247" t="s">
        <v>216</v>
      </c>
      <c r="G11" s="248"/>
      <c r="H11" s="248"/>
      <c r="I11" s="248"/>
      <c r="J11" s="248"/>
      <c r="K11" s="248"/>
      <c r="L11" s="249"/>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60" t="s">
        <v>7</v>
      </c>
      <c r="F14" s="260"/>
      <c r="G14" s="261" t="str">
        <f>'CC 2023'!E2</f>
        <v>Employee Name</v>
      </c>
      <c r="H14" s="262"/>
      <c r="I14" s="262"/>
      <c r="J14" s="262"/>
      <c r="K14" s="263"/>
      <c r="L14" s="108" t="s">
        <v>8</v>
      </c>
      <c r="M14" s="44"/>
      <c r="Q14" s="148"/>
    </row>
    <row r="15" spans="1:17" ht="93" customHeight="1" x14ac:dyDescent="0.35">
      <c r="D15" s="158"/>
      <c r="E15" s="264" t="str">
        <f>CONCATENATE("Mid-year meeting - ", TEXT($F$10,"dd/mm/yyyy"))</f>
        <v>Mid-year meeting - TBD</v>
      </c>
      <c r="F15" s="109" t="s">
        <v>9</v>
      </c>
      <c r="G15" s="268"/>
      <c r="H15" s="253"/>
      <c r="I15" s="253"/>
      <c r="J15" s="253"/>
      <c r="K15" s="253"/>
      <c r="L15" s="254"/>
      <c r="M15" s="44"/>
    </row>
    <row r="16" spans="1:17" ht="93" customHeight="1" x14ac:dyDescent="0.35">
      <c r="D16" s="158"/>
      <c r="E16" s="265"/>
      <c r="F16" s="110" t="s">
        <v>10</v>
      </c>
      <c r="G16" s="269"/>
      <c r="H16" s="256"/>
      <c r="I16" s="256"/>
      <c r="J16" s="256"/>
      <c r="K16" s="256"/>
      <c r="L16" s="255"/>
      <c r="M16" s="44"/>
    </row>
    <row r="17" spans="4:13" ht="117" customHeight="1" x14ac:dyDescent="0.35">
      <c r="D17" s="158"/>
      <c r="E17" s="266"/>
      <c r="F17" s="110" t="s">
        <v>11</v>
      </c>
      <c r="G17" s="269"/>
      <c r="H17" s="256"/>
      <c r="I17" s="256"/>
      <c r="J17" s="256"/>
      <c r="K17" s="256"/>
      <c r="L17" s="77"/>
      <c r="M17" s="44"/>
    </row>
    <row r="18" spans="4:13" ht="35.450000000000003" customHeight="1" thickBot="1" x14ac:dyDescent="0.4">
      <c r="D18" s="158"/>
      <c r="E18" s="267"/>
      <c r="F18" s="111" t="s">
        <v>12</v>
      </c>
      <c r="G18" s="257" t="e">
        <f>AVERAGE(L15:L17)</f>
        <v>#DIV/0!</v>
      </c>
      <c r="H18" s="258"/>
      <c r="I18" s="258"/>
      <c r="J18" s="258"/>
      <c r="K18" s="258"/>
      <c r="L18" s="259"/>
      <c r="M18" s="44"/>
    </row>
    <row r="19" spans="4:13" ht="93" customHeight="1" x14ac:dyDescent="0.35">
      <c r="D19" s="158"/>
      <c r="E19" s="250" t="str">
        <f>CONCATENATE("End-of-year meeting - ", TEXT($F$11,"dd/mm/yyyy"))</f>
        <v>End-of-year meeting - TBD</v>
      </c>
      <c r="F19" s="112" t="s">
        <v>13</v>
      </c>
      <c r="G19" s="253"/>
      <c r="H19" s="253"/>
      <c r="I19" s="253"/>
      <c r="J19" s="253"/>
      <c r="K19" s="253"/>
      <c r="L19" s="254"/>
      <c r="M19" s="44"/>
    </row>
    <row r="20" spans="4:13" ht="93" customHeight="1" x14ac:dyDescent="0.35">
      <c r="D20" s="158"/>
      <c r="E20" s="251"/>
      <c r="F20" s="113" t="s">
        <v>14</v>
      </c>
      <c r="G20" s="256"/>
      <c r="H20" s="256"/>
      <c r="I20" s="256"/>
      <c r="J20" s="256"/>
      <c r="K20" s="256"/>
      <c r="L20" s="255"/>
      <c r="M20" s="44"/>
    </row>
    <row r="21" spans="4:13" ht="120" customHeight="1" x14ac:dyDescent="0.35">
      <c r="D21" s="158"/>
      <c r="E21" s="251"/>
      <c r="F21" s="113" t="s">
        <v>11</v>
      </c>
      <c r="G21" s="256"/>
      <c r="H21" s="256"/>
      <c r="I21" s="256"/>
      <c r="J21" s="256"/>
      <c r="K21" s="256"/>
      <c r="L21" s="77"/>
      <c r="M21" s="44"/>
    </row>
    <row r="22" spans="4:13" ht="35.450000000000003" customHeight="1" thickBot="1" x14ac:dyDescent="0.4">
      <c r="D22" s="158"/>
      <c r="E22" s="252"/>
      <c r="F22" s="114" t="s">
        <v>12</v>
      </c>
      <c r="G22" s="257" t="e">
        <f>AVERAGE(L19:L21)</f>
        <v>#DIV/0!</v>
      </c>
      <c r="H22" s="258"/>
      <c r="I22" s="258"/>
      <c r="J22" s="258"/>
      <c r="K22" s="258"/>
      <c r="L22" s="25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85" t="s">
        <v>15</v>
      </c>
      <c r="F25" s="285"/>
      <c r="G25" s="44"/>
      <c r="H25" s="44"/>
      <c r="I25" s="44"/>
      <c r="J25" s="44"/>
      <c r="K25" s="44"/>
      <c r="L25" s="44"/>
      <c r="M25" s="44"/>
    </row>
    <row r="26" spans="4:13" ht="23.25" customHeight="1" x14ac:dyDescent="0.35">
      <c r="D26" s="158"/>
      <c r="E26" s="260" t="s">
        <v>16</v>
      </c>
      <c r="F26" s="260"/>
      <c r="G26" s="260"/>
      <c r="H26" s="260"/>
      <c r="I26" s="260"/>
      <c r="J26" s="260"/>
      <c r="K26" s="260"/>
      <c r="L26" s="26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286" t="str">
        <f>'CC 2026'!F28</f>
        <v>Technology – Spring Boot, Java ,  MySQL , Graph DB , Docker, Groovy, Node.js , Angular , SQL, Unix , shell scripts</v>
      </c>
      <c r="G28" s="286"/>
      <c r="H28" s="286"/>
      <c r="I28" s="286"/>
      <c r="J28" s="286"/>
      <c r="K28" s="286"/>
      <c r="L28" s="287"/>
      <c r="M28" s="44"/>
    </row>
    <row r="29" spans="4:13" ht="43.5" customHeight="1" x14ac:dyDescent="0.35">
      <c r="D29" s="158"/>
      <c r="E29" s="270" t="str">
        <f>CONCATENATE("Mid-year meeting - ", TEXT($F$10,"dd/mm/yyyy"))</f>
        <v>Mid-year meeting - TBD</v>
      </c>
      <c r="F29" s="117"/>
      <c r="G29" s="272" t="str">
        <f>'CC 2023'!E2</f>
        <v>Employee Name</v>
      </c>
      <c r="H29" s="273"/>
      <c r="I29" s="274"/>
      <c r="J29" s="275" t="str">
        <f>F7</f>
        <v xml:space="preserve">Anael </v>
      </c>
      <c r="K29" s="273"/>
      <c r="L29" s="276"/>
      <c r="M29" s="44"/>
    </row>
    <row r="30" spans="4:13" ht="110.25" customHeight="1" x14ac:dyDescent="0.35">
      <c r="D30" s="158"/>
      <c r="E30" s="270"/>
      <c r="F30" s="175"/>
      <c r="G30" s="288"/>
      <c r="H30" s="289"/>
      <c r="I30" s="290"/>
      <c r="J30" s="291"/>
      <c r="K30" s="292"/>
      <c r="L30" s="293"/>
      <c r="M30" s="44"/>
    </row>
    <row r="31" spans="4:13" ht="43.5" customHeight="1" x14ac:dyDescent="0.35">
      <c r="D31" s="158"/>
      <c r="E31" s="270" t="str">
        <f>CONCATENATE("End-of-year meeting - ", TEXT($F$11,"dd/mm/yyyy"))</f>
        <v>End-of-year meeting - TBD</v>
      </c>
      <c r="F31" s="117"/>
      <c r="G31" s="272" t="str">
        <f>'CC 2023'!E2</f>
        <v>Employee Name</v>
      </c>
      <c r="H31" s="273"/>
      <c r="I31" s="274"/>
      <c r="J31" s="275" t="str">
        <f>F7</f>
        <v xml:space="preserve">Anael </v>
      </c>
      <c r="K31" s="273"/>
      <c r="L31" s="276"/>
      <c r="M31" s="44"/>
    </row>
    <row r="32" spans="4:13" ht="110.25" customHeight="1" thickBot="1" x14ac:dyDescent="0.4">
      <c r="D32" s="158"/>
      <c r="E32" s="271"/>
      <c r="F32" s="99"/>
      <c r="G32" s="277"/>
      <c r="H32" s="278"/>
      <c r="I32" s="279"/>
      <c r="J32" s="280"/>
      <c r="K32" s="278"/>
      <c r="L32" s="281"/>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282" t="str">
        <f>'CC 2026'!F34</f>
        <v>Tools  - Grafana, GitLab, Jenkins , Confluence , OTRS , JIRA, OpenNMS , MariaDb , Postgres DB</v>
      </c>
      <c r="G34" s="283"/>
      <c r="H34" s="283"/>
      <c r="I34" s="283"/>
      <c r="J34" s="283"/>
      <c r="K34" s="283"/>
      <c r="L34" s="284"/>
      <c r="M34" s="44"/>
    </row>
    <row r="35" spans="4:13" ht="43.5" customHeight="1" x14ac:dyDescent="0.35">
      <c r="D35" s="158"/>
      <c r="E35" s="270" t="str">
        <f>CONCATENATE("Mid-year meeting - ", TEXT($F$10,"dd/mm/yyyy"))</f>
        <v>Mid-year meeting - TBD</v>
      </c>
      <c r="F35" s="117"/>
      <c r="G35" s="272" t="str">
        <f>'CC 2023'!E2</f>
        <v>Employee Name</v>
      </c>
      <c r="H35" s="273"/>
      <c r="I35" s="274"/>
      <c r="J35" s="275" t="str">
        <f>F7</f>
        <v xml:space="preserve">Anael </v>
      </c>
      <c r="K35" s="273"/>
      <c r="L35" s="276"/>
      <c r="M35" s="44"/>
    </row>
    <row r="36" spans="4:13" ht="110.25" customHeight="1" x14ac:dyDescent="0.35">
      <c r="D36" s="158"/>
      <c r="E36" s="270"/>
      <c r="F36" s="175"/>
      <c r="G36" s="288"/>
      <c r="H36" s="289"/>
      <c r="I36" s="290"/>
      <c r="J36" s="291"/>
      <c r="K36" s="292"/>
      <c r="L36" s="293"/>
      <c r="M36" s="44"/>
    </row>
    <row r="37" spans="4:13" ht="43.5" customHeight="1" x14ac:dyDescent="0.35">
      <c r="D37" s="158"/>
      <c r="E37" s="270" t="str">
        <f>CONCATENATE("End-of-year meeting - ", TEXT($F$11,"dd/mm/yyyy"))</f>
        <v>End-of-year meeting - TBD</v>
      </c>
      <c r="F37" s="117"/>
      <c r="G37" s="272" t="str">
        <f>'CC 2023'!E2</f>
        <v>Employee Name</v>
      </c>
      <c r="H37" s="273"/>
      <c r="I37" s="274"/>
      <c r="J37" s="275" t="str">
        <f>F7</f>
        <v xml:space="preserve">Anael </v>
      </c>
      <c r="K37" s="273"/>
      <c r="L37" s="276"/>
      <c r="M37" s="44"/>
    </row>
    <row r="38" spans="4:13" ht="144.94999999999999" customHeight="1" thickBot="1" x14ac:dyDescent="0.4">
      <c r="D38" s="158"/>
      <c r="E38" s="271"/>
      <c r="F38" s="99"/>
      <c r="G38" s="277"/>
      <c r="H38" s="278"/>
      <c r="I38" s="279"/>
      <c r="J38" s="280"/>
      <c r="K38" s="278"/>
      <c r="L38" s="281"/>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282" t="str">
        <f>'CC 2026'!F40</f>
        <v>Integration – Pentahu</v>
      </c>
      <c r="G40" s="283"/>
      <c r="H40" s="283"/>
      <c r="I40" s="283"/>
      <c r="J40" s="283"/>
      <c r="K40" s="283"/>
      <c r="L40" s="284"/>
      <c r="M40" s="44"/>
    </row>
    <row r="41" spans="4:13" ht="43.5" customHeight="1" x14ac:dyDescent="0.35">
      <c r="D41" s="158"/>
      <c r="E41" s="270" t="str">
        <f>CONCATENATE("Mid-year meeting - ", TEXT($F$10,"dd/mm/yyyy"))</f>
        <v>Mid-year meeting - TBD</v>
      </c>
      <c r="F41" s="117"/>
      <c r="G41" s="272" t="str">
        <f>'CC 2023'!E2</f>
        <v>Employee Name</v>
      </c>
      <c r="H41" s="273"/>
      <c r="I41" s="274"/>
      <c r="J41" s="275" t="str">
        <f>F7</f>
        <v xml:space="preserve">Anael </v>
      </c>
      <c r="K41" s="273"/>
      <c r="L41" s="276"/>
      <c r="M41" s="44"/>
    </row>
    <row r="42" spans="4:13" ht="110.25" customHeight="1" x14ac:dyDescent="0.35">
      <c r="D42" s="158"/>
      <c r="E42" s="270"/>
      <c r="F42" s="175"/>
      <c r="G42" s="288"/>
      <c r="H42" s="289"/>
      <c r="I42" s="290"/>
      <c r="J42" s="291" t="s">
        <v>20</v>
      </c>
      <c r="K42" s="292"/>
      <c r="L42" s="293"/>
      <c r="M42" s="44"/>
    </row>
    <row r="43" spans="4:13" ht="43.5" customHeight="1" x14ac:dyDescent="0.35">
      <c r="D43" s="158"/>
      <c r="E43" s="270" t="str">
        <f>CONCATENATE("End-of-year meeting - ", TEXT($F$11,"dd/mm/yyyy"))</f>
        <v>End-of-year meeting - TBD</v>
      </c>
      <c r="F43" s="117"/>
      <c r="G43" s="272" t="str">
        <f>'CC 2023'!E2</f>
        <v>Employee Name</v>
      </c>
      <c r="H43" s="273"/>
      <c r="I43" s="274"/>
      <c r="J43" s="275" t="str">
        <f>F7</f>
        <v xml:space="preserve">Anael </v>
      </c>
      <c r="K43" s="273"/>
      <c r="L43" s="276"/>
      <c r="M43" s="44"/>
    </row>
    <row r="44" spans="4:13" ht="113.45" customHeight="1" thickBot="1" x14ac:dyDescent="0.4">
      <c r="D44" s="158"/>
      <c r="E44" s="271"/>
      <c r="F44" s="99"/>
      <c r="G44" s="294"/>
      <c r="H44" s="295"/>
      <c r="I44" s="296"/>
      <c r="J44" s="280"/>
      <c r="K44" s="278"/>
      <c r="L44" s="281"/>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282">
        <f>'CC 2026'!F46</f>
        <v>0</v>
      </c>
      <c r="G46" s="283"/>
      <c r="H46" s="283"/>
      <c r="I46" s="283"/>
      <c r="J46" s="283"/>
      <c r="K46" s="283"/>
      <c r="L46" s="284"/>
      <c r="M46" s="44"/>
    </row>
    <row r="47" spans="4:13" ht="43.5" customHeight="1" x14ac:dyDescent="0.35">
      <c r="D47" s="156"/>
      <c r="E47" s="270" t="str">
        <f>CONCATENATE("Mid-year meeting - ", TEXT($F$10,"dd/mm/yyyy"))</f>
        <v>Mid-year meeting - TBD</v>
      </c>
      <c r="F47" s="117"/>
      <c r="G47" s="272" t="str">
        <f>'CC 2023'!E2</f>
        <v>Employee Name</v>
      </c>
      <c r="H47" s="273"/>
      <c r="I47" s="274"/>
      <c r="J47" s="275" t="str">
        <f>F7</f>
        <v xml:space="preserve">Anael </v>
      </c>
      <c r="K47" s="273"/>
      <c r="L47" s="276"/>
      <c r="M47" s="44"/>
    </row>
    <row r="48" spans="4:13" ht="110.25" customHeight="1" x14ac:dyDescent="0.35">
      <c r="D48" s="158"/>
      <c r="E48" s="270"/>
      <c r="F48" s="175"/>
      <c r="G48" s="288"/>
      <c r="H48" s="289"/>
      <c r="I48" s="290"/>
      <c r="J48" s="291"/>
      <c r="K48" s="292"/>
      <c r="L48" s="293"/>
      <c r="M48" s="44"/>
    </row>
    <row r="49" spans="4:13" ht="43.5" customHeight="1" x14ac:dyDescent="0.35">
      <c r="D49" s="158"/>
      <c r="E49" s="270" t="str">
        <f>CONCATENATE("End-of-year meeting - ", TEXT($F$11,"dd/mm/yyyy"))</f>
        <v>End-of-year meeting - TBD</v>
      </c>
      <c r="F49" s="117"/>
      <c r="G49" s="272" t="str">
        <f>'CC 2023'!E2</f>
        <v>Employee Name</v>
      </c>
      <c r="H49" s="273"/>
      <c r="I49" s="274"/>
      <c r="J49" s="275" t="str">
        <f>F7</f>
        <v xml:space="preserve">Anael </v>
      </c>
      <c r="K49" s="273"/>
      <c r="L49" s="276"/>
      <c r="M49" s="44"/>
    </row>
    <row r="50" spans="4:13" ht="110.25" customHeight="1" thickBot="1" x14ac:dyDescent="0.4">
      <c r="D50" s="156"/>
      <c r="E50" s="271"/>
      <c r="F50" s="99"/>
      <c r="G50" s="277"/>
      <c r="H50" s="278"/>
      <c r="I50" s="279"/>
      <c r="J50" s="280"/>
      <c r="K50" s="278"/>
      <c r="L50" s="281"/>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282">
        <f>'CC 2026'!F52</f>
        <v>0</v>
      </c>
      <c r="G52" s="283"/>
      <c r="H52" s="283"/>
      <c r="I52" s="283"/>
      <c r="J52" s="283"/>
      <c r="K52" s="283"/>
      <c r="L52" s="284"/>
      <c r="M52" s="44"/>
    </row>
    <row r="53" spans="4:13" ht="43.5" customHeight="1" x14ac:dyDescent="0.35">
      <c r="D53" s="156"/>
      <c r="E53" s="270" t="str">
        <f>CONCATENATE("Mid-year meeting - ", TEXT($F$10,"dd/mm/yyyy"))</f>
        <v>Mid-year meeting - TBD</v>
      </c>
      <c r="F53" s="117"/>
      <c r="G53" s="272" t="str">
        <f>'CC 2023'!E2</f>
        <v>Employee Name</v>
      </c>
      <c r="H53" s="273"/>
      <c r="I53" s="274"/>
      <c r="J53" s="275" t="str">
        <f>F7</f>
        <v xml:space="preserve">Anael </v>
      </c>
      <c r="K53" s="273"/>
      <c r="L53" s="276"/>
      <c r="M53" s="44"/>
    </row>
    <row r="54" spans="4:13" ht="110.25" customHeight="1" x14ac:dyDescent="0.35">
      <c r="D54" s="158"/>
      <c r="E54" s="270"/>
      <c r="F54" s="175"/>
      <c r="G54" s="288"/>
      <c r="H54" s="289"/>
      <c r="I54" s="290"/>
      <c r="J54" s="291"/>
      <c r="K54" s="292"/>
      <c r="L54" s="293"/>
      <c r="M54" s="44"/>
    </row>
    <row r="55" spans="4:13" ht="43.5" customHeight="1" x14ac:dyDescent="0.35">
      <c r="D55" s="158"/>
      <c r="E55" s="270" t="str">
        <f>CONCATENATE("End-of-year meeting - ", TEXT($F$11,"dd/mm/yyyy"))</f>
        <v>End-of-year meeting - TBD</v>
      </c>
      <c r="F55" s="117"/>
      <c r="G55" s="272" t="str">
        <f>'CC 2023'!E2</f>
        <v>Employee Name</v>
      </c>
      <c r="H55" s="273"/>
      <c r="I55" s="274"/>
      <c r="J55" s="275" t="str">
        <f>F7</f>
        <v xml:space="preserve">Anael </v>
      </c>
      <c r="K55" s="273"/>
      <c r="L55" s="276"/>
      <c r="M55" s="44"/>
    </row>
    <row r="56" spans="4:13" ht="110.25" customHeight="1" thickBot="1" x14ac:dyDescent="0.4">
      <c r="D56" s="156"/>
      <c r="E56" s="271"/>
      <c r="F56" s="99"/>
      <c r="G56" s="277"/>
      <c r="H56" s="278"/>
      <c r="I56" s="279"/>
      <c r="J56" s="280"/>
      <c r="K56" s="278"/>
      <c r="L56" s="281"/>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286">
        <f>'CC 2026'!F58</f>
        <v>0</v>
      </c>
      <c r="G58" s="286"/>
      <c r="H58" s="286"/>
      <c r="I58" s="286"/>
      <c r="J58" s="286"/>
      <c r="K58" s="286"/>
      <c r="L58" s="287"/>
      <c r="M58" s="44"/>
    </row>
    <row r="59" spans="4:13" ht="43.5" customHeight="1" x14ac:dyDescent="0.35">
      <c r="D59" s="156"/>
      <c r="E59" s="270" t="str">
        <f>CONCATENATE("Mid-year meeting - ", TEXT($F$10,"dd/mm/yyyy"))</f>
        <v>Mid-year meeting - TBD</v>
      </c>
      <c r="F59" s="117"/>
      <c r="G59" s="272" t="str">
        <f>'CC 2023'!E2</f>
        <v>Employee Name</v>
      </c>
      <c r="H59" s="273"/>
      <c r="I59" s="274"/>
      <c r="J59" s="275" t="str">
        <f>F7</f>
        <v xml:space="preserve">Anael </v>
      </c>
      <c r="K59" s="273"/>
      <c r="L59" s="276"/>
      <c r="M59" s="44"/>
    </row>
    <row r="60" spans="4:13" ht="110.25" customHeight="1" x14ac:dyDescent="0.35">
      <c r="D60" s="158"/>
      <c r="E60" s="270"/>
      <c r="F60" s="175"/>
      <c r="G60" s="288"/>
      <c r="H60" s="289"/>
      <c r="I60" s="290"/>
      <c r="J60" s="291"/>
      <c r="K60" s="292"/>
      <c r="L60" s="293"/>
      <c r="M60" s="44"/>
    </row>
    <row r="61" spans="4:13" ht="43.5" customHeight="1" x14ac:dyDescent="0.35">
      <c r="D61" s="158"/>
      <c r="E61" s="270" t="str">
        <f>CONCATENATE("End-of-year meeting - ", TEXT($F$11,"dd/mm/yyyy"))</f>
        <v>End-of-year meeting - TBD</v>
      </c>
      <c r="F61" s="117"/>
      <c r="G61" s="272" t="str">
        <f>'CC 2023'!E2</f>
        <v>Employee Name</v>
      </c>
      <c r="H61" s="273"/>
      <c r="I61" s="274"/>
      <c r="J61" s="275" t="str">
        <f>F7</f>
        <v xml:space="preserve">Anael </v>
      </c>
      <c r="K61" s="273"/>
      <c r="L61" s="276"/>
      <c r="M61" s="44"/>
    </row>
    <row r="62" spans="4:13" ht="110.25" customHeight="1" thickBot="1" x14ac:dyDescent="0.4">
      <c r="D62" s="156"/>
      <c r="E62" s="271"/>
      <c r="F62" s="145"/>
      <c r="G62" s="297"/>
      <c r="H62" s="298"/>
      <c r="I62" s="299"/>
      <c r="J62" s="280"/>
      <c r="K62" s="278"/>
      <c r="L62" s="281"/>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286">
        <f>'CC 2026'!F64</f>
        <v>0</v>
      </c>
      <c r="G64" s="286"/>
      <c r="H64" s="286"/>
      <c r="I64" s="286"/>
      <c r="J64" s="286"/>
      <c r="K64" s="286"/>
      <c r="L64" s="287"/>
      <c r="M64" s="44"/>
    </row>
    <row r="65" spans="3:15" ht="43.5" customHeight="1" x14ac:dyDescent="0.35">
      <c r="D65" s="156"/>
      <c r="E65" s="270" t="str">
        <f>CONCATENATE("Mid-year meeting - ", TEXT($F$10,"dd/mm/yyyy"))</f>
        <v>Mid-year meeting - TBD</v>
      </c>
      <c r="F65" s="117"/>
      <c r="G65" s="272" t="str">
        <f>'CC 2023'!E2</f>
        <v>Employee Name</v>
      </c>
      <c r="H65" s="273"/>
      <c r="I65" s="274"/>
      <c r="J65" s="275" t="str">
        <f>F7</f>
        <v xml:space="preserve">Anael </v>
      </c>
      <c r="K65" s="273"/>
      <c r="L65" s="276"/>
      <c r="M65" s="44"/>
    </row>
    <row r="66" spans="3:15" ht="110.25" customHeight="1" x14ac:dyDescent="0.35">
      <c r="D66" s="158"/>
      <c r="E66" s="270"/>
      <c r="F66" s="175"/>
      <c r="G66" s="288"/>
      <c r="H66" s="289"/>
      <c r="I66" s="290"/>
      <c r="J66" s="291"/>
      <c r="K66" s="292"/>
      <c r="L66" s="293"/>
      <c r="M66" s="44"/>
    </row>
    <row r="67" spans="3:15" ht="43.5" customHeight="1" x14ac:dyDescent="0.35">
      <c r="D67" s="158"/>
      <c r="E67" s="270" t="str">
        <f>CONCATENATE("End-of-year meeting - ", TEXT($F$11,"dd/mm/yyyy"))</f>
        <v>End-of-year meeting - TBD</v>
      </c>
      <c r="F67" s="117"/>
      <c r="G67" s="272" t="str">
        <f>'CC 2023'!E2</f>
        <v>Employee Name</v>
      </c>
      <c r="H67" s="273"/>
      <c r="I67" s="274"/>
      <c r="J67" s="275" t="str">
        <f>F7</f>
        <v xml:space="preserve">Anael </v>
      </c>
      <c r="K67" s="273"/>
      <c r="L67" s="276"/>
      <c r="M67" s="44"/>
    </row>
    <row r="68" spans="3:15" ht="110.25" customHeight="1" thickBot="1" x14ac:dyDescent="0.4">
      <c r="D68" s="156"/>
      <c r="E68" s="271"/>
      <c r="F68" s="145"/>
      <c r="G68" s="297"/>
      <c r="H68" s="298"/>
      <c r="I68" s="299"/>
      <c r="J68" s="300"/>
      <c r="K68" s="295"/>
      <c r="L68" s="301"/>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60" t="s">
        <v>25</v>
      </c>
      <c r="F71" s="260"/>
      <c r="G71" s="260"/>
      <c r="H71" s="260"/>
      <c r="I71" s="260"/>
      <c r="J71" s="260"/>
      <c r="K71" s="260"/>
      <c r="L71" s="260"/>
      <c r="M71" s="44"/>
    </row>
    <row r="72" spans="3:15" s="163" customFormat="1" ht="78.599999999999994" customHeight="1" thickBot="1" x14ac:dyDescent="0.4">
      <c r="C72" s="162"/>
      <c r="D72" s="160"/>
      <c r="E72" s="308" t="s">
        <v>26</v>
      </c>
      <c r="F72" s="309"/>
      <c r="G72" s="120" t="s">
        <v>27</v>
      </c>
      <c r="H72" s="121" t="s">
        <v>28</v>
      </c>
      <c r="I72" s="119" t="s">
        <v>29</v>
      </c>
      <c r="J72" s="121" t="s">
        <v>30</v>
      </c>
      <c r="K72" s="121" t="s">
        <v>31</v>
      </c>
      <c r="L72" s="122" t="s">
        <v>32</v>
      </c>
      <c r="M72" s="160"/>
      <c r="O72" s="149"/>
    </row>
    <row r="73" spans="3:15" ht="53.1" customHeight="1" x14ac:dyDescent="0.35">
      <c r="D73" s="158"/>
      <c r="E73" s="310"/>
      <c r="F73" s="311"/>
      <c r="G73" s="94"/>
      <c r="H73" s="98"/>
      <c r="I73" s="86"/>
      <c r="J73" s="98"/>
      <c r="K73" s="87"/>
      <c r="L73" s="88"/>
      <c r="M73" s="44"/>
    </row>
    <row r="74" spans="3:15" ht="53.1" customHeight="1" x14ac:dyDescent="0.35">
      <c r="D74" s="158"/>
      <c r="E74" s="302"/>
      <c r="F74" s="303"/>
      <c r="G74" s="95"/>
      <c r="H74" s="82"/>
      <c r="I74" s="80"/>
      <c r="J74" s="82"/>
      <c r="K74" s="81"/>
      <c r="L74" s="89"/>
      <c r="M74" s="44"/>
    </row>
    <row r="75" spans="3:15" ht="77.25" customHeight="1" x14ac:dyDescent="0.35">
      <c r="D75" s="158"/>
      <c r="E75" s="302"/>
      <c r="F75" s="303"/>
      <c r="G75" s="95"/>
      <c r="H75" s="83"/>
      <c r="I75" s="84"/>
      <c r="J75" s="83"/>
      <c r="K75" s="85"/>
      <c r="L75" s="90"/>
      <c r="M75" s="44"/>
    </row>
    <row r="76" spans="3:15" ht="53.1" customHeight="1" x14ac:dyDescent="0.35">
      <c r="D76" s="158"/>
      <c r="E76" s="302"/>
      <c r="F76" s="303"/>
      <c r="G76" s="95"/>
      <c r="H76" s="83"/>
      <c r="I76" s="84"/>
      <c r="J76" s="83"/>
      <c r="K76" s="85"/>
      <c r="L76" s="90"/>
      <c r="M76" s="44"/>
    </row>
    <row r="77" spans="3:15" ht="53.1" customHeight="1" x14ac:dyDescent="0.35">
      <c r="D77" s="158"/>
      <c r="E77" s="302"/>
      <c r="F77" s="303"/>
      <c r="G77" s="96"/>
      <c r="H77" s="83"/>
      <c r="I77" s="84"/>
      <c r="J77" s="83"/>
      <c r="K77" s="85"/>
      <c r="L77" s="90"/>
      <c r="M77" s="44"/>
    </row>
    <row r="78" spans="3:15" ht="53.1" customHeight="1" x14ac:dyDescent="0.35">
      <c r="D78" s="158"/>
      <c r="E78" s="302"/>
      <c r="F78" s="303"/>
      <c r="G78" s="96"/>
      <c r="H78" s="83"/>
      <c r="I78" s="84"/>
      <c r="J78" s="83"/>
      <c r="K78" s="85"/>
      <c r="L78" s="90"/>
      <c r="M78" s="44"/>
    </row>
    <row r="79" spans="3:15" ht="53.1" customHeight="1" x14ac:dyDescent="0.35">
      <c r="D79" s="158"/>
      <c r="E79" s="302"/>
      <c r="F79" s="303"/>
      <c r="G79" s="96"/>
      <c r="H79" s="83"/>
      <c r="I79" s="84"/>
      <c r="J79" s="83"/>
      <c r="K79" s="85"/>
      <c r="L79" s="90"/>
      <c r="M79" s="44"/>
    </row>
    <row r="80" spans="3:15" ht="53.1" customHeight="1" thickBot="1" x14ac:dyDescent="0.4">
      <c r="D80" s="158"/>
      <c r="E80" s="304"/>
      <c r="F80" s="30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60" t="s">
        <v>34</v>
      </c>
      <c r="F84" s="260"/>
      <c r="G84" s="260"/>
      <c r="H84" s="260"/>
      <c r="I84" s="260"/>
      <c r="J84" s="260"/>
      <c r="K84" s="260"/>
      <c r="L84" s="260"/>
      <c r="M84" s="44"/>
    </row>
    <row r="85" spans="3:15" ht="53.1" customHeight="1" thickBot="1" x14ac:dyDescent="0.4">
      <c r="D85" s="158"/>
      <c r="E85" s="260" t="s">
        <v>35</v>
      </c>
      <c r="F85" s="260"/>
      <c r="G85" s="123" t="s">
        <v>36</v>
      </c>
      <c r="H85" s="123"/>
      <c r="I85" s="123"/>
      <c r="J85" s="107"/>
      <c r="K85" s="107"/>
      <c r="L85" s="107"/>
      <c r="M85" s="44"/>
    </row>
    <row r="86" spans="3:15" ht="74.25" customHeight="1" thickBot="1" x14ac:dyDescent="0.4">
      <c r="C86" s="164"/>
      <c r="D86" s="158"/>
      <c r="E86" s="57"/>
      <c r="F86" s="306" t="s">
        <v>37</v>
      </c>
      <c r="G86" s="306"/>
      <c r="H86" s="306"/>
      <c r="I86" s="306"/>
      <c r="J86" s="306"/>
      <c r="K86" s="306"/>
      <c r="L86" s="307"/>
      <c r="M86" s="44"/>
      <c r="O86" s="124"/>
    </row>
    <row r="87" spans="3:15" ht="91.5" customHeight="1" x14ac:dyDescent="0.35">
      <c r="C87" s="164"/>
      <c r="D87" s="158"/>
      <c r="E87" s="56" t="s">
        <v>38</v>
      </c>
      <c r="F87" s="545"/>
      <c r="G87" s="348"/>
      <c r="H87" s="348"/>
      <c r="I87" s="348"/>
      <c r="J87" s="348"/>
      <c r="K87" s="348"/>
      <c r="L87" s="349"/>
      <c r="M87" s="44"/>
      <c r="O87" s="124"/>
    </row>
    <row r="88" spans="3:15" ht="53.45" customHeight="1" x14ac:dyDescent="0.35">
      <c r="C88" s="164"/>
      <c r="D88" s="158"/>
      <c r="E88" s="315" t="s">
        <v>40</v>
      </c>
      <c r="F88" s="316" t="s">
        <v>41</v>
      </c>
      <c r="G88" s="317"/>
      <c r="H88" s="318"/>
      <c r="I88" s="70" t="s">
        <v>42</v>
      </c>
      <c r="J88" s="70" t="s">
        <v>43</v>
      </c>
      <c r="K88" s="70" t="s">
        <v>44</v>
      </c>
      <c r="L88" s="125" t="s">
        <v>45</v>
      </c>
      <c r="M88" s="44"/>
    </row>
    <row r="89" spans="3:15" ht="131.1" customHeight="1" x14ac:dyDescent="0.35">
      <c r="C89" s="164"/>
      <c r="D89" s="158"/>
      <c r="E89" s="315"/>
      <c r="F89" s="344"/>
      <c r="G89" s="345"/>
      <c r="H89" s="346"/>
      <c r="I89" s="143"/>
      <c r="J89" s="75"/>
      <c r="K89" s="75"/>
      <c r="L89" s="75"/>
      <c r="M89" s="44"/>
      <c r="O89" s="322" t="b">
        <f>IF(L89="Fails to meet objective", 4, IF(L89="Partially meets objective", 3, IF(L89="Meets expectations", 2, IF(L89="Exceeds expectations", 1,IF(L89="To be done", "")))))</f>
        <v>0</v>
      </c>
    </row>
    <row r="90" spans="3:15" ht="53.45" customHeight="1" x14ac:dyDescent="0.35">
      <c r="C90" s="164"/>
      <c r="D90" s="158"/>
      <c r="E90" s="315"/>
      <c r="F90" s="323" t="str">
        <f>'CC 2023'!E2</f>
        <v>Employee Name</v>
      </c>
      <c r="G90" s="324"/>
      <c r="H90" s="324"/>
      <c r="I90" s="324"/>
      <c r="J90" s="324"/>
      <c r="K90" s="324"/>
      <c r="L90" s="325"/>
      <c r="M90" s="44"/>
      <c r="O90" s="322"/>
    </row>
    <row r="91" spans="3:15" ht="33.6" customHeight="1" x14ac:dyDescent="0.35">
      <c r="C91" s="164"/>
      <c r="D91" s="158"/>
      <c r="E91" s="315"/>
      <c r="F91" s="326" t="s">
        <v>51</v>
      </c>
      <c r="G91" s="327"/>
      <c r="H91" s="326" t="s">
        <v>52</v>
      </c>
      <c r="I91" s="328"/>
      <c r="J91" s="328"/>
      <c r="K91" s="328"/>
      <c r="L91" s="329"/>
      <c r="M91" s="44"/>
      <c r="O91" s="322"/>
    </row>
    <row r="92" spans="3:15" ht="135.94999999999999" customHeight="1" x14ac:dyDescent="0.35">
      <c r="C92" s="164"/>
      <c r="D92" s="158"/>
      <c r="E92" s="56" t="str">
        <f>CONCATENATE("Mid-year meeting - ", TEXT($F$10,"dd/mm/yyyy"))</f>
        <v>Mid-year meeting - TBD</v>
      </c>
      <c r="F92" s="330"/>
      <c r="G92" s="331"/>
      <c r="H92" s="330"/>
      <c r="I92" s="332"/>
      <c r="J92" s="332"/>
      <c r="K92" s="332"/>
      <c r="L92" s="333"/>
      <c r="M92" s="44"/>
      <c r="O92" s="322"/>
    </row>
    <row r="93" spans="3:15" ht="135.94999999999999" customHeight="1" x14ac:dyDescent="0.35">
      <c r="C93" s="164"/>
      <c r="D93" s="158"/>
      <c r="E93" s="56" t="str">
        <f>CONCATENATE("End-of-year meeting - ", TEXT($F$11,"dd/mm/yyyy"))</f>
        <v>End-of-year meeting - TBD</v>
      </c>
      <c r="F93" s="330"/>
      <c r="G93" s="331"/>
      <c r="H93" s="334"/>
      <c r="I93" s="335"/>
      <c r="J93" s="335"/>
      <c r="K93" s="335"/>
      <c r="L93" s="336"/>
      <c r="M93" s="44"/>
      <c r="O93" s="322"/>
    </row>
    <row r="94" spans="3:15" ht="53.45" customHeight="1" x14ac:dyDescent="0.35">
      <c r="C94" s="164"/>
      <c r="D94" s="158"/>
      <c r="E94" s="315"/>
      <c r="F94" s="342" t="str">
        <f>F7</f>
        <v xml:space="preserve">Anael </v>
      </c>
      <c r="G94" s="342"/>
      <c r="H94" s="342"/>
      <c r="I94" s="342"/>
      <c r="J94" s="342"/>
      <c r="K94" s="342"/>
      <c r="L94" s="343"/>
      <c r="M94" s="44"/>
      <c r="O94" s="322"/>
    </row>
    <row r="95" spans="3:15" ht="35.1" customHeight="1" x14ac:dyDescent="0.35">
      <c r="C95" s="164"/>
      <c r="D95" s="158"/>
      <c r="E95" s="315"/>
      <c r="F95" s="326" t="s">
        <v>51</v>
      </c>
      <c r="G95" s="327"/>
      <c r="H95" s="326" t="s">
        <v>52</v>
      </c>
      <c r="I95" s="328"/>
      <c r="J95" s="328"/>
      <c r="K95" s="328"/>
      <c r="L95" s="329"/>
      <c r="M95" s="44"/>
      <c r="O95" s="322"/>
    </row>
    <row r="96" spans="3:15" ht="135.94999999999999" customHeight="1" x14ac:dyDescent="0.35">
      <c r="C96" s="164"/>
      <c r="D96" s="158"/>
      <c r="E96" s="56" t="str">
        <f>CONCATENATE("Mid-year meeting - ", TEXT($F$10,"dd/mm/yyyy"))</f>
        <v>Mid-year meeting - TBD</v>
      </c>
      <c r="F96" s="330"/>
      <c r="G96" s="331"/>
      <c r="H96" s="330"/>
      <c r="I96" s="332"/>
      <c r="J96" s="332"/>
      <c r="K96" s="332"/>
      <c r="L96" s="333"/>
      <c r="M96" s="44"/>
      <c r="O96" s="322"/>
    </row>
    <row r="97" spans="3:15" ht="135.94999999999999" customHeight="1" thickBot="1" x14ac:dyDescent="0.4">
      <c r="C97" s="164"/>
      <c r="D97" s="158"/>
      <c r="E97" s="126" t="str">
        <f>CONCATENATE("End-of-year meeting - ", TEXT($F$11,"dd/mm/yyyy"))</f>
        <v>End-of-year meeting - TBD</v>
      </c>
      <c r="F97" s="330"/>
      <c r="G97" s="331"/>
      <c r="H97" s="334"/>
      <c r="I97" s="335"/>
      <c r="J97" s="335"/>
      <c r="K97" s="335"/>
      <c r="L97" s="336"/>
      <c r="M97" s="44"/>
      <c r="O97" s="322"/>
    </row>
    <row r="98" spans="3:15" ht="74.25" customHeight="1" thickBot="1" x14ac:dyDescent="0.4">
      <c r="C98" s="164"/>
      <c r="D98" s="158"/>
      <c r="E98" s="57"/>
      <c r="F98" s="306" t="s">
        <v>53</v>
      </c>
      <c r="G98" s="306"/>
      <c r="H98" s="306"/>
      <c r="I98" s="306"/>
      <c r="J98" s="306"/>
      <c r="K98" s="306"/>
      <c r="L98" s="307"/>
      <c r="M98" s="44"/>
      <c r="O98" s="124"/>
    </row>
    <row r="99" spans="3:15" ht="91.5" customHeight="1" x14ac:dyDescent="0.35">
      <c r="C99" s="164"/>
      <c r="D99" s="158"/>
      <c r="E99" s="56" t="s">
        <v>38</v>
      </c>
      <c r="F99" s="338"/>
      <c r="G99" s="338"/>
      <c r="H99" s="338"/>
      <c r="I99" s="338"/>
      <c r="J99" s="338"/>
      <c r="K99" s="338"/>
      <c r="L99" s="339"/>
      <c r="M99" s="44"/>
      <c r="O99" s="124"/>
    </row>
    <row r="100" spans="3:15" ht="53.45" customHeight="1" x14ac:dyDescent="0.35">
      <c r="C100" s="164"/>
      <c r="D100" s="158"/>
      <c r="E100" s="315" t="s">
        <v>40</v>
      </c>
      <c r="F100" s="340" t="s">
        <v>41</v>
      </c>
      <c r="G100" s="340"/>
      <c r="H100" s="340"/>
      <c r="I100" s="70" t="s">
        <v>42</v>
      </c>
      <c r="J100" s="70" t="s">
        <v>43</v>
      </c>
      <c r="K100" s="70" t="s">
        <v>44</v>
      </c>
      <c r="L100" s="125" t="s">
        <v>45</v>
      </c>
      <c r="M100" s="44"/>
    </row>
    <row r="101" spans="3:15" ht="177.75" customHeight="1" x14ac:dyDescent="0.35">
      <c r="C101" s="164"/>
      <c r="D101" s="158"/>
      <c r="E101" s="315"/>
      <c r="F101" s="341"/>
      <c r="G101" s="341"/>
      <c r="H101" s="341"/>
      <c r="I101" s="143"/>
      <c r="J101" s="75"/>
      <c r="K101" s="75"/>
      <c r="L101" s="75"/>
      <c r="M101" s="44"/>
      <c r="N101" s="165"/>
      <c r="O101" s="322" t="b">
        <f>IF(L101="Fails to meet objective", 4, IF(L101="Partially meets objective", 3, IF(L101="Meets expectations", 2, IF(L101="Exceeds expectations", 1,IF(L101="To be done", "")))))</f>
        <v>0</v>
      </c>
    </row>
    <row r="102" spans="3:15" ht="53.45" customHeight="1" x14ac:dyDescent="0.35">
      <c r="C102" s="164"/>
      <c r="D102" s="158"/>
      <c r="E102" s="315"/>
      <c r="F102" s="323" t="str">
        <f>'CC 2023'!E2</f>
        <v>Employee Name</v>
      </c>
      <c r="G102" s="324"/>
      <c r="H102" s="324"/>
      <c r="I102" s="324"/>
      <c r="J102" s="324"/>
      <c r="K102" s="324"/>
      <c r="L102" s="325"/>
      <c r="M102" s="44"/>
      <c r="N102" s="165"/>
      <c r="O102" s="322"/>
    </row>
    <row r="103" spans="3:15" ht="33.6" customHeight="1" x14ac:dyDescent="0.35">
      <c r="C103" s="164"/>
      <c r="D103" s="158"/>
      <c r="E103" s="315"/>
      <c r="F103" s="326" t="s">
        <v>51</v>
      </c>
      <c r="G103" s="327"/>
      <c r="H103" s="326" t="s">
        <v>52</v>
      </c>
      <c r="I103" s="328"/>
      <c r="J103" s="328"/>
      <c r="K103" s="328"/>
      <c r="L103" s="329"/>
      <c r="M103" s="44"/>
      <c r="N103" s="165"/>
      <c r="O103" s="322"/>
    </row>
    <row r="104" spans="3:15" ht="135.94999999999999" customHeight="1" x14ac:dyDescent="0.35">
      <c r="C104" s="164"/>
      <c r="D104" s="158"/>
      <c r="E104" s="56" t="str">
        <f>CONCATENATE("Mid-year meeting - ", TEXT($F$10,"dd/mm/yyyy"))</f>
        <v>Mid-year meeting - TBD</v>
      </c>
      <c r="F104" s="330"/>
      <c r="G104" s="331"/>
      <c r="H104" s="330"/>
      <c r="I104" s="332"/>
      <c r="J104" s="332"/>
      <c r="K104" s="332"/>
      <c r="L104" s="333"/>
      <c r="M104" s="44"/>
      <c r="N104" s="165"/>
      <c r="O104" s="322"/>
    </row>
    <row r="105" spans="3:15" ht="135.94999999999999" customHeight="1" x14ac:dyDescent="0.35">
      <c r="C105" s="164"/>
      <c r="D105" s="158"/>
      <c r="E105" s="56" t="str">
        <f>CONCATENATE("End-of-year meeting - ", TEXT($F$11,"dd/mm/yyyy"))</f>
        <v>End-of-year meeting - TBD</v>
      </c>
      <c r="F105" s="330"/>
      <c r="G105" s="331"/>
      <c r="H105" s="334"/>
      <c r="I105" s="335"/>
      <c r="J105" s="335"/>
      <c r="K105" s="335"/>
      <c r="L105" s="336"/>
      <c r="M105" s="44"/>
      <c r="N105" s="165"/>
      <c r="O105" s="322"/>
    </row>
    <row r="106" spans="3:15" ht="53.45" customHeight="1" x14ac:dyDescent="0.35">
      <c r="C106" s="164"/>
      <c r="D106" s="158"/>
      <c r="E106" s="315"/>
      <c r="F106" s="342" t="str">
        <f>F7</f>
        <v xml:space="preserve">Anael </v>
      </c>
      <c r="G106" s="342"/>
      <c r="H106" s="342"/>
      <c r="I106" s="342"/>
      <c r="J106" s="342"/>
      <c r="K106" s="342"/>
      <c r="L106" s="343"/>
      <c r="M106" s="44"/>
      <c r="N106" s="165"/>
      <c r="O106" s="322"/>
    </row>
    <row r="107" spans="3:15" ht="35.1" customHeight="1" x14ac:dyDescent="0.35">
      <c r="C107" s="164"/>
      <c r="D107" s="158"/>
      <c r="E107" s="315"/>
      <c r="F107" s="326" t="s">
        <v>51</v>
      </c>
      <c r="G107" s="327"/>
      <c r="H107" s="326" t="s">
        <v>52</v>
      </c>
      <c r="I107" s="328"/>
      <c r="J107" s="328"/>
      <c r="K107" s="328"/>
      <c r="L107" s="329"/>
      <c r="M107" s="44"/>
      <c r="N107" s="165"/>
      <c r="O107" s="322"/>
    </row>
    <row r="108" spans="3:15" ht="135.94999999999999" customHeight="1" x14ac:dyDescent="0.35">
      <c r="C108" s="164"/>
      <c r="D108" s="158"/>
      <c r="E108" s="56" t="str">
        <f>CONCATENATE("Mid-year meeting - ", TEXT($F$10,"dd/mm/yyyy"))</f>
        <v>Mid-year meeting - TBD</v>
      </c>
      <c r="F108" s="330"/>
      <c r="G108" s="331"/>
      <c r="H108" s="330"/>
      <c r="I108" s="332"/>
      <c r="J108" s="332"/>
      <c r="K108" s="332"/>
      <c r="L108" s="333"/>
      <c r="M108" s="44"/>
      <c r="N108" s="165"/>
      <c r="O108" s="322"/>
    </row>
    <row r="109" spans="3:15" ht="135.94999999999999" customHeight="1" thickBot="1" x14ac:dyDescent="0.4">
      <c r="C109" s="164"/>
      <c r="D109" s="158"/>
      <c r="E109" s="126" t="str">
        <f>CONCATENATE("End-of-year meeting - ", TEXT($F$11,"dd/mm/yyyy"))</f>
        <v>End-of-year meeting - TBD</v>
      </c>
      <c r="F109" s="330"/>
      <c r="G109" s="331"/>
      <c r="H109" s="334"/>
      <c r="I109" s="335"/>
      <c r="J109" s="335"/>
      <c r="K109" s="335"/>
      <c r="L109" s="336"/>
      <c r="M109" s="44"/>
      <c r="N109" s="165"/>
      <c r="O109" s="322"/>
    </row>
    <row r="110" spans="3:15" ht="74.25" customHeight="1" thickBot="1" x14ac:dyDescent="0.4">
      <c r="C110" s="164"/>
      <c r="D110" s="158"/>
      <c r="E110" s="57"/>
      <c r="F110" s="306" t="s">
        <v>54</v>
      </c>
      <c r="G110" s="306"/>
      <c r="H110" s="306"/>
      <c r="I110" s="306"/>
      <c r="J110" s="306"/>
      <c r="K110" s="306"/>
      <c r="L110" s="307"/>
      <c r="M110" s="44"/>
      <c r="O110" s="124"/>
    </row>
    <row r="111" spans="3:15" ht="91.5" customHeight="1" x14ac:dyDescent="0.35">
      <c r="C111" s="164"/>
      <c r="D111" s="158"/>
      <c r="E111" s="56" t="s">
        <v>38</v>
      </c>
      <c r="F111" s="338"/>
      <c r="G111" s="338"/>
      <c r="H111" s="338"/>
      <c r="I111" s="338"/>
      <c r="J111" s="338"/>
      <c r="K111" s="338"/>
      <c r="L111" s="339"/>
      <c r="M111" s="44"/>
      <c r="O111" s="124"/>
    </row>
    <row r="112" spans="3:15" ht="53.45" customHeight="1" x14ac:dyDescent="0.35">
      <c r="C112" s="164"/>
      <c r="D112" s="158"/>
      <c r="E112" s="315" t="s">
        <v>40</v>
      </c>
      <c r="F112" s="340" t="s">
        <v>41</v>
      </c>
      <c r="G112" s="340"/>
      <c r="H112" s="340"/>
      <c r="I112" s="127" t="s">
        <v>42</v>
      </c>
      <c r="J112" s="127" t="s">
        <v>43</v>
      </c>
      <c r="K112" s="127" t="s">
        <v>44</v>
      </c>
      <c r="L112" s="128" t="s">
        <v>45</v>
      </c>
      <c r="M112" s="44"/>
    </row>
    <row r="113" spans="3:15" ht="186.75" customHeight="1" x14ac:dyDescent="0.35">
      <c r="C113" s="164"/>
      <c r="D113" s="158"/>
      <c r="E113" s="315"/>
      <c r="F113" s="344"/>
      <c r="G113" s="345"/>
      <c r="H113" s="346"/>
      <c r="I113" s="143"/>
      <c r="J113" s="75"/>
      <c r="K113" s="75"/>
      <c r="L113" s="76"/>
      <c r="M113" s="44"/>
      <c r="O113" s="322" t="b">
        <f>IF(L113="Fails to meet objective", 4, IF(L113="Partially meets objective", 3, IF(L113="Meets expectations", 2, IF(L113="Exceeds expectations", 1,IF(L113="To be done", "")))))</f>
        <v>0</v>
      </c>
    </row>
    <row r="114" spans="3:15" ht="53.45" customHeight="1" x14ac:dyDescent="0.35">
      <c r="C114" s="164"/>
      <c r="D114" s="158"/>
      <c r="E114" s="315"/>
      <c r="F114" s="323" t="str">
        <f>'CC 2023'!E2</f>
        <v>Employee Name</v>
      </c>
      <c r="G114" s="324"/>
      <c r="H114" s="324"/>
      <c r="I114" s="324"/>
      <c r="J114" s="324"/>
      <c r="K114" s="324"/>
      <c r="L114" s="325"/>
      <c r="M114" s="44"/>
      <c r="O114" s="322"/>
    </row>
    <row r="115" spans="3:15" ht="33.6" customHeight="1" x14ac:dyDescent="0.35">
      <c r="C115" s="164"/>
      <c r="D115" s="158"/>
      <c r="E115" s="315"/>
      <c r="F115" s="326" t="s">
        <v>51</v>
      </c>
      <c r="G115" s="327"/>
      <c r="H115" s="326" t="s">
        <v>52</v>
      </c>
      <c r="I115" s="328"/>
      <c r="J115" s="328"/>
      <c r="K115" s="328"/>
      <c r="L115" s="329"/>
      <c r="M115" s="44"/>
      <c r="O115" s="322"/>
    </row>
    <row r="116" spans="3:15" ht="135.94999999999999" customHeight="1" x14ac:dyDescent="0.35">
      <c r="C116" s="164"/>
      <c r="D116" s="158"/>
      <c r="E116" s="56" t="str">
        <f>CONCATENATE("Mid-year meeting - ", TEXT($F$10,"dd/mm/yyyy"))</f>
        <v>Mid-year meeting - TBD</v>
      </c>
      <c r="F116" s="330"/>
      <c r="G116" s="331"/>
      <c r="H116" s="330"/>
      <c r="I116" s="332"/>
      <c r="J116" s="332"/>
      <c r="K116" s="332"/>
      <c r="L116" s="333"/>
      <c r="M116" s="44"/>
      <c r="O116" s="322"/>
    </row>
    <row r="117" spans="3:15" ht="135.94999999999999" customHeight="1" x14ac:dyDescent="0.35">
      <c r="C117" s="164"/>
      <c r="D117" s="158"/>
      <c r="E117" s="56" t="str">
        <f>CONCATENATE("End-of-year meeting - ", TEXT($F$11,"dd/mm/yyyy"))</f>
        <v>End-of-year meeting - TBD</v>
      </c>
      <c r="F117" s="330"/>
      <c r="G117" s="331"/>
      <c r="H117" s="334"/>
      <c r="I117" s="335"/>
      <c r="J117" s="335"/>
      <c r="K117" s="335"/>
      <c r="L117" s="336"/>
      <c r="M117" s="44"/>
      <c r="O117" s="322"/>
    </row>
    <row r="118" spans="3:15" ht="53.45" customHeight="1" x14ac:dyDescent="0.35">
      <c r="C118" s="164"/>
      <c r="D118" s="158"/>
      <c r="E118" s="315"/>
      <c r="F118" s="342" t="str">
        <f>F7</f>
        <v xml:space="preserve">Anael </v>
      </c>
      <c r="G118" s="342"/>
      <c r="H118" s="342"/>
      <c r="I118" s="342"/>
      <c r="J118" s="342"/>
      <c r="K118" s="342"/>
      <c r="L118" s="343"/>
      <c r="M118" s="44"/>
      <c r="O118" s="322"/>
    </row>
    <row r="119" spans="3:15" ht="35.1" customHeight="1" x14ac:dyDescent="0.35">
      <c r="C119" s="164"/>
      <c r="D119" s="158"/>
      <c r="E119" s="315"/>
      <c r="F119" s="326" t="s">
        <v>51</v>
      </c>
      <c r="G119" s="327"/>
      <c r="H119" s="326" t="s">
        <v>52</v>
      </c>
      <c r="I119" s="328"/>
      <c r="J119" s="328"/>
      <c r="K119" s="328"/>
      <c r="L119" s="329"/>
      <c r="M119" s="44"/>
      <c r="O119" s="322"/>
    </row>
    <row r="120" spans="3:15" ht="135.94999999999999" customHeight="1" x14ac:dyDescent="0.35">
      <c r="C120" s="164"/>
      <c r="D120" s="158"/>
      <c r="E120" s="56" t="str">
        <f>CONCATENATE("Mid-year meeting - ", TEXT($F$10,"dd/mm/yyyy"))</f>
        <v>Mid-year meeting - TBD</v>
      </c>
      <c r="F120" s="330"/>
      <c r="G120" s="331"/>
      <c r="H120" s="330"/>
      <c r="I120" s="332"/>
      <c r="J120" s="332"/>
      <c r="K120" s="332"/>
      <c r="L120" s="333"/>
      <c r="M120" s="44"/>
      <c r="O120" s="322"/>
    </row>
    <row r="121" spans="3:15" ht="135.94999999999999" customHeight="1" thickBot="1" x14ac:dyDescent="0.4">
      <c r="C121" s="164"/>
      <c r="D121" s="158"/>
      <c r="E121" s="126" t="str">
        <f>CONCATENATE("End-of-year meeting - ", TEXT($F$11,"dd/mm/yyyy"))</f>
        <v>End-of-year meeting - TBD</v>
      </c>
      <c r="F121" s="330"/>
      <c r="G121" s="331"/>
      <c r="H121" s="334"/>
      <c r="I121" s="335"/>
      <c r="J121" s="335"/>
      <c r="K121" s="335"/>
      <c r="L121" s="336"/>
      <c r="M121" s="44"/>
      <c r="O121" s="322"/>
    </row>
    <row r="122" spans="3:15" ht="74.25" customHeight="1" thickBot="1" x14ac:dyDescent="0.4">
      <c r="C122" s="164"/>
      <c r="D122" s="158"/>
      <c r="E122" s="57"/>
      <c r="F122" s="306" t="s">
        <v>55</v>
      </c>
      <c r="G122" s="306"/>
      <c r="H122" s="306"/>
      <c r="I122" s="306"/>
      <c r="J122" s="306"/>
      <c r="K122" s="306"/>
      <c r="L122" s="307"/>
      <c r="M122" s="44"/>
      <c r="O122" s="124"/>
    </row>
    <row r="123" spans="3:15" ht="91.5" customHeight="1" x14ac:dyDescent="0.35">
      <c r="C123" s="164"/>
      <c r="D123" s="158"/>
      <c r="E123" s="56" t="s">
        <v>38</v>
      </c>
      <c r="F123" s="545"/>
      <c r="G123" s="348"/>
      <c r="H123" s="348"/>
      <c r="I123" s="348"/>
      <c r="J123" s="348"/>
      <c r="K123" s="348"/>
      <c r="L123" s="349"/>
      <c r="M123" s="44"/>
      <c r="O123" s="124"/>
    </row>
    <row r="124" spans="3:15" ht="53.45" customHeight="1" x14ac:dyDescent="0.35">
      <c r="C124" s="164"/>
      <c r="D124" s="158"/>
      <c r="E124" s="315" t="s">
        <v>40</v>
      </c>
      <c r="F124" s="316" t="s">
        <v>41</v>
      </c>
      <c r="G124" s="317"/>
      <c r="H124" s="318"/>
      <c r="I124" s="70" t="s">
        <v>42</v>
      </c>
      <c r="J124" s="70" t="s">
        <v>43</v>
      </c>
      <c r="K124" s="70" t="s">
        <v>44</v>
      </c>
      <c r="L124" s="125" t="s">
        <v>45</v>
      </c>
      <c r="M124" s="44"/>
    </row>
    <row r="125" spans="3:15" ht="179.25" customHeight="1" x14ac:dyDescent="0.35">
      <c r="C125" s="164"/>
      <c r="D125" s="158"/>
      <c r="E125" s="315"/>
      <c r="F125" s="344"/>
      <c r="G125" s="345"/>
      <c r="H125" s="346"/>
      <c r="I125" s="143"/>
      <c r="J125" s="75"/>
      <c r="K125" s="75"/>
      <c r="L125" s="75"/>
      <c r="M125" s="44"/>
      <c r="O125" s="322" t="b">
        <f>IF(L125="Fails to meet objective", 4, IF(L125="Partially meets objective", 3, IF(L125="Meets expectations", 2, IF(L125="Exceeds expectations", 1,IF(L125="To be done", "")))))</f>
        <v>0</v>
      </c>
    </row>
    <row r="126" spans="3:15" ht="53.45" customHeight="1" x14ac:dyDescent="0.35">
      <c r="C126" s="164"/>
      <c r="D126" s="158"/>
      <c r="E126" s="315"/>
      <c r="F126" s="323" t="str">
        <f>'CC 2023'!E2</f>
        <v>Employee Name</v>
      </c>
      <c r="G126" s="324"/>
      <c r="H126" s="324"/>
      <c r="I126" s="324"/>
      <c r="J126" s="324"/>
      <c r="K126" s="324"/>
      <c r="L126" s="325"/>
      <c r="M126" s="44"/>
      <c r="O126" s="322"/>
    </row>
    <row r="127" spans="3:15" ht="33.6" customHeight="1" x14ac:dyDescent="0.35">
      <c r="C127" s="164"/>
      <c r="D127" s="158"/>
      <c r="E127" s="315"/>
      <c r="F127" s="326" t="s">
        <v>51</v>
      </c>
      <c r="G127" s="327"/>
      <c r="H127" s="326" t="s">
        <v>52</v>
      </c>
      <c r="I127" s="328"/>
      <c r="J127" s="328"/>
      <c r="K127" s="328"/>
      <c r="L127" s="329"/>
      <c r="M127" s="44"/>
      <c r="O127" s="322"/>
    </row>
    <row r="128" spans="3:15" ht="135.94999999999999" customHeight="1" x14ac:dyDescent="0.35">
      <c r="C128" s="164"/>
      <c r="D128" s="158"/>
      <c r="E128" s="56" t="str">
        <f>CONCATENATE("Mid-year meeting - ", TEXT($F$10,"dd/mm/yyyy"))</f>
        <v>Mid-year meeting - TBD</v>
      </c>
      <c r="F128" s="330"/>
      <c r="G128" s="331"/>
      <c r="H128" s="330"/>
      <c r="I128" s="332"/>
      <c r="J128" s="332"/>
      <c r="K128" s="332"/>
      <c r="L128" s="333"/>
      <c r="M128" s="44"/>
      <c r="O128" s="322"/>
    </row>
    <row r="129" spans="3:15" ht="135.94999999999999" customHeight="1" x14ac:dyDescent="0.35">
      <c r="C129" s="164"/>
      <c r="D129" s="158"/>
      <c r="E129" s="56" t="str">
        <f>CONCATENATE("End-of-year meeting - ", TEXT($F$11,"dd/mm/yyyy"))</f>
        <v>End-of-year meeting - TBD</v>
      </c>
      <c r="F129" s="330"/>
      <c r="G129" s="331"/>
      <c r="H129" s="334"/>
      <c r="I129" s="335"/>
      <c r="J129" s="335"/>
      <c r="K129" s="335"/>
      <c r="L129" s="336"/>
      <c r="M129" s="44"/>
      <c r="O129" s="322"/>
    </row>
    <row r="130" spans="3:15" ht="53.45" customHeight="1" x14ac:dyDescent="0.35">
      <c r="C130" s="164"/>
      <c r="D130" s="158"/>
      <c r="E130" s="315"/>
      <c r="F130" s="342" t="str">
        <f>F7</f>
        <v xml:space="preserve">Anael </v>
      </c>
      <c r="G130" s="342"/>
      <c r="H130" s="342"/>
      <c r="I130" s="342"/>
      <c r="J130" s="342"/>
      <c r="K130" s="342"/>
      <c r="L130" s="343"/>
      <c r="M130" s="44"/>
      <c r="O130" s="322"/>
    </row>
    <row r="131" spans="3:15" ht="35.1" customHeight="1" x14ac:dyDescent="0.35">
      <c r="C131" s="164"/>
      <c r="D131" s="158"/>
      <c r="E131" s="315"/>
      <c r="F131" s="326" t="s">
        <v>51</v>
      </c>
      <c r="G131" s="327"/>
      <c r="H131" s="326" t="s">
        <v>52</v>
      </c>
      <c r="I131" s="328"/>
      <c r="J131" s="328"/>
      <c r="K131" s="328"/>
      <c r="L131" s="329"/>
      <c r="M131" s="44"/>
      <c r="O131" s="322"/>
    </row>
    <row r="132" spans="3:15" ht="135.94999999999999" customHeight="1" x14ac:dyDescent="0.35">
      <c r="C132" s="164"/>
      <c r="D132" s="158"/>
      <c r="E132" s="56" t="str">
        <f>CONCATENATE("Mid-year meeting - ", TEXT($F$10,"dd/mm/yyyy"))</f>
        <v>Mid-year meeting - TBD</v>
      </c>
      <c r="F132" s="330"/>
      <c r="G132" s="331"/>
      <c r="H132" s="330"/>
      <c r="I132" s="332"/>
      <c r="J132" s="332"/>
      <c r="K132" s="332"/>
      <c r="L132" s="333"/>
      <c r="M132" s="44"/>
      <c r="O132" s="322"/>
    </row>
    <row r="133" spans="3:15" ht="135.94999999999999" customHeight="1" thickBot="1" x14ac:dyDescent="0.4">
      <c r="C133" s="164"/>
      <c r="D133" s="158"/>
      <c r="E133" s="126" t="str">
        <f>CONCATENATE("End-of-year meeting - ", TEXT($F$11,"dd/mm/yyyy"))</f>
        <v>End-of-year meeting - TBD</v>
      </c>
      <c r="F133" s="330"/>
      <c r="G133" s="331"/>
      <c r="H133" s="334"/>
      <c r="I133" s="335"/>
      <c r="J133" s="335"/>
      <c r="K133" s="335"/>
      <c r="L133" s="336"/>
      <c r="M133" s="44"/>
      <c r="O133" s="322"/>
    </row>
    <row r="134" spans="3:15" ht="74.25" customHeight="1" thickBot="1" x14ac:dyDescent="0.4">
      <c r="C134" s="164"/>
      <c r="D134" s="158"/>
      <c r="E134" s="57"/>
      <c r="F134" s="350" t="s">
        <v>56</v>
      </c>
      <c r="G134" s="350"/>
      <c r="H134" s="350"/>
      <c r="I134" s="350"/>
      <c r="J134" s="350"/>
      <c r="K134" s="350"/>
      <c r="L134" s="351"/>
      <c r="M134" s="44"/>
      <c r="O134" s="124"/>
    </row>
    <row r="135" spans="3:15" ht="91.5" customHeight="1" x14ac:dyDescent="0.35">
      <c r="C135" s="164"/>
      <c r="D135" s="158"/>
      <c r="E135" s="56" t="s">
        <v>38</v>
      </c>
      <c r="F135" s="338"/>
      <c r="G135" s="338"/>
      <c r="H135" s="338"/>
      <c r="I135" s="338"/>
      <c r="J135" s="338"/>
      <c r="K135" s="338"/>
      <c r="L135" s="339"/>
      <c r="M135" s="44"/>
      <c r="O135" s="124"/>
    </row>
    <row r="136" spans="3:15" ht="53.45" customHeight="1" x14ac:dyDescent="0.35">
      <c r="C136" s="164"/>
      <c r="D136" s="158"/>
      <c r="E136" s="352" t="s">
        <v>40</v>
      </c>
      <c r="F136" s="340" t="s">
        <v>41</v>
      </c>
      <c r="G136" s="340"/>
      <c r="H136" s="340"/>
      <c r="I136" s="127" t="s">
        <v>42</v>
      </c>
      <c r="J136" s="127" t="s">
        <v>43</v>
      </c>
      <c r="K136" s="127" t="s">
        <v>44</v>
      </c>
      <c r="L136" s="128" t="s">
        <v>45</v>
      </c>
      <c r="M136" s="44"/>
    </row>
    <row r="137" spans="3:15" ht="220.5" customHeight="1" x14ac:dyDescent="0.35">
      <c r="C137" s="164"/>
      <c r="D137" s="158"/>
      <c r="E137" s="352"/>
      <c r="F137" s="344"/>
      <c r="G137" s="345"/>
      <c r="H137" s="346"/>
      <c r="I137" s="143"/>
      <c r="J137" s="75"/>
      <c r="K137" s="75"/>
      <c r="L137" s="76"/>
      <c r="M137" s="44"/>
      <c r="O137" s="322" t="b">
        <f>IF(L137="Fails to meet objective", 4, IF(L137="Partially meets objective", 3, IF(L137="Meets expectations", 2, IF(L137="Exceeds expectations", 1,IF(L137="To be done", "")))))</f>
        <v>0</v>
      </c>
    </row>
    <row r="138" spans="3:15" ht="53.45" customHeight="1" x14ac:dyDescent="0.35">
      <c r="C138" s="164"/>
      <c r="D138" s="158"/>
      <c r="E138" s="352"/>
      <c r="F138" s="323" t="str">
        <f>'CC 2023'!E2</f>
        <v>Employee Name</v>
      </c>
      <c r="G138" s="324"/>
      <c r="H138" s="324"/>
      <c r="I138" s="324"/>
      <c r="J138" s="324"/>
      <c r="K138" s="324"/>
      <c r="L138" s="325"/>
      <c r="M138" s="44"/>
      <c r="O138" s="322"/>
    </row>
    <row r="139" spans="3:15" ht="33.6" customHeight="1" x14ac:dyDescent="0.35">
      <c r="C139" s="164"/>
      <c r="D139" s="158"/>
      <c r="E139" s="352"/>
      <c r="F139" s="326" t="s">
        <v>51</v>
      </c>
      <c r="G139" s="327"/>
      <c r="H139" s="326" t="s">
        <v>52</v>
      </c>
      <c r="I139" s="328"/>
      <c r="J139" s="328"/>
      <c r="K139" s="328"/>
      <c r="L139" s="329"/>
      <c r="M139" s="44"/>
      <c r="O139" s="322"/>
    </row>
    <row r="140" spans="3:15" ht="135.94999999999999" customHeight="1" x14ac:dyDescent="0.35">
      <c r="C140" s="164"/>
      <c r="D140" s="158"/>
      <c r="E140" s="56" t="str">
        <f>CONCATENATE("Mid-year meeting - ", TEXT($F$10,"dd/mm/yyyy"))</f>
        <v>Mid-year meeting - TBD</v>
      </c>
      <c r="F140" s="330"/>
      <c r="G140" s="331"/>
      <c r="H140" s="353"/>
      <c r="I140" s="354"/>
      <c r="J140" s="354"/>
      <c r="K140" s="354"/>
      <c r="L140" s="355"/>
      <c r="M140" s="44"/>
      <c r="O140" s="322"/>
    </row>
    <row r="141" spans="3:15" ht="135.94999999999999" customHeight="1" x14ac:dyDescent="0.35">
      <c r="C141" s="164"/>
      <c r="D141" s="158"/>
      <c r="E141" s="56" t="str">
        <f>CONCATENATE("End-of-year meeting - ", TEXT($F$11,"dd/mm/yyyy"))</f>
        <v>End-of-year meeting - TBD</v>
      </c>
      <c r="F141" s="330"/>
      <c r="G141" s="331"/>
      <c r="H141" s="334"/>
      <c r="I141" s="335"/>
      <c r="J141" s="335"/>
      <c r="K141" s="335"/>
      <c r="L141" s="336"/>
      <c r="M141" s="44"/>
      <c r="O141" s="322"/>
    </row>
    <row r="142" spans="3:15" ht="53.45" customHeight="1" x14ac:dyDescent="0.35">
      <c r="C142" s="164"/>
      <c r="D142" s="158"/>
      <c r="E142" s="352"/>
      <c r="F142" s="359" t="str">
        <f>F7</f>
        <v xml:space="preserve">Anael </v>
      </c>
      <c r="G142" s="359"/>
      <c r="H142" s="359"/>
      <c r="I142" s="359"/>
      <c r="J142" s="359"/>
      <c r="K142" s="359"/>
      <c r="L142" s="360"/>
      <c r="M142" s="44"/>
      <c r="O142" s="322"/>
    </row>
    <row r="143" spans="3:15" ht="35.1" customHeight="1" x14ac:dyDescent="0.35">
      <c r="C143" s="164"/>
      <c r="D143" s="158"/>
      <c r="E143" s="352"/>
      <c r="F143" s="326" t="s">
        <v>51</v>
      </c>
      <c r="G143" s="327"/>
      <c r="H143" s="326" t="s">
        <v>52</v>
      </c>
      <c r="I143" s="328"/>
      <c r="J143" s="328"/>
      <c r="K143" s="328"/>
      <c r="L143" s="329"/>
      <c r="M143" s="44"/>
      <c r="O143" s="322"/>
    </row>
    <row r="144" spans="3:15" ht="135.94999999999999" customHeight="1" x14ac:dyDescent="0.35">
      <c r="C144" s="164"/>
      <c r="D144" s="158"/>
      <c r="E144" s="56" t="str">
        <f>CONCATENATE("Mid-year meeting - ", TEXT($F$10,"dd/mm/yyyy"))</f>
        <v>Mid-year meeting - TBD</v>
      </c>
      <c r="F144" s="330"/>
      <c r="G144" s="331"/>
      <c r="H144" s="330"/>
      <c r="I144" s="332"/>
      <c r="J144" s="332"/>
      <c r="K144" s="332"/>
      <c r="L144" s="333"/>
      <c r="M144" s="44"/>
      <c r="O144" s="322"/>
    </row>
    <row r="145" spans="3:17" ht="135.94999999999999" customHeight="1" thickBot="1" x14ac:dyDescent="0.4">
      <c r="C145" s="164"/>
      <c r="D145" s="158"/>
      <c r="E145" s="129" t="str">
        <f>CONCATENATE("End-of-year meeting - ", TEXT($F$11,"dd/mm/yyyy"))</f>
        <v>End-of-year meeting - TBD</v>
      </c>
      <c r="F145" s="330"/>
      <c r="G145" s="331"/>
      <c r="H145" s="334"/>
      <c r="I145" s="335"/>
      <c r="J145" s="335"/>
      <c r="K145" s="335"/>
      <c r="L145" s="336"/>
      <c r="M145" s="44"/>
      <c r="O145" s="322"/>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60" t="s">
        <v>59</v>
      </c>
      <c r="F151" s="260"/>
      <c r="G151" s="260"/>
      <c r="H151" s="260"/>
      <c r="I151" s="260"/>
      <c r="J151" s="260"/>
      <c r="K151" s="260"/>
      <c r="L151" s="260"/>
      <c r="M151" s="44"/>
    </row>
    <row r="152" spans="3:17" ht="58.5" customHeight="1" x14ac:dyDescent="0.35">
      <c r="D152" s="158"/>
      <c r="E152" s="134" t="s">
        <v>60</v>
      </c>
      <c r="F152" s="356" t="s">
        <v>61</v>
      </c>
      <c r="G152" s="357"/>
      <c r="H152" s="357"/>
      <c r="I152" s="357"/>
      <c r="J152" s="357"/>
      <c r="K152" s="357"/>
      <c r="L152" s="358"/>
      <c r="M152" s="44"/>
    </row>
    <row r="153" spans="3:17" ht="185.1" customHeight="1" thickBot="1" x14ac:dyDescent="0.4">
      <c r="D153" s="158"/>
      <c r="E153" s="135" t="s">
        <v>62</v>
      </c>
      <c r="F153" s="365" t="s">
        <v>63</v>
      </c>
      <c r="G153" s="366"/>
      <c r="H153" s="366"/>
      <c r="I153" s="366"/>
      <c r="J153" s="366"/>
      <c r="K153" s="366"/>
      <c r="L153" s="367"/>
      <c r="M153" s="44"/>
      <c r="Q153" s="167" t="s">
        <v>62</v>
      </c>
    </row>
    <row r="154" spans="3:17" ht="30" customHeight="1" x14ac:dyDescent="0.35">
      <c r="D154" s="158"/>
      <c r="E154" s="250" t="str">
        <f>CONCATENATE("Mid-year meeting - ", TEXT($F$10,"dd/mm/yyyy"))</f>
        <v>Mid-year meeting - TBD</v>
      </c>
      <c r="F154" s="224" t="s">
        <v>64</v>
      </c>
      <c r="G154" s="368" t="str">
        <f>'CC 2023'!E2</f>
        <v>Employee Name</v>
      </c>
      <c r="H154" s="368"/>
      <c r="I154" s="368"/>
      <c r="J154" s="368" t="str">
        <f>F7</f>
        <v xml:space="preserve">Anael </v>
      </c>
      <c r="K154" s="368"/>
      <c r="L154" s="369"/>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1"/>
      <c r="F155" s="176"/>
      <c r="G155" s="370"/>
      <c r="H155" s="371"/>
      <c r="I155" s="372"/>
      <c r="J155" s="373"/>
      <c r="K155" s="373"/>
      <c r="L155" s="374"/>
      <c r="M155" s="44"/>
      <c r="Q155" s="169">
        <f>F157</f>
        <v>0</v>
      </c>
    </row>
    <row r="156" spans="3:17" ht="30" customHeight="1" x14ac:dyDescent="0.35">
      <c r="D156" s="158"/>
      <c r="E156" s="251" t="str">
        <f>CONCATENATE("End-of-year meeting - ", TEXT($F$11,"dd/mm/yyyy"))</f>
        <v>End-of-year meeting - TBD</v>
      </c>
      <c r="F156" s="224" t="s">
        <v>64</v>
      </c>
      <c r="G156" s="361" t="str">
        <f>'CC 2023'!E2</f>
        <v>Employee Name</v>
      </c>
      <c r="H156" s="361"/>
      <c r="I156" s="361"/>
      <c r="J156" s="361" t="str">
        <f>F7</f>
        <v xml:space="preserve">Anael </v>
      </c>
      <c r="K156" s="361"/>
      <c r="L156" s="362"/>
      <c r="M156" s="44"/>
      <c r="Q156" s="148"/>
    </row>
    <row r="157" spans="3:17" ht="137.44999999999999" customHeight="1" x14ac:dyDescent="0.35">
      <c r="D157" s="158"/>
      <c r="E157" s="252"/>
      <c r="F157" s="78"/>
      <c r="G157" s="363"/>
      <c r="H157" s="363"/>
      <c r="I157" s="363"/>
      <c r="J157" s="363"/>
      <c r="K157" s="363"/>
      <c r="L157" s="364"/>
      <c r="M157" s="44"/>
      <c r="Q157" s="148"/>
    </row>
    <row r="158" spans="3:17" ht="185.1" customHeight="1" thickBot="1" x14ac:dyDescent="0.4">
      <c r="D158" s="158"/>
      <c r="E158" s="136" t="s">
        <v>65</v>
      </c>
      <c r="F158" s="365" t="s">
        <v>66</v>
      </c>
      <c r="G158" s="366"/>
      <c r="H158" s="366"/>
      <c r="I158" s="366"/>
      <c r="J158" s="366"/>
      <c r="K158" s="366"/>
      <c r="L158" s="367"/>
      <c r="M158" s="44"/>
      <c r="Q158" s="167" t="s">
        <v>65</v>
      </c>
    </row>
    <row r="159" spans="3:17" ht="30" customHeight="1" x14ac:dyDescent="0.35">
      <c r="D159" s="158"/>
      <c r="E159" s="375" t="str">
        <f>CONCATENATE("Mid-year meeting - ", TEXT($F$10,"dd/mm/yyyy"))</f>
        <v>Mid-year meeting - TBD</v>
      </c>
      <c r="F159" s="224" t="s">
        <v>64</v>
      </c>
      <c r="G159" s="377" t="str">
        <f>'CC 2023'!E2</f>
        <v>Employee Name</v>
      </c>
      <c r="H159" s="378"/>
      <c r="I159" s="379"/>
      <c r="J159" s="380" t="str">
        <f>F7</f>
        <v xml:space="preserve">Anael </v>
      </c>
      <c r="K159" s="381"/>
      <c r="L159" s="382"/>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76"/>
      <c r="F160" s="177"/>
      <c r="G160" s="383"/>
      <c r="H160" s="384"/>
      <c r="I160" s="385"/>
      <c r="J160" s="386"/>
      <c r="K160" s="387"/>
      <c r="L160" s="388"/>
      <c r="M160" s="44"/>
      <c r="Q160" s="169">
        <f>F162</f>
        <v>0</v>
      </c>
    </row>
    <row r="161" spans="4:17" ht="30" customHeight="1" x14ac:dyDescent="0.35">
      <c r="D161" s="158"/>
      <c r="E161" s="389" t="str">
        <f>CONCATENATE("End-of-year meeting - ", TEXT($F$11,"dd/mm/yyyy"))</f>
        <v>End-of-year meeting - TBD</v>
      </c>
      <c r="F161" s="224" t="s">
        <v>64</v>
      </c>
      <c r="G161" s="391" t="str">
        <f>'CC 2023'!E2</f>
        <v>Employee Name</v>
      </c>
      <c r="H161" s="392"/>
      <c r="I161" s="393"/>
      <c r="J161" s="394" t="str">
        <f>F7</f>
        <v xml:space="preserve">Anael </v>
      </c>
      <c r="K161" s="395"/>
      <c r="L161" s="396"/>
      <c r="M161" s="44"/>
      <c r="Q161" s="148"/>
    </row>
    <row r="162" spans="4:17" ht="137.44999999999999" customHeight="1" x14ac:dyDescent="0.35">
      <c r="D162" s="158"/>
      <c r="E162" s="390"/>
      <c r="F162" s="52"/>
      <c r="G162" s="397"/>
      <c r="H162" s="398"/>
      <c r="I162" s="399"/>
      <c r="J162" s="400"/>
      <c r="K162" s="401"/>
      <c r="L162" s="402"/>
      <c r="M162" s="44"/>
      <c r="Q162" s="148"/>
    </row>
    <row r="163" spans="4:17" ht="185.1" customHeight="1" thickBot="1" x14ac:dyDescent="0.4">
      <c r="D163" s="158"/>
      <c r="E163" s="137" t="s">
        <v>67</v>
      </c>
      <c r="F163" s="407" t="s">
        <v>68</v>
      </c>
      <c r="G163" s="408"/>
      <c r="H163" s="408"/>
      <c r="I163" s="408"/>
      <c r="J163" s="408"/>
      <c r="K163" s="408"/>
      <c r="L163" s="409"/>
      <c r="M163" s="44"/>
      <c r="Q163" s="124" t="s">
        <v>69</v>
      </c>
    </row>
    <row r="164" spans="4:17" ht="30" customHeight="1" x14ac:dyDescent="0.35">
      <c r="D164" s="158"/>
      <c r="E164" s="410" t="str">
        <f>CONCATENATE("Mid-year meeting - ", TEXT($F$10,"dd/mm/yyyy"))</f>
        <v>Mid-year meeting - TBD</v>
      </c>
      <c r="F164" s="224" t="s">
        <v>64</v>
      </c>
      <c r="G164" s="377" t="str">
        <f>'CC 2023'!E2</f>
        <v>Employee Name</v>
      </c>
      <c r="H164" s="378"/>
      <c r="I164" s="379"/>
      <c r="J164" s="377" t="str">
        <f>F7</f>
        <v xml:space="preserve">Anael </v>
      </c>
      <c r="K164" s="378"/>
      <c r="L164" s="411"/>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403"/>
      <c r="F165" s="177"/>
      <c r="G165" s="412"/>
      <c r="H165" s="289"/>
      <c r="I165" s="290"/>
      <c r="J165" s="291"/>
      <c r="K165" s="292"/>
      <c r="L165" s="413"/>
      <c r="M165" s="44"/>
      <c r="Q165" s="169" t="e">
        <f>AVERAGEIF(F165:F167,"&lt;&gt;0")</f>
        <v>#DIV/0!</v>
      </c>
    </row>
    <row r="166" spans="4:17" ht="30" customHeight="1" x14ac:dyDescent="0.35">
      <c r="D166" s="158"/>
      <c r="E166" s="403" t="str">
        <f>CONCATENATE("End-of-year meeting - ", TEXT($F$11,"dd/mm/yyyy"))</f>
        <v>End-of-year meeting - TBD</v>
      </c>
      <c r="F166" s="224" t="s">
        <v>64</v>
      </c>
      <c r="G166" s="391" t="str">
        <f>'CC 2023'!E2</f>
        <v>Employee Name</v>
      </c>
      <c r="H166" s="392"/>
      <c r="I166" s="393"/>
      <c r="J166" s="391" t="str">
        <f>F7</f>
        <v xml:space="preserve">Anael </v>
      </c>
      <c r="K166" s="392"/>
      <c r="L166" s="405"/>
      <c r="M166" s="44"/>
      <c r="Q166" s="148"/>
    </row>
    <row r="167" spans="4:17" ht="137.44999999999999" customHeight="1" x14ac:dyDescent="0.35">
      <c r="D167" s="158"/>
      <c r="E167" s="404"/>
      <c r="F167" s="52"/>
      <c r="G167" s="397"/>
      <c r="H167" s="398"/>
      <c r="I167" s="399"/>
      <c r="J167" s="397"/>
      <c r="K167" s="398"/>
      <c r="L167" s="406"/>
      <c r="M167" s="44"/>
      <c r="Q167" s="148"/>
    </row>
    <row r="168" spans="4:17" ht="185.1" customHeight="1" thickBot="1" x14ac:dyDescent="0.4">
      <c r="D168" s="158"/>
      <c r="E168" s="137" t="s">
        <v>70</v>
      </c>
      <c r="F168" s="407" t="s">
        <v>71</v>
      </c>
      <c r="G168" s="408"/>
      <c r="H168" s="408"/>
      <c r="I168" s="408"/>
      <c r="J168" s="408"/>
      <c r="K168" s="408"/>
      <c r="L168" s="409"/>
      <c r="M168" s="44"/>
      <c r="Q168" s="124" t="s">
        <v>72</v>
      </c>
    </row>
    <row r="169" spans="4:17" ht="30" customHeight="1" x14ac:dyDescent="0.35">
      <c r="D169" s="158"/>
      <c r="E169" s="250" t="str">
        <f>CONCATENATE("Mid-year meeting - ",TEXT(F10,"dd/mm/yyyy"))</f>
        <v>Mid-year meeting - TBD</v>
      </c>
      <c r="F169" s="224" t="s">
        <v>64</v>
      </c>
      <c r="G169" s="368" t="str">
        <f>'CC 2023'!E2</f>
        <v>Employee Name</v>
      </c>
      <c r="H169" s="368"/>
      <c r="I169" s="368"/>
      <c r="J169" s="368" t="str">
        <f>F7</f>
        <v xml:space="preserve">Anael </v>
      </c>
      <c r="K169" s="368"/>
      <c r="L169" s="369"/>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1"/>
      <c r="F170" s="176"/>
      <c r="G170" s="373"/>
      <c r="H170" s="373"/>
      <c r="I170" s="373"/>
      <c r="J170" s="418"/>
      <c r="K170" s="418"/>
      <c r="L170" s="420"/>
      <c r="M170" s="44"/>
      <c r="Q170" s="169" t="e">
        <f>AVERAGEIF(F170:F172,"&lt;&gt;0")</f>
        <v>#DIV/0!</v>
      </c>
    </row>
    <row r="171" spans="4:17" ht="30" customHeight="1" x14ac:dyDescent="0.35">
      <c r="D171" s="158"/>
      <c r="E171" s="251" t="str">
        <f>CONCATENATE("End-of-year meeting - ", TEXT($F$11,"dd/mm/yyyy"))</f>
        <v>End-of-year meeting - TBD</v>
      </c>
      <c r="F171" s="224" t="s">
        <v>64</v>
      </c>
      <c r="G171" s="361" t="str">
        <f>'CC 2023'!E2</f>
        <v>Employee Name</v>
      </c>
      <c r="H171" s="361"/>
      <c r="I171" s="361"/>
      <c r="J171" s="361" t="str">
        <f>F7</f>
        <v xml:space="preserve">Anael </v>
      </c>
      <c r="K171" s="361"/>
      <c r="L171" s="362"/>
      <c r="M171" s="44"/>
      <c r="Q171" s="148"/>
    </row>
    <row r="172" spans="4:17" ht="137.44999999999999" customHeight="1" x14ac:dyDescent="0.35">
      <c r="D172" s="158"/>
      <c r="E172" s="252"/>
      <c r="F172" s="78"/>
      <c r="G172" s="363"/>
      <c r="H172" s="363"/>
      <c r="I172" s="363"/>
      <c r="J172" s="363"/>
      <c r="K172" s="363"/>
      <c r="L172" s="364"/>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85" t="s">
        <v>74</v>
      </c>
      <c r="F175" s="414"/>
      <c r="G175" s="414"/>
      <c r="H175" s="414"/>
      <c r="I175" s="414"/>
      <c r="J175" s="414"/>
      <c r="K175" s="414"/>
      <c r="L175" s="414"/>
      <c r="M175" s="44"/>
      <c r="Q175" s="168"/>
    </row>
    <row r="176" spans="4:17" ht="41.1" customHeight="1" x14ac:dyDescent="0.35">
      <c r="D176" s="158"/>
      <c r="E176" s="260" t="s">
        <v>75</v>
      </c>
      <c r="F176" s="260"/>
      <c r="G176" s="260"/>
      <c r="H176" s="260"/>
      <c r="I176" s="260"/>
      <c r="J176" s="260"/>
      <c r="K176" s="260"/>
      <c r="L176" s="260"/>
      <c r="M176" s="44"/>
      <c r="Q176" s="148"/>
    </row>
    <row r="177" spans="4:17" ht="45.95" customHeight="1" x14ac:dyDescent="0.35">
      <c r="D177" s="158"/>
      <c r="E177" s="44"/>
      <c r="F177" s="138" t="s">
        <v>76</v>
      </c>
      <c r="G177" s="415" t="str">
        <f>'CC 2023'!E2</f>
        <v>Employee Name</v>
      </c>
      <c r="H177" s="415"/>
      <c r="I177" s="416"/>
      <c r="J177" s="417" t="str">
        <f>F7</f>
        <v xml:space="preserve">Anael </v>
      </c>
      <c r="K177" s="415"/>
      <c r="L177" s="416"/>
      <c r="M177" s="44"/>
      <c r="Q177" s="148"/>
    </row>
    <row r="178" spans="4:17" ht="111" customHeight="1" x14ac:dyDescent="0.35">
      <c r="D178" s="158"/>
      <c r="E178" s="139" t="str">
        <f>CONCATENATE("Mid-year meeting - ",TEXT($F$10,"dd/mm/yyyy"))</f>
        <v>Mid-year meeting - TBD</v>
      </c>
      <c r="F178" s="176"/>
      <c r="G178" s="373"/>
      <c r="H178" s="373"/>
      <c r="I178" s="373"/>
      <c r="J178" s="418"/>
      <c r="K178" s="418"/>
      <c r="L178" s="419"/>
      <c r="M178" s="44"/>
    </row>
    <row r="179" spans="4:17" ht="111" customHeight="1" x14ac:dyDescent="0.35">
      <c r="D179" s="158"/>
      <c r="E179" s="140" t="str">
        <f>CONCATENATE("End-of-year meeting - ", TEXT($F$11,"dd/mm/yyyy"))</f>
        <v>End-of-year meeting - TBD</v>
      </c>
      <c r="F179" s="79"/>
      <c r="G179" s="424"/>
      <c r="H179" s="424"/>
      <c r="I179" s="424"/>
      <c r="J179" s="424"/>
      <c r="K179" s="424"/>
      <c r="L179" s="424"/>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85" t="s">
        <v>77</v>
      </c>
      <c r="F183" s="414"/>
      <c r="G183" s="414"/>
      <c r="H183" s="414"/>
      <c r="I183" s="414"/>
      <c r="J183" s="414"/>
      <c r="K183" s="414"/>
      <c r="L183" s="414"/>
      <c r="M183" s="44"/>
    </row>
    <row r="184" spans="4:17" ht="45.6" customHeight="1" x14ac:dyDescent="0.35">
      <c r="D184" s="158"/>
      <c r="E184" s="260" t="s">
        <v>78</v>
      </c>
      <c r="F184" s="260"/>
      <c r="G184" s="260"/>
      <c r="H184" s="260"/>
      <c r="I184" s="260"/>
      <c r="J184" s="260"/>
      <c r="K184" s="260"/>
      <c r="L184" s="26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428" t="s">
        <v>79</v>
      </c>
      <c r="G186" s="428"/>
      <c r="H186" s="428" t="s">
        <v>80</v>
      </c>
      <c r="I186" s="428"/>
      <c r="J186" s="428"/>
      <c r="K186" s="428" t="s">
        <v>81</v>
      </c>
      <c r="L186" s="428"/>
      <c r="M186" s="44"/>
    </row>
    <row r="187" spans="4:17" ht="129.75" customHeight="1" x14ac:dyDescent="0.35">
      <c r="D187" s="158"/>
      <c r="E187" s="141" t="str">
        <f>CONCATENATE("Mid-year meeting - ",TEXT($F$10,"dd/mm/yyyy"))</f>
        <v>Mid-year meeting - TBD</v>
      </c>
      <c r="F187" s="422"/>
      <c r="G187" s="422"/>
      <c r="H187" s="422"/>
      <c r="I187" s="422"/>
      <c r="J187" s="422"/>
      <c r="K187" s="422"/>
      <c r="L187" s="422"/>
      <c r="M187" s="44"/>
    </row>
    <row r="188" spans="4:17" ht="129.75" customHeight="1" x14ac:dyDescent="0.35">
      <c r="D188" s="158"/>
      <c r="E188" s="142" t="str">
        <f>CONCATENATE("End-of-year meeting - ", TEXT($F$11,"dd/mm/yyyy"))</f>
        <v>End-of-year meeting - TBD</v>
      </c>
      <c r="F188" s="423"/>
      <c r="G188" s="423"/>
      <c r="H188" s="423"/>
      <c r="I188" s="423"/>
      <c r="J188" s="423"/>
      <c r="K188" s="423"/>
      <c r="L188" s="423"/>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oV14GzJi9lDCe5i755BRmkAQHqhImPSVwU/xKMszuBVLFGiMI/bvVVFHco05M/7e/pKoyNMobEMR2NTDJzSINg==" saltValue="YVf0CWGeZFiQdA80FUej8w==" spinCount="100000" sheet="1" formatCells="0" formatColumns="0" formatRows="0"/>
  <mergeCells count="286">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F168:L168"/>
    <mergeCell ref="F163:L163"/>
    <mergeCell ref="E164:E165"/>
    <mergeCell ref="G164:I164"/>
    <mergeCell ref="J164:L164"/>
    <mergeCell ref="G165:I165"/>
    <mergeCell ref="J165:L165"/>
    <mergeCell ref="E175:L175"/>
    <mergeCell ref="E176:L176"/>
    <mergeCell ref="E161:E162"/>
    <mergeCell ref="G161:I161"/>
    <mergeCell ref="J161:L161"/>
    <mergeCell ref="G162:I162"/>
    <mergeCell ref="J162:L162"/>
    <mergeCell ref="E166:E167"/>
    <mergeCell ref="G166:I166"/>
    <mergeCell ref="J166:L166"/>
    <mergeCell ref="G167:I167"/>
    <mergeCell ref="J167:L16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O137:O145"/>
    <mergeCell ref="E138:E139"/>
    <mergeCell ref="F138:L138"/>
    <mergeCell ref="F139:G139"/>
    <mergeCell ref="H139:L139"/>
    <mergeCell ref="F140:G140"/>
    <mergeCell ref="H140:L140"/>
    <mergeCell ref="F144:G144"/>
    <mergeCell ref="H144:L144"/>
    <mergeCell ref="F145:G145"/>
    <mergeCell ref="H145:L145"/>
    <mergeCell ref="F134:L134"/>
    <mergeCell ref="F135:L135"/>
    <mergeCell ref="F129:G129"/>
    <mergeCell ref="H129:L129"/>
    <mergeCell ref="E130:E131"/>
    <mergeCell ref="F130:L130"/>
    <mergeCell ref="F131:G131"/>
    <mergeCell ref="H131:L131"/>
    <mergeCell ref="E136:E137"/>
    <mergeCell ref="F136:H136"/>
    <mergeCell ref="F137:H137"/>
    <mergeCell ref="O125:O133"/>
    <mergeCell ref="E126:E127"/>
    <mergeCell ref="F126:L126"/>
    <mergeCell ref="F127:G127"/>
    <mergeCell ref="H127:L127"/>
    <mergeCell ref="F128:G128"/>
    <mergeCell ref="H128:L128"/>
    <mergeCell ref="F132:G132"/>
    <mergeCell ref="H132:L132"/>
    <mergeCell ref="F133:G133"/>
    <mergeCell ref="H133:L133"/>
    <mergeCell ref="F122:L122"/>
    <mergeCell ref="F123:L123"/>
    <mergeCell ref="F117:G117"/>
    <mergeCell ref="H117:L117"/>
    <mergeCell ref="E118:E119"/>
    <mergeCell ref="F118:L118"/>
    <mergeCell ref="F119:G119"/>
    <mergeCell ref="H119:L119"/>
    <mergeCell ref="E124:E125"/>
    <mergeCell ref="F124:H124"/>
    <mergeCell ref="F125:H125"/>
    <mergeCell ref="O113:O121"/>
    <mergeCell ref="E114:E115"/>
    <mergeCell ref="F114:L114"/>
    <mergeCell ref="F115:G115"/>
    <mergeCell ref="H115:L115"/>
    <mergeCell ref="F116:G116"/>
    <mergeCell ref="H116:L116"/>
    <mergeCell ref="F120:G120"/>
    <mergeCell ref="H120:L120"/>
    <mergeCell ref="F121:G121"/>
    <mergeCell ref="H121:L121"/>
    <mergeCell ref="F110:L110"/>
    <mergeCell ref="F111:L111"/>
    <mergeCell ref="F105:G105"/>
    <mergeCell ref="H105:L105"/>
    <mergeCell ref="E106:E107"/>
    <mergeCell ref="F106:L106"/>
    <mergeCell ref="F107:G107"/>
    <mergeCell ref="H107:L107"/>
    <mergeCell ref="E112:E113"/>
    <mergeCell ref="F112:H112"/>
    <mergeCell ref="F113:H113"/>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E78:F78"/>
    <mergeCell ref="E79:F79"/>
    <mergeCell ref="E80:F80"/>
    <mergeCell ref="E84:L84"/>
    <mergeCell ref="E85:F85"/>
    <mergeCell ref="F86:L86"/>
    <mergeCell ref="E72:F72"/>
    <mergeCell ref="E73:F73"/>
    <mergeCell ref="E74:F74"/>
    <mergeCell ref="E75:F75"/>
    <mergeCell ref="E76:F76"/>
    <mergeCell ref="E77:F77"/>
    <mergeCell ref="E67:E68"/>
    <mergeCell ref="G67:I67"/>
    <mergeCell ref="J67:L67"/>
    <mergeCell ref="G68:I68"/>
    <mergeCell ref="J68:L68"/>
    <mergeCell ref="E71:L71"/>
    <mergeCell ref="F64:L64"/>
    <mergeCell ref="E65:E66"/>
    <mergeCell ref="G65:I65"/>
    <mergeCell ref="J65:L65"/>
    <mergeCell ref="G66:I66"/>
    <mergeCell ref="J66:L66"/>
    <mergeCell ref="E59:E60"/>
    <mergeCell ref="G59:I59"/>
    <mergeCell ref="J59:L59"/>
    <mergeCell ref="G60:I60"/>
    <mergeCell ref="J60:L60"/>
    <mergeCell ref="E61:E62"/>
    <mergeCell ref="G61:I61"/>
    <mergeCell ref="J61:L61"/>
    <mergeCell ref="G62:I62"/>
    <mergeCell ref="J62:L62"/>
    <mergeCell ref="E55:E56"/>
    <mergeCell ref="G55:I55"/>
    <mergeCell ref="J55:L55"/>
    <mergeCell ref="G56:I56"/>
    <mergeCell ref="J56:L56"/>
    <mergeCell ref="F58:L58"/>
    <mergeCell ref="F52:L52"/>
    <mergeCell ref="E53:E54"/>
    <mergeCell ref="G53:I53"/>
    <mergeCell ref="J53:L53"/>
    <mergeCell ref="G54:I54"/>
    <mergeCell ref="J54:L54"/>
    <mergeCell ref="E47:E48"/>
    <mergeCell ref="G47:I47"/>
    <mergeCell ref="J47:L47"/>
    <mergeCell ref="G48:I48"/>
    <mergeCell ref="J48:L48"/>
    <mergeCell ref="E49:E50"/>
    <mergeCell ref="G49:I49"/>
    <mergeCell ref="J49:L49"/>
    <mergeCell ref="G50:I50"/>
    <mergeCell ref="J50:L50"/>
    <mergeCell ref="E43:E44"/>
    <mergeCell ref="G43:I43"/>
    <mergeCell ref="J43:L43"/>
    <mergeCell ref="G44:I44"/>
    <mergeCell ref="J44:L44"/>
    <mergeCell ref="F46:L46"/>
    <mergeCell ref="F40:L40"/>
    <mergeCell ref="E41:E42"/>
    <mergeCell ref="G41:I41"/>
    <mergeCell ref="J41:L41"/>
    <mergeCell ref="G42:I42"/>
    <mergeCell ref="J42:L42"/>
    <mergeCell ref="E35:E36"/>
    <mergeCell ref="G35:I35"/>
    <mergeCell ref="J35:L35"/>
    <mergeCell ref="G36:I36"/>
    <mergeCell ref="J36:L36"/>
    <mergeCell ref="E37:E38"/>
    <mergeCell ref="G37:I37"/>
    <mergeCell ref="J37:L37"/>
    <mergeCell ref="G38:I38"/>
    <mergeCell ref="J38:L3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s>
  <conditionalFormatting sqref="E4">
    <cfRule type="containsText" dxfId="418" priority="337" operator="containsText" text="Stop">
      <formula>NOT(ISERROR(SEARCH("Stop",E4)))</formula>
    </cfRule>
    <cfRule type="containsText" dxfId="417" priority="338" operator="containsText" text="Start">
      <formula>NOT(ISERROR(SEARCH("Start",E4)))</formula>
    </cfRule>
    <cfRule type="containsText" dxfId="416" priority="336" operator="containsText" text="Continue">
      <formula>NOT(ISERROR(SEARCH("Continue",E4)))</formula>
    </cfRule>
  </conditionalFormatting>
  <conditionalFormatting sqref="E14">
    <cfRule type="containsText" dxfId="415" priority="456" operator="containsText" text="Continue">
      <formula>NOT(ISERROR(SEARCH("Continue",E14)))</formula>
    </cfRule>
    <cfRule type="containsText" dxfId="414" priority="457" operator="containsText" text="Stop">
      <formula>NOT(ISERROR(SEARCH("Stop",E14)))</formula>
    </cfRule>
    <cfRule type="containsText" dxfId="413" priority="458" operator="containsText" text="Start">
      <formula>NOT(ISERROR(SEARCH("Start",E14)))</formula>
    </cfRule>
  </conditionalFormatting>
  <conditionalFormatting sqref="E28 E154 G154 E156 G156">
    <cfRule type="containsText" dxfId="412" priority="391" operator="containsText" text="N/A">
      <formula>NOT(ISERROR(SEARCH("N/A",E28)))</formula>
    </cfRule>
    <cfRule type="containsText" dxfId="411" priority="388" operator="containsText" text="Continue">
      <formula>NOT(ISERROR(SEARCH("Continue",E28)))</formula>
    </cfRule>
    <cfRule type="containsText" dxfId="410" priority="393" operator="containsText" text="Meets">
      <formula>NOT(ISERROR(SEARCH("Meets",E28)))</formula>
    </cfRule>
    <cfRule type="containsText" dxfId="409" priority="392" operator="containsText" text="Exceeds">
      <formula>NOT(ISERROR(SEARCH("Exceeds",E28)))</formula>
    </cfRule>
    <cfRule type="containsText" dxfId="408" priority="390" operator="containsText" text="Start">
      <formula>NOT(ISERROR(SEARCH("Start",E28)))</formula>
    </cfRule>
    <cfRule type="containsText" dxfId="407" priority="389" operator="containsText" text="Stop">
      <formula>NOT(ISERROR(SEARCH("Stop",E28)))</formula>
    </cfRule>
    <cfRule type="containsText" dxfId="406" priority="394" operator="containsText" text="Under">
      <formula>NOT(ISERROR(SEARCH("Under",E28)))</formula>
    </cfRule>
  </conditionalFormatting>
  <conditionalFormatting sqref="E34">
    <cfRule type="containsText" dxfId="405" priority="368" operator="containsText" text="Stop">
      <formula>NOT(ISERROR(SEARCH("Stop",E34)))</formula>
    </cfRule>
    <cfRule type="containsText" dxfId="404" priority="373" operator="containsText" text="Under">
      <formula>NOT(ISERROR(SEARCH("Under",E34)))</formula>
    </cfRule>
    <cfRule type="containsText" dxfId="403" priority="372" operator="containsText" text="Meets">
      <formula>NOT(ISERROR(SEARCH("Meets",E34)))</formula>
    </cfRule>
    <cfRule type="containsText" dxfId="402" priority="371" operator="containsText" text="Exceeds">
      <formula>NOT(ISERROR(SEARCH("Exceeds",E34)))</formula>
    </cfRule>
    <cfRule type="containsText" dxfId="401" priority="370" operator="containsText" text="N/A">
      <formula>NOT(ISERROR(SEARCH("N/A",E34)))</formula>
    </cfRule>
    <cfRule type="containsText" dxfId="400" priority="369" operator="containsText" text="Start">
      <formula>NOT(ISERROR(SEARCH("Start",E34)))</formula>
    </cfRule>
    <cfRule type="containsText" dxfId="399" priority="367" operator="containsText" text="Continue">
      <formula>NOT(ISERROR(SEARCH("Continue",E34)))</formula>
    </cfRule>
  </conditionalFormatting>
  <conditionalFormatting sqref="E40">
    <cfRule type="containsText" dxfId="398" priority="364" operator="containsText" text="Exceeds">
      <formula>NOT(ISERROR(SEARCH("Exceeds",E40)))</formula>
    </cfRule>
    <cfRule type="containsText" dxfId="397" priority="365" operator="containsText" text="Meets">
      <formula>NOT(ISERROR(SEARCH("Meets",E40)))</formula>
    </cfRule>
    <cfRule type="containsText" dxfId="396" priority="366" operator="containsText" text="Under">
      <formula>NOT(ISERROR(SEARCH("Under",E40)))</formula>
    </cfRule>
    <cfRule type="containsText" dxfId="395" priority="360" operator="containsText" text="Continue">
      <formula>NOT(ISERROR(SEARCH("Continue",E40)))</formula>
    </cfRule>
    <cfRule type="containsText" dxfId="394" priority="362" operator="containsText" text="Start">
      <formula>NOT(ISERROR(SEARCH("Start",E40)))</formula>
    </cfRule>
    <cfRule type="containsText" dxfId="393" priority="363" operator="containsText" text="N/A">
      <formula>NOT(ISERROR(SEARCH("N/A",E40)))</formula>
    </cfRule>
    <cfRule type="containsText" dxfId="392" priority="361" operator="containsText" text="Stop">
      <formula>NOT(ISERROR(SEARCH("Stop",E40)))</formula>
    </cfRule>
  </conditionalFormatting>
  <conditionalFormatting sqref="E46">
    <cfRule type="containsText" dxfId="391" priority="359" operator="containsText" text="Under">
      <formula>NOT(ISERROR(SEARCH("Under",E46)))</formula>
    </cfRule>
    <cfRule type="containsText" dxfId="390" priority="358" operator="containsText" text="Meets">
      <formula>NOT(ISERROR(SEARCH("Meets",E46)))</formula>
    </cfRule>
    <cfRule type="containsText" dxfId="389" priority="357" operator="containsText" text="Exceeds">
      <formula>NOT(ISERROR(SEARCH("Exceeds",E46)))</formula>
    </cfRule>
    <cfRule type="containsText" dxfId="388" priority="356" operator="containsText" text="N/A">
      <formula>NOT(ISERROR(SEARCH("N/A",E46)))</formula>
    </cfRule>
    <cfRule type="containsText" dxfId="387" priority="355" operator="containsText" text="Start">
      <formula>NOT(ISERROR(SEARCH("Start",E46)))</formula>
    </cfRule>
    <cfRule type="containsText" dxfId="386" priority="354" operator="containsText" text="Stop">
      <formula>NOT(ISERROR(SEARCH("Stop",E46)))</formula>
    </cfRule>
    <cfRule type="containsText" dxfId="385" priority="353" operator="containsText" text="Continue">
      <formula>NOT(ISERROR(SEARCH("Continue",E46)))</formula>
    </cfRule>
  </conditionalFormatting>
  <conditionalFormatting sqref="E52">
    <cfRule type="containsText" dxfId="384" priority="349" operator="containsText" text="N/A">
      <formula>NOT(ISERROR(SEARCH("N/A",E52)))</formula>
    </cfRule>
    <cfRule type="containsText" dxfId="383" priority="348" operator="containsText" text="Start">
      <formula>NOT(ISERROR(SEARCH("Start",E52)))</formula>
    </cfRule>
    <cfRule type="containsText" dxfId="382" priority="347" operator="containsText" text="Stop">
      <formula>NOT(ISERROR(SEARCH("Stop",E52)))</formula>
    </cfRule>
    <cfRule type="containsText" dxfId="381" priority="352" operator="containsText" text="Under">
      <formula>NOT(ISERROR(SEARCH("Under",E52)))</formula>
    </cfRule>
    <cfRule type="containsText" dxfId="380" priority="351" operator="containsText" text="Meets">
      <formula>NOT(ISERROR(SEARCH("Meets",E52)))</formula>
    </cfRule>
    <cfRule type="containsText" dxfId="379" priority="346" operator="containsText" text="Continue">
      <formula>NOT(ISERROR(SEARCH("Continue",E52)))</formula>
    </cfRule>
    <cfRule type="containsText" dxfId="378" priority="350" operator="containsText" text="Exceeds">
      <formula>NOT(ISERROR(SEARCH("Exceeds",E52)))</formula>
    </cfRule>
  </conditionalFormatting>
  <conditionalFormatting sqref="E58">
    <cfRule type="containsText" dxfId="377" priority="341" operator="containsText" text="Start">
      <formula>NOT(ISERROR(SEARCH("Start",E58)))</formula>
    </cfRule>
    <cfRule type="containsText" dxfId="376" priority="342" operator="containsText" text="N/A">
      <formula>NOT(ISERROR(SEARCH("N/A",E58)))</formula>
    </cfRule>
    <cfRule type="containsText" dxfId="375" priority="344" operator="containsText" text="Meets">
      <formula>NOT(ISERROR(SEARCH("Meets",E58)))</formula>
    </cfRule>
    <cfRule type="containsText" dxfId="374" priority="343" operator="containsText" text="Exceeds">
      <formula>NOT(ISERROR(SEARCH("Exceeds",E58)))</formula>
    </cfRule>
    <cfRule type="containsText" dxfId="373" priority="345" operator="containsText" text="Under">
      <formula>NOT(ISERROR(SEARCH("Under",E58)))</formula>
    </cfRule>
    <cfRule type="containsText" dxfId="372" priority="339" operator="containsText" text="Continue">
      <formula>NOT(ISERROR(SEARCH("Continue",E58)))</formula>
    </cfRule>
    <cfRule type="containsText" dxfId="371" priority="340" operator="containsText" text="Stop">
      <formula>NOT(ISERROR(SEARCH("Stop",E58)))</formula>
    </cfRule>
  </conditionalFormatting>
  <conditionalFormatting sqref="E64">
    <cfRule type="containsText" dxfId="370" priority="242" operator="containsText" text="Stop">
      <formula>NOT(ISERROR(SEARCH("Stop",E64)))</formula>
    </cfRule>
    <cfRule type="containsText" dxfId="369" priority="243" operator="containsText" text="Start">
      <formula>NOT(ISERROR(SEARCH("Start",E64)))</formula>
    </cfRule>
    <cfRule type="containsText" dxfId="368" priority="245" operator="containsText" text="Exceeds">
      <formula>NOT(ISERROR(SEARCH("Exceeds",E64)))</formula>
    </cfRule>
    <cfRule type="containsText" dxfId="367" priority="246" operator="containsText" text="Meets">
      <formula>NOT(ISERROR(SEARCH("Meets",E64)))</formula>
    </cfRule>
    <cfRule type="containsText" dxfId="366" priority="247" operator="containsText" text="Under">
      <formula>NOT(ISERROR(SEARCH("Under",E64)))</formula>
    </cfRule>
    <cfRule type="containsText" dxfId="365" priority="244" operator="containsText" text="N/A">
      <formula>NOT(ISERROR(SEARCH("N/A",E64)))</formula>
    </cfRule>
    <cfRule type="containsText" dxfId="364" priority="241" operator="containsText" text="Continue">
      <formula>NOT(ISERROR(SEARCH("Continue",E64)))</formula>
    </cfRule>
  </conditionalFormatting>
  <conditionalFormatting sqref="E159 E164">
    <cfRule type="containsText" dxfId="363" priority="431" operator="containsText" text="Exceeds">
      <formula>NOT(ISERROR(SEARCH("Exceeds",E159)))</formula>
    </cfRule>
    <cfRule type="containsText" dxfId="362" priority="430" operator="containsText" text="N/A">
      <formula>NOT(ISERROR(SEARCH("N/A",E159)))</formula>
    </cfRule>
    <cfRule type="containsText" dxfId="361" priority="429" operator="containsText" text="Start">
      <formula>NOT(ISERROR(SEARCH("Start",E159)))</formula>
    </cfRule>
    <cfRule type="containsText" dxfId="360" priority="428" operator="containsText" text="Stop">
      <formula>NOT(ISERROR(SEARCH("Stop",E159)))</formula>
    </cfRule>
    <cfRule type="containsText" dxfId="359" priority="427" operator="containsText" text="Continue">
      <formula>NOT(ISERROR(SEARCH("Continue",E159)))</formula>
    </cfRule>
    <cfRule type="containsText" dxfId="358" priority="432" operator="containsText" text="Meets">
      <formula>NOT(ISERROR(SEARCH("Meets",E159)))</formula>
    </cfRule>
    <cfRule type="containsText" dxfId="357" priority="433" operator="containsText" text="Under">
      <formula>NOT(ISERROR(SEARCH("Under",E159)))</formula>
    </cfRule>
  </conditionalFormatting>
  <conditionalFormatting sqref="E161 E166">
    <cfRule type="containsText" dxfId="356" priority="426" operator="containsText" text="Under">
      <formula>NOT(ISERROR(SEARCH("Under",E161)))</formula>
    </cfRule>
    <cfRule type="containsText" dxfId="355" priority="425" operator="containsText" text="Meets">
      <formula>NOT(ISERROR(SEARCH("Meets",E161)))</formula>
    </cfRule>
    <cfRule type="containsText" dxfId="354" priority="424" operator="containsText" text="Exceeds">
      <formula>NOT(ISERROR(SEARCH("Exceeds",E161)))</formula>
    </cfRule>
    <cfRule type="containsText" dxfId="353" priority="423" operator="containsText" text="N/A">
      <formula>NOT(ISERROR(SEARCH("N/A",E161)))</formula>
    </cfRule>
    <cfRule type="containsText" dxfId="352" priority="422" operator="containsText" text="Start">
      <formula>NOT(ISERROR(SEARCH("Start",E161)))</formula>
    </cfRule>
    <cfRule type="containsText" dxfId="351" priority="421" operator="containsText" text="Stop">
      <formula>NOT(ISERROR(SEARCH("Stop",E161)))</formula>
    </cfRule>
    <cfRule type="containsText" dxfId="350" priority="420" operator="containsText" text="Continue">
      <formula>NOT(ISERROR(SEARCH("Continue",E161)))</formula>
    </cfRule>
  </conditionalFormatting>
  <conditionalFormatting sqref="E169">
    <cfRule type="containsText" dxfId="349" priority="443" operator="containsText" text="Start">
      <formula>NOT(ISERROR(SEARCH("Start",E169)))</formula>
    </cfRule>
    <cfRule type="containsText" dxfId="348" priority="442" operator="containsText" text="Stop">
      <formula>NOT(ISERROR(SEARCH("Stop",E169)))</formula>
    </cfRule>
    <cfRule type="containsText" dxfId="347" priority="441" operator="containsText" text="Continue">
      <formula>NOT(ISERROR(SEARCH("Continue",E169)))</formula>
    </cfRule>
    <cfRule type="containsText" dxfId="346" priority="447" operator="containsText" text="Under">
      <formula>NOT(ISERROR(SEARCH("Under",E169)))</formula>
    </cfRule>
    <cfRule type="containsText" dxfId="345" priority="446" operator="containsText" text="Meets">
      <formula>NOT(ISERROR(SEARCH("Meets",E169)))</formula>
    </cfRule>
    <cfRule type="containsText" dxfId="344" priority="445" operator="containsText" text="Exceeds">
      <formula>NOT(ISERROR(SEARCH("Exceeds",E169)))</formula>
    </cfRule>
    <cfRule type="containsText" dxfId="343" priority="444" operator="containsText" text="N/A">
      <formula>NOT(ISERROR(SEARCH("N/A",E169)))</formula>
    </cfRule>
  </conditionalFormatting>
  <conditionalFormatting sqref="E171">
    <cfRule type="containsText" dxfId="342" priority="398" operator="containsText" text="N/A">
      <formula>NOT(ISERROR(SEARCH("N/A",E171)))</formula>
    </cfRule>
    <cfRule type="containsText" dxfId="341" priority="399" operator="containsText" text="Exceeds">
      <formula>NOT(ISERROR(SEARCH("Exceeds",E171)))</formula>
    </cfRule>
    <cfRule type="containsText" dxfId="340" priority="400" operator="containsText" text="Meets">
      <formula>NOT(ISERROR(SEARCH("Meets",E171)))</formula>
    </cfRule>
    <cfRule type="containsText" dxfId="339" priority="401" operator="containsText" text="Under">
      <formula>NOT(ISERROR(SEARCH("Under",E171)))</formula>
    </cfRule>
    <cfRule type="containsText" dxfId="338" priority="395" operator="containsText" text="Continue">
      <formula>NOT(ISERROR(SEARCH("Continue",E171)))</formula>
    </cfRule>
    <cfRule type="containsText" dxfId="337" priority="396" operator="containsText" text="Stop">
      <formula>NOT(ISERROR(SEARCH("Stop",E171)))</formula>
    </cfRule>
    <cfRule type="containsText" dxfId="336" priority="397" operator="containsText" text="Start">
      <formula>NOT(ISERROR(SEARCH("Start",E171)))</formula>
    </cfRule>
  </conditionalFormatting>
  <conditionalFormatting sqref="E12:L13">
    <cfRule type="containsText" dxfId="335" priority="333" operator="containsText" text="Continue">
      <formula>NOT(ISERROR(SEARCH("Continue",E12)))</formula>
    </cfRule>
    <cfRule type="containsText" dxfId="334" priority="334" operator="containsText" text="Stop">
      <formula>NOT(ISERROR(SEARCH("Stop",E12)))</formula>
    </cfRule>
    <cfRule type="containsText" dxfId="333"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{997D9AF0-12B9-4F82-BD2D-00F794EE08B8}</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{59BC0613-C871-4586-8B33-7984765B64D6}</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{F85F50FE-1FE2-49DB-8D75-5B8DD495EE8F}</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{6C739330-FC92-4E64-8E50-E236A333C2D0}</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{0BF282A2-1818-4740-BC34-8CEF442892C0}</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{2C440A83-1153-418A-A713-ABB57D02A51D}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{9229A4A5-9305-43F4-BE50-53AD234DAACD}</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{B5FA22F9-9336-45E6-9368-005F168D28C7}</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{BD86735F-9A7B-48BF-B8D3-F56B6845992A}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{24BBD457-5223-449C-994F-4EBC345A530B}</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{2BEB45A8-0D69-40FE-A1B8-6D50B8FF0A4B}</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{0B46FE38-8FD1-450A-98C5-27BF0450E66F}</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{B8B64FEB-FBDE-4806-B9ED-D93D19963667}</x14:id>
        </ext>
      </extLst>
    </cfRule>
  </conditionalFormatting>
  <conditionalFormatting sqref="F157">
    <cfRule type="containsText" dxfId="332" priority="404" operator="containsText" text="Stop">
      <formula>NOT(ISERROR(SEARCH("Stop",F157)))</formula>
    </cfRule>
    <cfRule type="containsText" dxfId="331"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{0221B595-C5DD-4EB2-8AF8-FC1C820D4573}</x14:id>
        </ext>
      </extLst>
    </cfRule>
    <cfRule type="containsText" dxfId="330" priority="409" operator="containsText" text="Under">
      <formula>NOT(ISERROR(SEARCH("Under",F157)))</formula>
    </cfRule>
    <cfRule type="containsText" dxfId="329" priority="408" operator="containsText" text="Meets">
      <formula>NOT(ISERROR(SEARCH("Meets",F157)))</formula>
    </cfRule>
    <cfRule type="containsText" dxfId="328" priority="407" operator="containsText" text="Exceeds">
      <formula>NOT(ISERROR(SEARCH("Exceeds",F157)))</formula>
    </cfRule>
    <cfRule type="containsText" dxfId="327"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{6E5CC148-4395-48B0-A182-F9DAE84237A6}</x14:id>
        </ext>
      </extLst>
    </cfRule>
    <cfRule type="containsText" dxfId="326" priority="405" operator="containsText" text="Start">
      <formula>NOT(ISERROR(SEARCH("Start",F157)))</formula>
    </cfRule>
  </conditionalFormatting>
  <conditionalFormatting sqref="F162">
    <cfRule type="containsText" dxfId="325" priority="320" operator="containsText" text="Exceeds">
      <formula>NOT(ISERROR(SEARCH("Exceeds",F162)))</formula>
    </cfRule>
    <cfRule type="containsText" dxfId="324" priority="321" operator="containsText" text="Meets">
      <formula>NOT(ISERROR(SEARCH("Meets",F162)))</formula>
    </cfRule>
    <cfRule type="containsText" dxfId="323"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{ADC5402E-F617-464F-9AB0-68FF9603DE69}</x14:id>
        </ext>
      </extLst>
    </cfRule>
    <cfRule type="containsText" dxfId="322" priority="318" operator="containsText" text="Start">
      <formula>NOT(ISERROR(SEARCH("Start",F162)))</formula>
    </cfRule>
    <cfRule type="containsText" dxfId="321"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{9E919163-602C-489F-BAC0-53B689AF3A63}</x14:id>
        </ext>
      </extLst>
    </cfRule>
    <cfRule type="containsText" dxfId="320" priority="319" operator="containsText" text="N/A">
      <formula>NOT(ISERROR(SEARCH("N/A",F162)))</formula>
    </cfRule>
    <cfRule type="containsText" dxfId="319"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{90B5F49C-D0EB-41A2-A28A-9C7928486248}</x14:id>
        </ext>
      </extLst>
    </cfRule>
    <cfRule type="containsText" dxfId="318" priority="299" operator="containsText" text="Under">
      <formula>NOT(ISERROR(SEARCH("Under",F167)))</formula>
    </cfRule>
    <cfRule type="containsText" dxfId="317" priority="298" operator="containsText" text="Meets">
      <formula>NOT(ISERROR(SEARCH("Meets",F167)))</formula>
    </cfRule>
    <cfRule type="containsText" dxfId="316"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{A4E9B4CB-E646-4AA3-B931-284DF8E6017A}</x14:id>
        </ext>
      </extLst>
    </cfRule>
    <cfRule type="containsText" dxfId="315" priority="293" operator="containsText" text="Continue">
      <formula>NOT(ISERROR(SEARCH("Continue",F167)))</formula>
    </cfRule>
    <cfRule type="containsText" dxfId="314" priority="295" operator="containsText" text="Start">
      <formula>NOT(ISERROR(SEARCH("Start",F167)))</formula>
    </cfRule>
    <cfRule type="containsText" dxfId="313" priority="297" operator="containsText" text="Exceeds">
      <formula>NOT(ISERROR(SEARCH("Exceeds",F167)))</formula>
    </cfRule>
    <cfRule type="containsText" dxfId="312"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{5D4C0D77-DA54-4DDC-98F6-BD324E0F42A3}</x14:id>
        </ext>
      </extLst>
    </cfRule>
    <cfRule type="containsText" dxfId="311" priority="269" operator="containsText" text="Under">
      <formula>NOT(ISERROR(SEARCH("Under",F172)))</formula>
    </cfRule>
    <cfRule type="containsText" dxfId="310" priority="268" operator="containsText" text="Meets">
      <formula>NOT(ISERROR(SEARCH("Meets",F172)))</formula>
    </cfRule>
    <cfRule type="containsText" dxfId="309" priority="267" operator="containsText" text="Exceeds">
      <formula>NOT(ISERROR(SEARCH("Exceeds",F172)))</formula>
    </cfRule>
    <cfRule type="containsText" dxfId="308"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{7DFAD948-3478-468B-A423-C396FD2B08A2}</x14:id>
        </ext>
      </extLst>
    </cfRule>
    <cfRule type="containsText" dxfId="307" priority="265" operator="containsText" text="Start">
      <formula>NOT(ISERROR(SEARCH("Start",F172)))</formula>
    </cfRule>
    <cfRule type="containsText" dxfId="306" priority="264" operator="containsText" text="Stop">
      <formula>NOT(ISERROR(SEARCH("Stop",F172)))</formula>
    </cfRule>
    <cfRule type="containsText" dxfId="305"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{D8C216B6-CBE2-4AA4-8D70-60A067821731}</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{B6292B20-8F02-42CE-A205-0756B3CE6785}</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{98AC5730-80B0-416C-B6F6-C48853952D94}</x14:id>
        </ext>
      </extLst>
    </cfRule>
    <cfRule type="containsText" dxfId="304" priority="412" operator="containsText" text="Continue">
      <formula>NOT(ISERROR(SEARCH("Continue",F155)))</formula>
    </cfRule>
    <cfRule type="containsText" dxfId="303" priority="413" operator="containsText" text="Stop">
      <formula>NOT(ISERROR(SEARCH("Stop",F155)))</formula>
    </cfRule>
    <cfRule type="containsText" dxfId="302" priority="414" operator="containsText" text="Start">
      <formula>NOT(ISERROR(SEARCH("Start",F155)))</formula>
    </cfRule>
    <cfRule type="containsText" dxfId="301" priority="415" operator="containsText" text="N/A">
      <formula>NOT(ISERROR(SEARCH("N/A",F155)))</formula>
    </cfRule>
    <cfRule type="containsText" dxfId="300" priority="416" operator="containsText" text="Exceeds">
      <formula>NOT(ISERROR(SEARCH("Exceeds",F155)))</formula>
    </cfRule>
    <cfRule type="containsText" dxfId="299" priority="417" operator="containsText" text="Meets">
      <formula>NOT(ISERROR(SEARCH("Meets",F155)))</formula>
    </cfRule>
    <cfRule type="containsText" dxfId="298"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{4CBB9609-5D32-45D8-A6AA-C39BCDB92F3D}</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{082B95FB-A5CF-4D3C-9709-ED1D147FC859}</x14:id>
        </ext>
      </extLst>
    </cfRule>
    <cfRule type="containsText" dxfId="297" priority="331" operator="containsText" text="Under">
      <formula>NOT(ISERROR(SEARCH("Under",F160)))</formula>
    </cfRule>
    <cfRule type="containsText" dxfId="296" priority="330" operator="containsText" text="Meets">
      <formula>NOT(ISERROR(SEARCH("Meets",F160)))</formula>
    </cfRule>
    <cfRule type="containsText" dxfId="295" priority="329" operator="containsText" text="Exceeds">
      <formula>NOT(ISERROR(SEARCH("Exceeds",F160)))</formula>
    </cfRule>
    <cfRule type="containsText" dxfId="294" priority="328" operator="containsText" text="N/A">
      <formula>NOT(ISERROR(SEARCH("N/A",F160)))</formula>
    </cfRule>
    <cfRule type="containsText" dxfId="293" priority="327" operator="containsText" text="Start">
      <formula>NOT(ISERROR(SEARCH("Start",F160)))</formula>
    </cfRule>
    <cfRule type="containsText" dxfId="292" priority="326" operator="containsText" text="Stop">
      <formula>NOT(ISERROR(SEARCH("Stop",F160)))</formula>
    </cfRule>
    <cfRule type="containsText" dxfId="291"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{20E36500-ADCF-4658-AAB8-5D450FA75875}</x14:id>
        </ext>
      </extLst>
    </cfRule>
  </conditionalFormatting>
  <conditionalFormatting sqref="F165:G165">
    <cfRule type="containsText" dxfId="290" priority="238" operator="containsText" text="Meets">
      <formula>NOT(ISERROR(SEARCH("Meets",F165)))</formula>
    </cfRule>
    <cfRule type="containsText" dxfId="289" priority="235" operator="containsText" text="Start">
      <formula>NOT(ISERROR(SEARCH("Start",F165)))</formula>
    </cfRule>
    <cfRule type="containsText" dxfId="288"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{7BB383DF-02AC-4F58-9BC0-16C62E14C12C}</x14:id>
        </ext>
      </extLst>
    </cfRule>
    <cfRule type="containsText" dxfId="287" priority="233" operator="containsText" text="Continue">
      <formula>NOT(ISERROR(SEARCH("Continue",F165)))</formula>
    </cfRule>
    <cfRule type="containsText" dxfId="286" priority="236" operator="containsText" text="N/A">
      <formula>NOT(ISERROR(SEARCH("N/A",F165)))</formula>
    </cfRule>
    <cfRule type="containsText" dxfId="285" priority="234" operator="containsText" text="Stop">
      <formula>NOT(ISERROR(SEARCH("Stop",F165)))</formula>
    </cfRule>
    <cfRule type="containsText" dxfId="284"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{DBA7FFC6-8E10-4445-9CB6-D70B5A189F74}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{49B2D78B-6B9D-42C1-A8C0-ACD129CD48F7}</x14:id>
        </ext>
      </extLst>
    </cfRule>
    <cfRule type="containsText" dxfId="283" priority="225" operator="containsText" text="Stop">
      <formula>NOT(ISERROR(SEARCH("Stop",F170)))</formula>
    </cfRule>
    <cfRule type="containsText" dxfId="282" priority="224" operator="containsText" text="Continue">
      <formula>NOT(ISERROR(SEARCH("Continue",F170)))</formula>
    </cfRule>
    <cfRule type="containsText" dxfId="281" priority="226" operator="containsText" text="Start">
      <formula>NOT(ISERROR(SEARCH("Start",F170)))</formula>
    </cfRule>
    <cfRule type="containsText" dxfId="280" priority="227" operator="containsText" text="N/A">
      <formula>NOT(ISERROR(SEARCH("N/A",F170)))</formula>
    </cfRule>
    <cfRule type="containsText" dxfId="279" priority="228" operator="containsText" text="Exceeds">
      <formula>NOT(ISERROR(SEARCH("Exceeds",F170)))</formula>
    </cfRule>
    <cfRule type="containsText" dxfId="278"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{944BD012-C210-4CF8-9173-87254548A98C}</x14:id>
        </ext>
      </extLst>
    </cfRule>
    <cfRule type="containsText" dxfId="277"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{F4D634C3-4550-42C5-AA60-6E50C5C34944}</x14:id>
        </ext>
      </extLst>
    </cfRule>
    <cfRule type="containsText" dxfId="276" priority="218" operator="containsText" text="N/A">
      <formula>NOT(ISERROR(SEARCH("N/A",F178)))</formula>
    </cfRule>
    <cfRule type="containsText" dxfId="275"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{C002D7A0-C4F4-4E13-AD60-3A55C315C53A}</x14:id>
        </ext>
      </extLst>
    </cfRule>
    <cfRule type="containsText" dxfId="274" priority="215" operator="containsText" text="Continue">
      <formula>NOT(ISERROR(SEARCH("Continue",F178)))</formula>
    </cfRule>
    <cfRule type="containsText" dxfId="273" priority="216" operator="containsText" text="Stop">
      <formula>NOT(ISERROR(SEARCH("Stop",F178)))</formula>
    </cfRule>
    <cfRule type="containsText" dxfId="272" priority="217" operator="containsText" text="Start">
      <formula>NOT(ISERROR(SEARCH("Start",F178)))</formula>
    </cfRule>
    <cfRule type="containsText" dxfId="271" priority="219" operator="containsText" text="Exceeds">
      <formula>NOT(ISERROR(SEARCH("Exceeds",F178)))</formula>
    </cfRule>
    <cfRule type="containsText" dxfId="270" priority="220" operator="containsText" text="Meets">
      <formula>NOT(ISERROR(SEARCH("Meets",F178)))</formula>
    </cfRule>
  </conditionalFormatting>
  <conditionalFormatting sqref="G29">
    <cfRule type="containsText" dxfId="269" priority="385" operator="containsText" text="Exceeds">
      <formula>NOT(ISERROR(SEARCH("Exceeds",G29)))</formula>
    </cfRule>
    <cfRule type="containsText" dxfId="268" priority="387" operator="containsText" text="Under">
      <formula>NOT(ISERROR(SEARCH("Under",G29)))</formula>
    </cfRule>
    <cfRule type="containsText" dxfId="267" priority="383" operator="containsText" text="Start">
      <formula>NOT(ISERROR(SEARCH("Start",G29)))</formula>
    </cfRule>
    <cfRule type="containsText" dxfId="266" priority="382" operator="containsText" text="Stop">
      <formula>NOT(ISERROR(SEARCH("Stop",G29)))</formula>
    </cfRule>
    <cfRule type="containsText" dxfId="265" priority="381" operator="containsText" text="Continue">
      <formula>NOT(ISERROR(SEARCH("Continue",G29)))</formula>
    </cfRule>
    <cfRule type="containsText" dxfId="264" priority="386" operator="containsText" text="Meets">
      <formula>NOT(ISERROR(SEARCH("Meets",G29)))</formula>
    </cfRule>
    <cfRule type="containsText" dxfId="263" priority="384" operator="containsText" text="N/A">
      <formula>NOT(ISERROR(SEARCH("N/A",G29)))</formula>
    </cfRule>
  </conditionalFormatting>
  <conditionalFormatting sqref="G31">
    <cfRule type="containsText" dxfId="262" priority="34" operator="containsText" text="Meets">
      <formula>NOT(ISERROR(SEARCH("Meets",G31)))</formula>
    </cfRule>
    <cfRule type="containsText" dxfId="261" priority="33" operator="containsText" text="Exceeds">
      <formula>NOT(ISERROR(SEARCH("Exceeds",G31)))</formula>
    </cfRule>
    <cfRule type="containsText" dxfId="260" priority="31" operator="containsText" text="Start">
      <formula>NOT(ISERROR(SEARCH("Start",G31)))</formula>
    </cfRule>
    <cfRule type="containsText" dxfId="259" priority="30" operator="containsText" text="Stop">
      <formula>NOT(ISERROR(SEARCH("Stop",G31)))</formula>
    </cfRule>
    <cfRule type="containsText" dxfId="258" priority="29" operator="containsText" text="Continue">
      <formula>NOT(ISERROR(SEARCH("Continue",G31)))</formula>
    </cfRule>
    <cfRule type="containsText" dxfId="257" priority="35" operator="containsText" text="Under">
      <formula>NOT(ISERROR(SEARCH("Under",G31)))</formula>
    </cfRule>
    <cfRule type="containsText" dxfId="256" priority="32" operator="containsText" text="N/A">
      <formula>NOT(ISERROR(SEARCH("N/A",G31)))</formula>
    </cfRule>
  </conditionalFormatting>
  <conditionalFormatting sqref="G35">
    <cfRule type="containsText" dxfId="255" priority="97" operator="containsText" text="Exceeds">
      <formula>NOT(ISERROR(SEARCH("Exceeds",G35)))</formula>
    </cfRule>
    <cfRule type="containsText" dxfId="254" priority="98" operator="containsText" text="Meets">
      <formula>NOT(ISERROR(SEARCH("Meets",G35)))</formula>
    </cfRule>
    <cfRule type="containsText" dxfId="253" priority="99" operator="containsText" text="Under">
      <formula>NOT(ISERROR(SEARCH("Under",G35)))</formula>
    </cfRule>
    <cfRule type="containsText" dxfId="252" priority="94" operator="containsText" text="Stop">
      <formula>NOT(ISERROR(SEARCH("Stop",G35)))</formula>
    </cfRule>
    <cfRule type="containsText" dxfId="251" priority="93" operator="containsText" text="Continue">
      <formula>NOT(ISERROR(SEARCH("Continue",G35)))</formula>
    </cfRule>
    <cfRule type="containsText" dxfId="250" priority="96" operator="containsText" text="N/A">
      <formula>NOT(ISERROR(SEARCH("N/A",G35)))</formula>
    </cfRule>
    <cfRule type="containsText" dxfId="249"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{DEA1465A-0919-47A4-93F4-3AEB74BCA9BD}</x14:id>
        </ext>
      </extLst>
    </cfRule>
  </conditionalFormatting>
  <conditionalFormatting sqref="G37">
    <cfRule type="containsText" dxfId="248" priority="25" operator="containsText" text="N/A">
      <formula>NOT(ISERROR(SEARCH("N/A",G37)))</formula>
    </cfRule>
    <cfRule type="containsText" dxfId="247" priority="26" operator="containsText" text="Exceeds">
      <formula>NOT(ISERROR(SEARCH("Exceeds",G37)))</formula>
    </cfRule>
    <cfRule type="containsText" dxfId="246" priority="27" operator="containsText" text="Meets">
      <formula>NOT(ISERROR(SEARCH("Meets",G37)))</formula>
    </cfRule>
    <cfRule type="containsText" dxfId="245" priority="28" operator="containsText" text="Under">
      <formula>NOT(ISERROR(SEARCH("Under",G37)))</formula>
    </cfRule>
    <cfRule type="containsText" dxfId="244" priority="22" operator="containsText" text="Continue">
      <formula>NOT(ISERROR(SEARCH("Continue",G37)))</formula>
    </cfRule>
    <cfRule type="containsText" dxfId="243" priority="23" operator="containsText" text="Stop">
      <formula>NOT(ISERROR(SEARCH("Stop",G37)))</formula>
    </cfRule>
    <cfRule type="containsText" dxfId="242" priority="24" operator="containsText" text="Start">
      <formula>NOT(ISERROR(SEARCH("Start",G37)))</formula>
    </cfRule>
  </conditionalFormatting>
  <conditionalFormatting sqref="G41">
    <cfRule type="containsText" dxfId="241" priority="85" operator="containsText" text="Continue">
      <formula>NOT(ISERROR(SEARCH("Continue",G41)))</formula>
    </cfRule>
    <cfRule type="containsText" dxfId="240" priority="86" operator="containsText" text="Stop">
      <formula>NOT(ISERROR(SEARCH("Stop",G41)))</formula>
    </cfRule>
    <cfRule type="containsText" dxfId="239" priority="87" operator="containsText" text="Start">
      <formula>NOT(ISERROR(SEARCH("Start",G41)))</formula>
    </cfRule>
    <cfRule type="containsText" dxfId="238" priority="88" operator="containsText" text="N/A">
      <formula>NOT(ISERROR(SEARCH("N/A",G41)))</formula>
    </cfRule>
    <cfRule type="containsText" dxfId="237" priority="89" operator="containsText" text="Exceeds">
      <formula>NOT(ISERROR(SEARCH("Exceeds",G41)))</formula>
    </cfRule>
    <cfRule type="containsText" dxfId="236" priority="90" operator="containsText" text="Meets">
      <formula>NOT(ISERROR(SEARCH("Meets",G41)))</formula>
    </cfRule>
    <cfRule type="containsText" dxfId="235"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{D5685C30-6CAF-474E-B0C4-C404D32138FC}</x14:id>
        </ext>
      </extLst>
    </cfRule>
  </conditionalFormatting>
  <conditionalFormatting sqref="G43">
    <cfRule type="containsText" dxfId="234" priority="17" operator="containsText" text="Start">
      <formula>NOT(ISERROR(SEARCH("Start",G43)))</formula>
    </cfRule>
    <cfRule type="containsText" dxfId="233" priority="16" operator="containsText" text="Stop">
      <formula>NOT(ISERROR(SEARCH("Stop",G43)))</formula>
    </cfRule>
    <cfRule type="containsText" dxfId="232" priority="20" operator="containsText" text="Meets">
      <formula>NOT(ISERROR(SEARCH("Meets",G43)))</formula>
    </cfRule>
    <cfRule type="containsText" dxfId="231" priority="15" operator="containsText" text="Continue">
      <formula>NOT(ISERROR(SEARCH("Continue",G43)))</formula>
    </cfRule>
    <cfRule type="containsText" dxfId="230" priority="19" operator="containsText" text="Exceeds">
      <formula>NOT(ISERROR(SEARCH("Exceeds",G43)))</formula>
    </cfRule>
    <cfRule type="containsText" dxfId="229" priority="21" operator="containsText" text="Under">
      <formula>NOT(ISERROR(SEARCH("Under",G43)))</formula>
    </cfRule>
    <cfRule type="containsText" dxfId="228" priority="18" operator="containsText" text="N/A">
      <formula>NOT(ISERROR(SEARCH("N/A",G43)))</formula>
    </cfRule>
  </conditionalFormatting>
  <conditionalFormatting sqref="G47">
    <cfRule type="containsText" dxfId="227" priority="78" operator="containsText" text="Stop">
      <formula>NOT(ISERROR(SEARCH("Stop",G47)))</formula>
    </cfRule>
    <cfRule type="containsText" dxfId="226" priority="77" operator="containsText" text="Continue">
      <formula>NOT(ISERROR(SEARCH("Continue",G47)))</formula>
    </cfRule>
    <cfRule type="containsText" dxfId="225" priority="79" operator="containsText" text="Start">
      <formula>NOT(ISERROR(SEARCH("Start",G47)))</formula>
    </cfRule>
    <cfRule type="containsText" dxfId="224" priority="80" operator="containsText" text="N/A">
      <formula>NOT(ISERROR(SEARCH("N/A",G47)))</formula>
    </cfRule>
    <cfRule type="containsText" dxfId="223" priority="81" operator="containsText" text="Exceeds">
      <formula>NOT(ISERROR(SEARCH("Exceeds",G47)))</formula>
    </cfRule>
    <cfRule type="containsText" dxfId="222" priority="82" operator="containsText" text="Meets">
      <formula>NOT(ISERROR(SEARCH("Meets",G47)))</formula>
    </cfRule>
    <cfRule type="containsText" dxfId="221"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{296EFAA1-4454-4B5A-AEE7-2E0714B8E78C}</x14:id>
        </ext>
      </extLst>
    </cfRule>
  </conditionalFormatting>
  <conditionalFormatting sqref="G49">
    <cfRule type="containsText" dxfId="220" priority="14" operator="containsText" text="Under">
      <formula>NOT(ISERROR(SEARCH("Under",G49)))</formula>
    </cfRule>
    <cfRule type="containsText" dxfId="219" priority="13" operator="containsText" text="Meets">
      <formula>NOT(ISERROR(SEARCH("Meets",G49)))</formula>
    </cfRule>
    <cfRule type="containsText" dxfId="218" priority="12" operator="containsText" text="Exceeds">
      <formula>NOT(ISERROR(SEARCH("Exceeds",G49)))</formula>
    </cfRule>
    <cfRule type="containsText" dxfId="217" priority="11" operator="containsText" text="N/A">
      <formula>NOT(ISERROR(SEARCH("N/A",G49)))</formula>
    </cfRule>
    <cfRule type="containsText" dxfId="216" priority="10" operator="containsText" text="Start">
      <formula>NOT(ISERROR(SEARCH("Start",G49)))</formula>
    </cfRule>
    <cfRule type="containsText" dxfId="215" priority="9" operator="containsText" text="Stop">
      <formula>NOT(ISERROR(SEARCH("Stop",G49)))</formula>
    </cfRule>
    <cfRule type="containsText" dxfId="214" priority="8" operator="containsText" text="Continue">
      <formula>NOT(ISERROR(SEARCH("Continue",G49)))</formula>
    </cfRule>
  </conditionalFormatting>
  <conditionalFormatting sqref="G53">
    <cfRule type="containsText" dxfId="213" priority="73" operator="containsText" text="Exceeds">
      <formula>NOT(ISERROR(SEARCH("Exceeds",G53)))</formula>
    </cfRule>
    <cfRule type="containsText" dxfId="212" priority="69" operator="containsText" text="Continue">
      <formula>NOT(ISERROR(SEARCH("Continue",G53)))</formula>
    </cfRule>
    <cfRule type="containsText" dxfId="211" priority="74" operator="containsText" text="Meets">
      <formula>NOT(ISERROR(SEARCH("Meets",G53)))</formula>
    </cfRule>
    <cfRule type="containsText" dxfId="210" priority="71" operator="containsText" text="Start">
      <formula>NOT(ISERROR(SEARCH("Start",G53)))</formula>
    </cfRule>
    <cfRule type="containsText" dxfId="209" priority="72" operator="containsText" text="N/A">
      <formula>NOT(ISERROR(SEARCH("N/A",G53)))</formula>
    </cfRule>
    <cfRule type="containsText" dxfId="208" priority="75" operator="containsText" text="Under">
      <formula>NOT(ISERROR(SEARCH("Under",G53)))</formula>
    </cfRule>
    <cfRule type="containsText" dxfId="207"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{580EBB17-95A2-4207-98F0-2CD8141C8500}</x14:id>
        </ext>
      </extLst>
    </cfRule>
  </conditionalFormatting>
  <conditionalFormatting sqref="G55">
    <cfRule type="containsText" dxfId="206" priority="7" operator="containsText" text="Under">
      <formula>NOT(ISERROR(SEARCH("Under",G55)))</formula>
    </cfRule>
    <cfRule type="containsText" dxfId="205" priority="1" operator="containsText" text="Continue">
      <formula>NOT(ISERROR(SEARCH("Continue",G55)))</formula>
    </cfRule>
    <cfRule type="containsText" dxfId="204" priority="2" operator="containsText" text="Stop">
      <formula>NOT(ISERROR(SEARCH("Stop",G55)))</formula>
    </cfRule>
    <cfRule type="containsText" dxfId="203" priority="3" operator="containsText" text="Start">
      <formula>NOT(ISERROR(SEARCH("Start",G55)))</formula>
    </cfRule>
    <cfRule type="containsText" dxfId="202" priority="4" operator="containsText" text="N/A">
      <formula>NOT(ISERROR(SEARCH("N/A",G55)))</formula>
    </cfRule>
    <cfRule type="containsText" dxfId="201" priority="5" operator="containsText" text="Exceeds">
      <formula>NOT(ISERROR(SEARCH("Exceeds",G55)))</formula>
    </cfRule>
    <cfRule type="containsText" dxfId="200" priority="6" operator="containsText" text="Meets">
      <formula>NOT(ISERROR(SEARCH("Meets",G55)))</formula>
    </cfRule>
  </conditionalFormatting>
  <conditionalFormatting sqref="G59">
    <cfRule type="containsText" dxfId="199" priority="67" operator="containsText" text="Under">
      <formula>NOT(ISERROR(SEARCH("Under",G59)))</formula>
    </cfRule>
    <cfRule type="containsText" dxfId="198" priority="66" operator="containsText" text="Meets">
      <formula>NOT(ISERROR(SEARCH("Meets",G59)))</formula>
    </cfRule>
    <cfRule type="containsText" dxfId="197" priority="65" operator="containsText" text="Exceeds">
      <formula>NOT(ISERROR(SEARCH("Exceeds",G59)))</formula>
    </cfRule>
    <cfRule type="containsText" dxfId="196" priority="61" operator="containsText" text="Continue">
      <formula>NOT(ISERROR(SEARCH("Continue",G59)))</formula>
    </cfRule>
    <cfRule type="containsText" dxfId="195" priority="62" operator="containsText" text="Stop">
      <formula>NOT(ISERROR(SEARCH("Stop",G59)))</formula>
    </cfRule>
    <cfRule type="containsText" dxfId="194" priority="63" operator="containsText" text="Start">
      <formula>NOT(ISERROR(SEARCH("Start",G59)))</formula>
    </cfRule>
    <cfRule type="containsText" dxfId="193"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{B2C5DEFD-3499-468B-8348-3F23609AD677}</x14:id>
        </ext>
      </extLst>
    </cfRule>
  </conditionalFormatting>
  <conditionalFormatting sqref="G61">
    <cfRule type="containsText" dxfId="192" priority="41" operator="containsText" text="Exceeds">
      <formula>NOT(ISERROR(SEARCH("Exceeds",G61)))</formula>
    </cfRule>
    <cfRule type="containsText" dxfId="191" priority="42" operator="containsText" text="Meets">
      <formula>NOT(ISERROR(SEARCH("Meets",G61)))</formula>
    </cfRule>
    <cfRule type="containsText" dxfId="190" priority="43" operator="containsText" text="Under">
      <formula>NOT(ISERROR(SEARCH("Under",G61)))</formula>
    </cfRule>
    <cfRule type="containsText" dxfId="189" priority="40" operator="containsText" text="N/A">
      <formula>NOT(ISERROR(SEARCH("N/A",G61)))</formula>
    </cfRule>
    <cfRule type="containsText" dxfId="188" priority="39" operator="containsText" text="Start">
      <formula>NOT(ISERROR(SEARCH("Start",G61)))</formula>
    </cfRule>
    <cfRule type="containsText" dxfId="187" priority="38" operator="containsText" text="Stop">
      <formula>NOT(ISERROR(SEARCH("Stop",G61)))</formula>
    </cfRule>
    <cfRule type="containsText" dxfId="186"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{90E8E824-5190-40DF-8112-52EE8C0EF05D}</x14:id>
        </ext>
      </extLst>
    </cfRule>
  </conditionalFormatting>
  <conditionalFormatting sqref="G65">
    <cfRule type="containsText" dxfId="185" priority="59" operator="containsText" text="Under">
      <formula>NOT(ISERROR(SEARCH("Under",G65)))</formula>
    </cfRule>
    <cfRule type="containsText" dxfId="184" priority="57" operator="containsText" text="Exceeds">
      <formula>NOT(ISERROR(SEARCH("Exceeds",G65)))</formula>
    </cfRule>
    <cfRule type="containsText" dxfId="183" priority="56" operator="containsText" text="N/A">
      <formula>NOT(ISERROR(SEARCH("N/A",G65)))</formula>
    </cfRule>
    <cfRule type="containsText" dxfId="182" priority="53" operator="containsText" text="Continue">
      <formula>NOT(ISERROR(SEARCH("Continue",G65)))</formula>
    </cfRule>
    <cfRule type="containsText" dxfId="181" priority="54" operator="containsText" text="Stop">
      <formula>NOT(ISERROR(SEARCH("Stop",G65)))</formula>
    </cfRule>
    <cfRule type="containsText" dxfId="180" priority="58" operator="containsText" text="Meets">
      <formula>NOT(ISERROR(SEARCH("Meets",G65)))</formula>
    </cfRule>
    <cfRule type="containsText" dxfId="179"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{73E27F4C-0DAA-43DD-8D3A-5E56F1BAD5AF}</x14:id>
        </ext>
      </extLst>
    </cfRule>
  </conditionalFormatting>
  <conditionalFormatting sqref="G67">
    <cfRule type="containsText" dxfId="178" priority="45" operator="containsText" text="Continue">
      <formula>NOT(ISERROR(SEARCH("Continue",G67)))</formula>
    </cfRule>
    <cfRule type="containsText" dxfId="177" priority="47" operator="containsText" text="Start">
      <formula>NOT(ISERROR(SEARCH("Start",G67)))</formula>
    </cfRule>
    <cfRule type="containsText" dxfId="176" priority="48" operator="containsText" text="N/A">
      <formula>NOT(ISERROR(SEARCH("N/A",G67)))</formula>
    </cfRule>
    <cfRule type="containsText" dxfId="175" priority="49" operator="containsText" text="Exceeds">
      <formula>NOT(ISERROR(SEARCH("Exceeds",G67)))</formula>
    </cfRule>
    <cfRule type="containsText" dxfId="174" priority="50" operator="containsText" text="Meets">
      <formula>NOT(ISERROR(SEARCH("Meets",G67)))</formula>
    </cfRule>
    <cfRule type="containsText" dxfId="173" priority="46" operator="containsText" text="Stop">
      <formula>NOT(ISERROR(SEARCH("Stop",G67)))</formula>
    </cfRule>
    <cfRule type="containsText" dxfId="172"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{4129B556-46F9-4B58-8823-D25619400BF0}</x14:id>
        </ext>
      </extLst>
    </cfRule>
  </conditionalFormatting>
  <conditionalFormatting sqref="G159 G161">
    <cfRule type="containsText" dxfId="171" priority="308" operator="containsText" text="Continue">
      <formula>NOT(ISERROR(SEARCH("Continue",G159)))</formula>
    </cfRule>
    <cfRule type="containsText" dxfId="170" priority="309" operator="containsText" text="Stop">
      <formula>NOT(ISERROR(SEARCH("Stop",G159)))</formula>
    </cfRule>
    <cfRule type="containsText" dxfId="169" priority="310" operator="containsText" text="Start">
      <formula>NOT(ISERROR(SEARCH("Start",G159)))</formula>
    </cfRule>
    <cfRule type="containsText" dxfId="168" priority="311" operator="containsText" text="N/A">
      <formula>NOT(ISERROR(SEARCH("N/A",G159)))</formula>
    </cfRule>
    <cfRule type="containsText" dxfId="167" priority="312" operator="containsText" text="Exceeds">
      <formula>NOT(ISERROR(SEARCH("Exceeds",G159)))</formula>
    </cfRule>
    <cfRule type="containsText" dxfId="166" priority="314" operator="containsText" text="Under">
      <formula>NOT(ISERROR(SEARCH("Under",G159)))</formula>
    </cfRule>
    <cfRule type="containsText" dxfId="165" priority="313" operator="containsText" text="Meets">
      <formula>NOT(ISERROR(SEARCH("Meets",G159)))</formula>
    </cfRule>
  </conditionalFormatting>
  <conditionalFormatting sqref="G164 G166">
    <cfRule type="containsText" dxfId="164" priority="291" operator="containsText" text="Under">
      <formula>NOT(ISERROR(SEARCH("Under",G164)))</formula>
    </cfRule>
    <cfRule type="containsText" dxfId="163" priority="285" operator="containsText" text="Continue">
      <formula>NOT(ISERROR(SEARCH("Continue",G164)))</formula>
    </cfRule>
    <cfRule type="containsText" dxfId="162" priority="286" operator="containsText" text="Stop">
      <formula>NOT(ISERROR(SEARCH("Stop",G164)))</formula>
    </cfRule>
    <cfRule type="containsText" dxfId="161" priority="288" operator="containsText" text="N/A">
      <formula>NOT(ISERROR(SEARCH("N/A",G164)))</formula>
    </cfRule>
    <cfRule type="containsText" dxfId="160" priority="289" operator="containsText" text="Exceeds">
      <formula>NOT(ISERROR(SEARCH("Exceeds",G164)))</formula>
    </cfRule>
    <cfRule type="containsText" dxfId="159" priority="290" operator="containsText" text="Meets">
      <formula>NOT(ISERROR(SEARCH("Meets",G164)))</formula>
    </cfRule>
    <cfRule type="containsText" dxfId="158" priority="287" operator="containsText" text="Start">
      <formula>NOT(ISERROR(SEARCH("Start",G164)))</formula>
    </cfRule>
  </conditionalFormatting>
  <conditionalFormatting sqref="G169 G171">
    <cfRule type="containsText" dxfId="157" priority="258" operator="containsText" text="N/A">
      <formula>NOT(ISERROR(SEARCH("N/A",G169)))</formula>
    </cfRule>
    <cfRule type="containsText" dxfId="156" priority="259" operator="containsText" text="Exceeds">
      <formula>NOT(ISERROR(SEARCH("Exceeds",G169)))</formula>
    </cfRule>
    <cfRule type="containsText" dxfId="155" priority="260" operator="containsText" text="Meets">
      <formula>NOT(ISERROR(SEARCH("Meets",G169)))</formula>
    </cfRule>
    <cfRule type="containsText" dxfId="154" priority="261" operator="containsText" text="Under">
      <formula>NOT(ISERROR(SEARCH("Under",G169)))</formula>
    </cfRule>
    <cfRule type="containsText" dxfId="153" priority="256" operator="containsText" text="Stop">
      <formula>NOT(ISERROR(SEARCH("Stop",G169)))</formula>
    </cfRule>
    <cfRule type="containsText" dxfId="152" priority="257" operator="containsText" text="Start">
      <formula>NOT(ISERROR(SEARCH("Start",G169)))</formula>
    </cfRule>
    <cfRule type="containsText" dxfId="151" priority="255" operator="containsText" text="Continue">
      <formula>NOT(ISERROR(SEARCH("Continue",G169)))</formula>
    </cfRule>
  </conditionalFormatting>
  <conditionalFormatting sqref="J29">
    <cfRule type="containsText" dxfId="150" priority="374" operator="containsText" text="Continue">
      <formula>NOT(ISERROR(SEARCH("Continue",J29)))</formula>
    </cfRule>
    <cfRule type="containsText" dxfId="149" priority="379" operator="containsText" text="Meets">
      <formula>NOT(ISERROR(SEARCH("Meets",J29)))</formula>
    </cfRule>
    <cfRule type="containsText" dxfId="148" priority="380" operator="containsText" text="Under">
      <formula>NOT(ISERROR(SEARCH("Under",J29)))</formula>
    </cfRule>
    <cfRule type="containsText" dxfId="147" priority="378" operator="containsText" text="Exceeds">
      <formula>NOT(ISERROR(SEARCH("Exceeds",J29)))</formula>
    </cfRule>
    <cfRule type="containsText" dxfId="146" priority="377" operator="containsText" text="N/A">
      <formula>NOT(ISERROR(SEARCH("N/A",J29)))</formula>
    </cfRule>
    <cfRule type="containsText" dxfId="145" priority="376" operator="containsText" text="Start">
      <formula>NOT(ISERROR(SEARCH("Start",J29)))</formula>
    </cfRule>
    <cfRule type="containsText" dxfId="144" priority="375" operator="containsText" text="Stop">
      <formula>NOT(ISERROR(SEARCH("Stop",J29)))</formula>
    </cfRule>
  </conditionalFormatting>
  <conditionalFormatting sqref="J31">
    <cfRule type="containsText" dxfId="143" priority="208" operator="containsText" text="Stop">
      <formula>NOT(ISERROR(SEARCH("Stop",J31)))</formula>
    </cfRule>
    <cfRule type="containsText" dxfId="142" priority="212" operator="containsText" text="Meets">
      <formula>NOT(ISERROR(SEARCH("Meets",J31)))</formula>
    </cfRule>
    <cfRule type="containsText" dxfId="141" priority="211" operator="containsText" text="Exceeds">
      <formula>NOT(ISERROR(SEARCH("Exceeds",J31)))</formula>
    </cfRule>
    <cfRule type="containsText" dxfId="140" priority="210" operator="containsText" text="N/A">
      <formula>NOT(ISERROR(SEARCH("N/A",J31)))</formula>
    </cfRule>
    <cfRule type="containsText" dxfId="139" priority="209" operator="containsText" text="Start">
      <formula>NOT(ISERROR(SEARCH("Start",J31)))</formula>
    </cfRule>
    <cfRule type="containsText" dxfId="138" priority="207" operator="containsText" text="Continue">
      <formula>NOT(ISERROR(SEARCH("Continue",J31)))</formula>
    </cfRule>
    <cfRule type="containsText" dxfId="137" priority="213" operator="containsText" text="Under">
      <formula>NOT(ISERROR(SEARCH("Under",J31)))</formula>
    </cfRule>
  </conditionalFormatting>
  <conditionalFormatting sqref="J35">
    <cfRule type="containsText" dxfId="136" priority="205" operator="containsText" text="Under">
      <formula>NOT(ISERROR(SEARCH("Under",J35)))</formula>
    </cfRule>
    <cfRule type="containsText" dxfId="135" priority="199" operator="containsText" text="Continue">
      <formula>NOT(ISERROR(SEARCH("Continue",J35)))</formula>
    </cfRule>
    <cfRule type="containsText" dxfId="134" priority="200" operator="containsText" text="Stop">
      <formula>NOT(ISERROR(SEARCH("Stop",J35)))</formula>
    </cfRule>
    <cfRule type="containsText" dxfId="133" priority="201" operator="containsText" text="Start">
      <formula>NOT(ISERROR(SEARCH("Start",J35)))</formula>
    </cfRule>
    <cfRule type="containsText" dxfId="132" priority="204" operator="containsText" text="Meets">
      <formula>NOT(ISERROR(SEARCH("Meets",J35)))</formula>
    </cfRule>
    <cfRule type="containsText" dxfId="131" priority="203" operator="containsText" text="Exceeds">
      <formula>NOT(ISERROR(SEARCH("Exceeds",J35)))</formula>
    </cfRule>
    <cfRule type="containsText" dxfId="130" priority="202" operator="containsText" text="N/A">
      <formula>NOT(ISERROR(SEARCH("N/A",J35)))</formula>
    </cfRule>
  </conditionalFormatting>
  <conditionalFormatting sqref="J37">
    <cfRule type="containsText" dxfId="129" priority="195" operator="containsText" text="N/A">
      <formula>NOT(ISERROR(SEARCH("N/A",J37)))</formula>
    </cfRule>
    <cfRule type="containsText" dxfId="128" priority="196" operator="containsText" text="Exceeds">
      <formula>NOT(ISERROR(SEARCH("Exceeds",J37)))</formula>
    </cfRule>
    <cfRule type="containsText" dxfId="127" priority="194" operator="containsText" text="Start">
      <formula>NOT(ISERROR(SEARCH("Start",J37)))</formula>
    </cfRule>
    <cfRule type="containsText" dxfId="126" priority="193" operator="containsText" text="Stop">
      <formula>NOT(ISERROR(SEARCH("Stop",J37)))</formula>
    </cfRule>
    <cfRule type="containsText" dxfId="125" priority="192" operator="containsText" text="Continue">
      <formula>NOT(ISERROR(SEARCH("Continue",J37)))</formula>
    </cfRule>
    <cfRule type="containsText" dxfId="124" priority="197" operator="containsText" text="Meets">
      <formula>NOT(ISERROR(SEARCH("Meets",J37)))</formula>
    </cfRule>
    <cfRule type="containsText" dxfId="123" priority="198" operator="containsText" text="Under">
      <formula>NOT(ISERROR(SEARCH("Under",J37)))</formula>
    </cfRule>
  </conditionalFormatting>
  <conditionalFormatting sqref="J41">
    <cfRule type="containsText" dxfId="122" priority="189" operator="containsText" text="Meets">
      <formula>NOT(ISERROR(SEARCH("Meets",J41)))</formula>
    </cfRule>
    <cfRule type="containsText" dxfId="121" priority="186" operator="containsText" text="Start">
      <formula>NOT(ISERROR(SEARCH("Start",J41)))</formula>
    </cfRule>
    <cfRule type="containsText" dxfId="120" priority="187" operator="containsText" text="N/A">
      <formula>NOT(ISERROR(SEARCH("N/A",J41)))</formula>
    </cfRule>
    <cfRule type="containsText" dxfId="119" priority="188" operator="containsText" text="Exceeds">
      <formula>NOT(ISERROR(SEARCH("Exceeds",J41)))</formula>
    </cfRule>
    <cfRule type="containsText" dxfId="118" priority="190" operator="containsText" text="Under">
      <formula>NOT(ISERROR(SEARCH("Under",J41)))</formula>
    </cfRule>
    <cfRule type="containsText" dxfId="117" priority="184" operator="containsText" text="Continue">
      <formula>NOT(ISERROR(SEARCH("Continue",J41)))</formula>
    </cfRule>
    <cfRule type="containsText" dxfId="116" priority="185" operator="containsText" text="Stop">
      <formula>NOT(ISERROR(SEARCH("Stop",J41)))</formula>
    </cfRule>
  </conditionalFormatting>
  <conditionalFormatting sqref="J43">
    <cfRule type="containsText" dxfId="115" priority="179" operator="containsText" text="Start">
      <formula>NOT(ISERROR(SEARCH("Start",J43)))</formula>
    </cfRule>
    <cfRule type="containsText" dxfId="114" priority="182" operator="containsText" text="Meets">
      <formula>NOT(ISERROR(SEARCH("Meets",J43)))</formula>
    </cfRule>
    <cfRule type="containsText" dxfId="113" priority="177" operator="containsText" text="Continue">
      <formula>NOT(ISERROR(SEARCH("Continue",J43)))</formula>
    </cfRule>
    <cfRule type="containsText" dxfId="112" priority="180" operator="containsText" text="N/A">
      <formula>NOT(ISERROR(SEARCH("N/A",J43)))</formula>
    </cfRule>
    <cfRule type="containsText" dxfId="111" priority="183" operator="containsText" text="Under">
      <formula>NOT(ISERROR(SEARCH("Under",J43)))</formula>
    </cfRule>
    <cfRule type="containsText" dxfId="110" priority="181" operator="containsText" text="Exceeds">
      <formula>NOT(ISERROR(SEARCH("Exceeds",J43)))</formula>
    </cfRule>
    <cfRule type="containsText" dxfId="109" priority="178" operator="containsText" text="Stop">
      <formula>NOT(ISERROR(SEARCH("Stop",J43)))</formula>
    </cfRule>
  </conditionalFormatting>
  <conditionalFormatting sqref="J47">
    <cfRule type="containsText" dxfId="108" priority="173" operator="containsText" text="Exceeds">
      <formula>NOT(ISERROR(SEARCH("Exceeds",J47)))</formula>
    </cfRule>
    <cfRule type="containsText" dxfId="107" priority="169" operator="containsText" text="Continue">
      <formula>NOT(ISERROR(SEARCH("Continue",J47)))</formula>
    </cfRule>
    <cfRule type="containsText" dxfId="106" priority="170" operator="containsText" text="Stop">
      <formula>NOT(ISERROR(SEARCH("Stop",J47)))</formula>
    </cfRule>
    <cfRule type="containsText" dxfId="105" priority="172" operator="containsText" text="N/A">
      <formula>NOT(ISERROR(SEARCH("N/A",J47)))</formula>
    </cfRule>
    <cfRule type="containsText" dxfId="104" priority="174" operator="containsText" text="Meets">
      <formula>NOT(ISERROR(SEARCH("Meets",J47)))</formula>
    </cfRule>
    <cfRule type="containsText" dxfId="103" priority="175" operator="containsText" text="Under">
      <formula>NOT(ISERROR(SEARCH("Under",J47)))</formula>
    </cfRule>
    <cfRule type="containsText" dxfId="102" priority="171" operator="containsText" text="Start">
      <formula>NOT(ISERROR(SEARCH("Start",J47)))</formula>
    </cfRule>
  </conditionalFormatting>
  <conditionalFormatting sqref="J49">
    <cfRule type="containsText" dxfId="101" priority="168" operator="containsText" text="Under">
      <formula>NOT(ISERROR(SEARCH("Under",J49)))</formula>
    </cfRule>
    <cfRule type="containsText" dxfId="100" priority="163" operator="containsText" text="Stop">
      <formula>NOT(ISERROR(SEARCH("Stop",J49)))</formula>
    </cfRule>
    <cfRule type="containsText" dxfId="99" priority="167" operator="containsText" text="Meets">
      <formula>NOT(ISERROR(SEARCH("Meets",J49)))</formula>
    </cfRule>
    <cfRule type="containsText" dxfId="98" priority="164" operator="containsText" text="Start">
      <formula>NOT(ISERROR(SEARCH("Start",J49)))</formula>
    </cfRule>
    <cfRule type="containsText" dxfId="97" priority="162" operator="containsText" text="Continue">
      <formula>NOT(ISERROR(SEARCH("Continue",J49)))</formula>
    </cfRule>
    <cfRule type="containsText" dxfId="96" priority="165" operator="containsText" text="N/A">
      <formula>NOT(ISERROR(SEARCH("N/A",J49)))</formula>
    </cfRule>
    <cfRule type="containsText" dxfId="95" priority="166" operator="containsText" text="Exceeds">
      <formula>NOT(ISERROR(SEARCH("Exceeds",J49)))</formula>
    </cfRule>
  </conditionalFormatting>
  <conditionalFormatting sqref="J53">
    <cfRule type="containsText" dxfId="94" priority="154" operator="containsText" text="Continue">
      <formula>NOT(ISERROR(SEARCH("Continue",J53)))</formula>
    </cfRule>
    <cfRule type="containsText" dxfId="93" priority="155" operator="containsText" text="Stop">
      <formula>NOT(ISERROR(SEARCH("Stop",J53)))</formula>
    </cfRule>
    <cfRule type="containsText" dxfId="92" priority="156" operator="containsText" text="Start">
      <formula>NOT(ISERROR(SEARCH("Start",J53)))</formula>
    </cfRule>
    <cfRule type="containsText" dxfId="91" priority="157" operator="containsText" text="N/A">
      <formula>NOT(ISERROR(SEARCH("N/A",J53)))</formula>
    </cfRule>
    <cfRule type="containsText" dxfId="90" priority="158" operator="containsText" text="Exceeds">
      <formula>NOT(ISERROR(SEARCH("Exceeds",J53)))</formula>
    </cfRule>
    <cfRule type="containsText" dxfId="89" priority="159" operator="containsText" text="Meets">
      <formula>NOT(ISERROR(SEARCH("Meets",J53)))</formula>
    </cfRule>
    <cfRule type="containsText" dxfId="88" priority="160" operator="containsText" text="Under">
      <formula>NOT(ISERROR(SEARCH("Under",J53)))</formula>
    </cfRule>
  </conditionalFormatting>
  <conditionalFormatting sqref="J55">
    <cfRule type="containsText" dxfId="87" priority="147" operator="containsText" text="Continue">
      <formula>NOT(ISERROR(SEARCH("Continue",J55)))</formula>
    </cfRule>
    <cfRule type="containsText" dxfId="86" priority="151" operator="containsText" text="Exceeds">
      <formula>NOT(ISERROR(SEARCH("Exceeds",J55)))</formula>
    </cfRule>
    <cfRule type="containsText" dxfId="85" priority="152" operator="containsText" text="Meets">
      <formula>NOT(ISERROR(SEARCH("Meets",J55)))</formula>
    </cfRule>
    <cfRule type="containsText" dxfId="84" priority="153" operator="containsText" text="Under">
      <formula>NOT(ISERROR(SEARCH("Under",J55)))</formula>
    </cfRule>
    <cfRule type="containsText" dxfId="83" priority="148" operator="containsText" text="Stop">
      <formula>NOT(ISERROR(SEARCH("Stop",J55)))</formula>
    </cfRule>
    <cfRule type="containsText" dxfId="82" priority="149" operator="containsText" text="Start">
      <formula>NOT(ISERROR(SEARCH("Start",J55)))</formula>
    </cfRule>
    <cfRule type="containsText" dxfId="81" priority="150" operator="containsText" text="N/A">
      <formula>NOT(ISERROR(SEARCH("N/A",J55)))</formula>
    </cfRule>
  </conditionalFormatting>
  <conditionalFormatting sqref="J59">
    <cfRule type="containsText" dxfId="80" priority="139" operator="containsText" text="Continue">
      <formula>NOT(ISERROR(SEARCH("Continue",J59)))</formula>
    </cfRule>
    <cfRule type="containsText" dxfId="79" priority="140" operator="containsText" text="Stop">
      <formula>NOT(ISERROR(SEARCH("Stop",J59)))</formula>
    </cfRule>
    <cfRule type="containsText" dxfId="78" priority="141" operator="containsText" text="Start">
      <formula>NOT(ISERROR(SEARCH("Start",J59)))</formula>
    </cfRule>
    <cfRule type="containsText" dxfId="77" priority="142" operator="containsText" text="N/A">
      <formula>NOT(ISERROR(SEARCH("N/A",J59)))</formula>
    </cfRule>
    <cfRule type="containsText" dxfId="76" priority="143" operator="containsText" text="Exceeds">
      <formula>NOT(ISERROR(SEARCH("Exceeds",J59)))</formula>
    </cfRule>
    <cfRule type="containsText" dxfId="75" priority="144" operator="containsText" text="Meets">
      <formula>NOT(ISERROR(SEARCH("Meets",J59)))</formula>
    </cfRule>
    <cfRule type="containsText" dxfId="74" priority="145" operator="containsText" text="Under">
      <formula>NOT(ISERROR(SEARCH("Under",J59)))</formula>
    </cfRule>
  </conditionalFormatting>
  <conditionalFormatting sqref="J61">
    <cfRule type="containsText" dxfId="73" priority="134" operator="containsText" text="Start">
      <formula>NOT(ISERROR(SEARCH("Start",J61)))</formula>
    </cfRule>
    <cfRule type="containsText" dxfId="72" priority="133" operator="containsText" text="Stop">
      <formula>NOT(ISERROR(SEARCH("Stop",J61)))</formula>
    </cfRule>
    <cfRule type="containsText" dxfId="71" priority="135" operator="containsText" text="N/A">
      <formula>NOT(ISERROR(SEARCH("N/A",J61)))</formula>
    </cfRule>
    <cfRule type="containsText" dxfId="70" priority="132" operator="containsText" text="Continue">
      <formula>NOT(ISERROR(SEARCH("Continue",J61)))</formula>
    </cfRule>
    <cfRule type="containsText" dxfId="69" priority="136" operator="containsText" text="Exceeds">
      <formula>NOT(ISERROR(SEARCH("Exceeds",J61)))</formula>
    </cfRule>
    <cfRule type="containsText" dxfId="68" priority="137" operator="containsText" text="Meets">
      <formula>NOT(ISERROR(SEARCH("Meets",J61)))</formula>
    </cfRule>
    <cfRule type="containsText" dxfId="67" priority="138" operator="containsText" text="Under">
      <formula>NOT(ISERROR(SEARCH("Under",J61)))</formula>
    </cfRule>
  </conditionalFormatting>
  <conditionalFormatting sqref="J65">
    <cfRule type="containsText" dxfId="66" priority="127" operator="containsText" text="N/A">
      <formula>NOT(ISERROR(SEARCH("N/A",J65)))</formula>
    </cfRule>
    <cfRule type="containsText" dxfId="65" priority="126" operator="containsText" text="Start">
      <formula>NOT(ISERROR(SEARCH("Start",J65)))</formula>
    </cfRule>
    <cfRule type="containsText" dxfId="64" priority="125" operator="containsText" text="Stop">
      <formula>NOT(ISERROR(SEARCH("Stop",J65)))</formula>
    </cfRule>
    <cfRule type="containsText" dxfId="63" priority="124" operator="containsText" text="Continue">
      <formula>NOT(ISERROR(SEARCH("Continue",J65)))</formula>
    </cfRule>
    <cfRule type="containsText" dxfId="62" priority="130" operator="containsText" text="Under">
      <formula>NOT(ISERROR(SEARCH("Under",J65)))</formula>
    </cfRule>
    <cfRule type="containsText" dxfId="61" priority="129" operator="containsText" text="Meets">
      <formula>NOT(ISERROR(SEARCH("Meets",J65)))</formula>
    </cfRule>
    <cfRule type="containsText" dxfId="60" priority="128" operator="containsText" text="Exceeds">
      <formula>NOT(ISERROR(SEARCH("Exceeds",J65)))</formula>
    </cfRule>
  </conditionalFormatting>
  <conditionalFormatting sqref="J67">
    <cfRule type="containsText" dxfId="59" priority="121" operator="containsText" text="Exceeds">
      <formula>NOT(ISERROR(SEARCH("Exceeds",J67)))</formula>
    </cfRule>
    <cfRule type="containsText" dxfId="58" priority="120" operator="containsText" text="N/A">
      <formula>NOT(ISERROR(SEARCH("N/A",J67)))</formula>
    </cfRule>
    <cfRule type="containsText" dxfId="57" priority="119" operator="containsText" text="Start">
      <formula>NOT(ISERROR(SEARCH("Start",J67)))</formula>
    </cfRule>
    <cfRule type="containsText" dxfId="56" priority="118" operator="containsText" text="Stop">
      <formula>NOT(ISERROR(SEARCH("Stop",J67)))</formula>
    </cfRule>
    <cfRule type="containsText" dxfId="55" priority="117" operator="containsText" text="Continue">
      <formula>NOT(ISERROR(SEARCH("Continue",J67)))</formula>
    </cfRule>
    <cfRule type="containsText" dxfId="54" priority="123" operator="containsText" text="Under">
      <formula>NOT(ISERROR(SEARCH("Under",J67)))</formula>
    </cfRule>
    <cfRule type="containsText" dxfId="53" priority="122" operator="containsText" text="Meets">
      <formula>NOT(ISERROR(SEARCH("Meets",J67)))</formula>
    </cfRule>
  </conditionalFormatting>
  <conditionalFormatting sqref="J154:J156">
    <cfRule type="containsText" dxfId="52" priority="106" operator="containsText" text="Under">
      <formula>NOT(ISERROR(SEARCH("Under",J154)))</formula>
    </cfRule>
    <cfRule type="containsText" dxfId="51" priority="105" operator="containsText" text="Meets">
      <formula>NOT(ISERROR(SEARCH("Meets",J154)))</formula>
    </cfRule>
    <cfRule type="containsText" dxfId="50" priority="104" operator="containsText" text="Exceeds">
      <formula>NOT(ISERROR(SEARCH("Exceeds",J154)))</formula>
    </cfRule>
    <cfRule type="containsText" dxfId="49" priority="103" operator="containsText" text="N/A">
      <formula>NOT(ISERROR(SEARCH("N/A",J154)))</formula>
    </cfRule>
    <cfRule type="containsText" dxfId="48" priority="102" operator="containsText" text="Start">
      <formula>NOT(ISERROR(SEARCH("Start",J154)))</formula>
    </cfRule>
    <cfRule type="containsText" dxfId="47" priority="101" operator="containsText" text="Stop">
      <formula>NOT(ISERROR(SEARCH("Stop",J154)))</formula>
    </cfRule>
    <cfRule type="containsText" dxfId="46"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{C57DB4B8-EF20-4B04-80F2-17BF74E36D15}</x14:id>
        </ext>
      </extLst>
    </cfRule>
    <cfRule type="dataBar" priority="107">
      <dataBar>
        <cfvo type="num" val="0"/>
        <cfvo type="num" val="1"/>
        <color theme="0" tint="-0.249977111117893"/>
      </dataBar>
      <extLst>
        <ext xmlns:x14="http://schemas.microsoft.com/office/spreadsheetml/2009/9/main" uri="{B025F937-C7B1-47D3-B67F-A62EFF666E3E}">
          <x14:id>{C05B7A71-8C22-4869-A5A7-781193A3DA9E}</x14:id>
        </ext>
      </extLst>
    </cfRule>
  </conditionalFormatting>
  <conditionalFormatting sqref="J159 J164">
    <cfRule type="containsText" dxfId="45" priority="435" operator="containsText" text="Stop">
      <formula>NOT(ISERROR(SEARCH("Stop",J159)))</formula>
    </cfRule>
    <cfRule type="containsText" dxfId="44" priority="437" operator="containsText" text="N/A">
      <formula>NOT(ISERROR(SEARCH("N/A",J159)))</formula>
    </cfRule>
    <cfRule type="containsText" dxfId="43" priority="436" operator="containsText" text="Start">
      <formula>NOT(ISERROR(SEARCH("Start",J159)))</formula>
    </cfRule>
    <cfRule type="containsText" dxfId="42" priority="438" operator="containsText" text="Exceeds">
      <formula>NOT(ISERROR(SEARCH("Exceeds",J159)))</formula>
    </cfRule>
    <cfRule type="containsText" dxfId="41" priority="439" operator="containsText" text="Meets">
      <formula>NOT(ISERROR(SEARCH("Meets",J159)))</formula>
    </cfRule>
    <cfRule type="containsText" dxfId="40" priority="440" operator="containsText" text="Under">
      <formula>NOT(ISERROR(SEARCH("Under",J159)))</formula>
    </cfRule>
    <cfRule type="containsText" dxfId="39" priority="434" operator="containsText" text="Continue">
      <formula>NOT(ISERROR(SEARCH("Continue",J159)))</formula>
    </cfRule>
  </conditionalFormatting>
  <conditionalFormatting sqref="J161">
    <cfRule type="containsText" dxfId="38" priority="306" operator="containsText" text="Meets">
      <formula>NOT(ISERROR(SEARCH("Meets",J161)))</formula>
    </cfRule>
    <cfRule type="containsText" dxfId="37" priority="305" operator="containsText" text="Exceeds">
      <formula>NOT(ISERROR(SEARCH("Exceeds",J161)))</formula>
    </cfRule>
    <cfRule type="containsText" dxfId="36" priority="304" operator="containsText" text="N/A">
      <formula>NOT(ISERROR(SEARCH("N/A",J161)))</formula>
    </cfRule>
    <cfRule type="containsText" dxfId="35" priority="303" operator="containsText" text="Start">
      <formula>NOT(ISERROR(SEARCH("Start",J161)))</formula>
    </cfRule>
    <cfRule type="containsText" dxfId="34" priority="302" operator="containsText" text="Stop">
      <formula>NOT(ISERROR(SEARCH("Stop",J161)))</formula>
    </cfRule>
    <cfRule type="containsText" dxfId="33" priority="301" operator="containsText" text="Continue">
      <formula>NOT(ISERROR(SEARCH("Continue",J161)))</formula>
    </cfRule>
    <cfRule type="containsText" dxfId="32" priority="307" operator="containsText" text="Under">
      <formula>NOT(ISERROR(SEARCH("Under",J161)))</formula>
    </cfRule>
  </conditionalFormatting>
  <conditionalFormatting sqref="J166">
    <cfRule type="containsText" dxfId="31" priority="282" operator="containsText" text="Exceeds">
      <formula>NOT(ISERROR(SEARCH("Exceeds",J166)))</formula>
    </cfRule>
    <cfRule type="containsText" dxfId="30" priority="284" operator="containsText" text="Under">
      <formula>NOT(ISERROR(SEARCH("Under",J166)))</formula>
    </cfRule>
    <cfRule type="containsText" dxfId="29" priority="281" operator="containsText" text="N/A">
      <formula>NOT(ISERROR(SEARCH("N/A",J166)))</formula>
    </cfRule>
    <cfRule type="containsText" dxfId="28" priority="280" operator="containsText" text="Start">
      <formula>NOT(ISERROR(SEARCH("Start",J166)))</formula>
    </cfRule>
    <cfRule type="containsText" dxfId="27" priority="279" operator="containsText" text="Stop">
      <formula>NOT(ISERROR(SEARCH("Stop",J166)))</formula>
    </cfRule>
    <cfRule type="containsText" dxfId="26" priority="278" operator="containsText" text="Continue">
      <formula>NOT(ISERROR(SEARCH("Continue",J166)))</formula>
    </cfRule>
    <cfRule type="containsText" dxfId="25" priority="283" operator="containsText" text="Meets">
      <formula>NOT(ISERROR(SEARCH("Meets",J166)))</formula>
    </cfRule>
  </conditionalFormatting>
  <conditionalFormatting sqref="J169">
    <cfRule type="containsText" dxfId="24" priority="273" operator="containsText" text="Start">
      <formula>NOT(ISERROR(SEARCH("Start",J169)))</formula>
    </cfRule>
    <cfRule type="containsText" dxfId="23" priority="272" operator="containsText" text="Stop">
      <formula>NOT(ISERROR(SEARCH("Stop",J169)))</formula>
    </cfRule>
    <cfRule type="containsText" dxfId="22" priority="276" operator="containsText" text="Meets">
      <formula>NOT(ISERROR(SEARCH("Meets",J169)))</formula>
    </cfRule>
    <cfRule type="containsText" dxfId="21" priority="271" operator="containsText" text="Continue">
      <formula>NOT(ISERROR(SEARCH("Continue",J169)))</formula>
    </cfRule>
    <cfRule type="containsText" dxfId="20" priority="277" operator="containsText" text="Under">
      <formula>NOT(ISERROR(SEARCH("Under",J169)))</formula>
    </cfRule>
    <cfRule type="containsText" dxfId="19" priority="274" operator="containsText" text="N/A">
      <formula>NOT(ISERROR(SEARCH("N/A",J169)))</formula>
    </cfRule>
    <cfRule type="containsText" dxfId="18" priority="275" operator="containsText" text="Exceeds">
      <formula>NOT(ISERROR(SEARCH("Exceeds",J169)))</formula>
    </cfRule>
  </conditionalFormatting>
  <conditionalFormatting sqref="J171">
    <cfRule type="containsText" dxfId="17" priority="248" operator="containsText" text="Continue">
      <formula>NOT(ISERROR(SEARCH("Continue",J171)))</formula>
    </cfRule>
    <cfRule type="containsText" dxfId="16" priority="249" operator="containsText" text="Stop">
      <formula>NOT(ISERROR(SEARCH("Stop",J171)))</formula>
    </cfRule>
    <cfRule type="containsText" dxfId="15" priority="251" operator="containsText" text="N/A">
      <formula>NOT(ISERROR(SEARCH("N/A",J171)))</formula>
    </cfRule>
    <cfRule type="containsText" dxfId="14" priority="252" operator="containsText" text="Exceeds">
      <formula>NOT(ISERROR(SEARCH("Exceeds",J171)))</formula>
    </cfRule>
    <cfRule type="containsText" dxfId="13" priority="250" operator="containsText" text="Start">
      <formula>NOT(ISERROR(SEARCH("Start",J171)))</formula>
    </cfRule>
    <cfRule type="containsText" dxfId="12" priority="253" operator="containsText" text="Meets">
      <formula>NOT(ISERROR(SEARCH("Meets",J171)))</formula>
    </cfRule>
    <cfRule type="containsText" dxfId="11" priority="254" operator="containsText" text="Under">
      <formula>NOT(ISERROR(SEARCH("Under",J171)))</formula>
    </cfRule>
  </conditionalFormatting>
  <conditionalFormatting sqref="M62 M68">
    <cfRule type="containsText" dxfId="10" priority="448" operator="containsText" text="N/A">
      <formula>NOT(ISERROR(SEARCH("N/A",M62)))</formula>
    </cfRule>
    <cfRule type="containsText" dxfId="9" priority="449" operator="containsText" text="Exceeds">
      <formula>NOT(ISERROR(SEARCH("Exceeds",M62)))</formula>
    </cfRule>
    <cfRule type="containsText" dxfId="8" priority="450" operator="containsText" text="Meets">
      <formula>NOT(ISERROR(SEARCH("Meets",M62)))</formula>
    </cfRule>
    <cfRule type="containsText" dxfId="7" priority="451" operator="containsText" text="Under">
      <formula>NOT(ISERROR(SEARCH("Under",M62)))</formula>
    </cfRule>
  </conditionalFormatting>
  <conditionalFormatting sqref="Q14:Q16">
    <cfRule type="containsText" dxfId="6" priority="453" operator="containsText" text="Exceeds">
      <formula>NOT(ISERROR(SEARCH("Exceeds",Q14)))</formula>
    </cfRule>
    <cfRule type="containsText" dxfId="5" priority="454" operator="containsText" text="Meets">
      <formula>NOT(ISERROR(SEARCH("Meets",Q14)))</formula>
    </cfRule>
    <cfRule type="containsText" dxfId="4" priority="455" operator="containsText" text="Under">
      <formula>NOT(ISERROR(SEARCH("Under",Q14)))</formula>
    </cfRule>
    <cfRule type="containsText" dxfId="3" priority="452" operator="containsText" text="N/A">
      <formula>NOT(ISERROR(SEARCH("N/A",Q14)))</formula>
    </cfRule>
  </conditionalFormatting>
  <dataValidations count="8">
    <dataValidation type="list" allowBlank="1" showInputMessage="1" showErrorMessage="1" sqref="L73:L80" xr:uid="{D267C0C4-1431-40E7-8E11-E0280FFBEED1}">
      <formula1>"0, 1, 2, 3, 4, 5, 6, 7, 8, 9, 10"</formula1>
    </dataValidation>
    <dataValidation allowBlank="1" showInputMessage="1" showErrorMessage="1" prompt="Enter Company Name in cell B4._x000a_A legend is in cells I4 through AC4.  The Legend label is in cell G4." sqref="A2:C2" xr:uid="{04113C8E-4CF9-4F3E-9FCA-60BD1F5DAE04}"/>
    <dataValidation allowBlank="1" showInputMessage="1" showErrorMessage="1" prompt="Cells I9 through BL9 contain the day number of the month for the Month represented in the cell block above each date cell and are auto calculated._x000a_Do not modify these cells._x000a_" sqref="A8:C8" xr:uid="{47355A8D-E438-4F4D-92E5-30BBE8E98210}"/>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5345EE5C-144F-401C-A2D9-B516BE16732B}"/>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E305BC6D-A2E8-4234-94D6-5A09BEE76354}"/>
    <dataValidation type="list" allowBlank="1" showInputMessage="1" showErrorMessage="1" sqref="F178:F179" xr:uid="{07243F98-B010-4019-AD00-13F1C513EAC8}">
      <formula1>"Ready for next, Happy for now"</formula1>
    </dataValidation>
    <dataValidation type="list" allowBlank="1" showInputMessage="1" showErrorMessage="1" sqref="G73:G80" xr:uid="{672D1191-05FE-4848-81D2-C5E2EB0669DE}">
      <formula1>"Online self-paced, Online, Hybrid, In person, Peer learning"</formula1>
    </dataValidation>
    <dataValidation type="list" allowBlank="1" showInputMessage="1" showErrorMessage="1" sqref="J73:J80" xr:uid="{7F858C7A-5B27-44C5-975C-31EF60D23EF5}">
      <formula1>"Yes, No"</formula1>
    </dataValidation>
  </dataValidations>
  <hyperlinks>
    <hyperlink ref="G85:H85" r:id="rId1" location=":~:text=use%20the%20method.-,Examples%20of%20SMART%20Goals,-We%20will%C2%A0create" display="Examples of SMART Goals" xr:uid="{D1FC7229-FB59-43F0-B854-DF5E22DB436B}"/>
    <hyperlink ref="G85" r:id="rId2" location=":~:text=Examples%20of%20S.M.A.R.T.%20Goals" display="https://www.forbes.com/advisor/business/smart-goals/#:~:text=Examples%20of%20S.M.A.R.T.%20Goals" xr:uid="{461EA900-BE95-43CA-BB36-B78A62207FD1}"/>
    <hyperlink ref="I85" r:id="rId3" location=":~:text=use%20the%20method.-,Examples%20of%20SMART%20Goals,-We%20will%C2%A0create" display="Examples of SMART Goals" xr:uid="{A050C24C-950B-40AF-8277-E883D72FE7E2}"/>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997D9AF0-12B9-4F82-BD2D-00F794EE08B8}">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59BC0613-C871-4586-8B33-7984765B64D6}">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F85F50FE-1FE2-49DB-8D75-5B8DD495EE8F}">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C739330-FC92-4E64-8E50-E236A333C2D0}">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BF282A2-1818-4740-BC34-8CEF442892C0}">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C440A83-1153-418A-A713-ABB57D02A51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9229A4A5-9305-43F4-BE50-53AD234DAAC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B5FA22F9-9336-45E6-9368-005F168D28C7}">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D86735F-9A7B-48BF-B8D3-F56B684599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4BBD457-5223-449C-994F-4EBC345A530B}">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2BEB45A8-0D69-40FE-A1B8-6D50B8FF0A4B}">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B46FE38-8FD1-450A-98C5-27BF0450E66F}">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8B64FEB-FBDE-4806-B9ED-D93D19963667}">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221B595-C5DD-4EB2-8AF8-FC1C820D4573}">
            <x14:dataBar minLength="0" maxLength="100" gradient="0">
              <x14:cfvo type="num">
                <xm:f>0</xm:f>
              </x14:cfvo>
              <x14:cfvo type="num">
                <xm:f>1</xm:f>
              </x14:cfvo>
              <x14:negativeFillColor rgb="FFFF0000"/>
              <x14:axisColor rgb="FF000000"/>
            </x14:dataBar>
          </x14:cfRule>
          <x14:cfRule type="dataBar" id="{6E5CC148-4395-48B0-A182-F9DAE84237A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ADC5402E-F617-464F-9AB0-68FF9603DE69}">
            <x14:dataBar minLength="0" maxLength="100" gradient="0">
              <x14:cfvo type="num">
                <xm:f>0</xm:f>
              </x14:cfvo>
              <x14:cfvo type="num">
                <xm:f>1</xm:f>
              </x14:cfvo>
              <x14:negativeFillColor rgb="FFFF0000"/>
              <x14:axisColor rgb="FF000000"/>
            </x14:dataBar>
          </x14:cfRule>
          <x14:cfRule type="dataBar" id="{9E919163-602C-489F-BAC0-53B689AF3A63}">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90B5F49C-D0EB-41A2-A28A-9C7928486248}">
            <x14:dataBar minLength="0" maxLength="100" gradient="0">
              <x14:cfvo type="num">
                <xm:f>0</xm:f>
              </x14:cfvo>
              <x14:cfvo type="num">
                <xm:f>1</xm:f>
              </x14:cfvo>
              <x14:negativeFillColor rgb="FFFF0000"/>
              <x14:axisColor rgb="FF000000"/>
            </x14:dataBar>
          </x14:cfRule>
          <x14:cfRule type="dataBar" id="{A4E9B4CB-E646-4AA3-B931-284DF8E6017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5D4C0D77-DA54-4DDC-98F6-BD324E0F42A3}">
            <x14:dataBar minLength="0" maxLength="100" gradient="0">
              <x14:cfvo type="num">
                <xm:f>0</xm:f>
              </x14:cfvo>
              <x14:cfvo type="num">
                <xm:f>1</xm:f>
              </x14:cfvo>
              <x14:negativeFillColor rgb="FFFF0000"/>
              <x14:axisColor rgb="FF000000"/>
            </x14:dataBar>
          </x14:cfRule>
          <x14:cfRule type="dataBar" id="{7DFAD948-3478-468B-A423-C396FD2B08A2}">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D8C216B6-CBE2-4AA4-8D70-60A067821731}">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B6292B20-8F02-42CE-A205-0756B3CE67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98AC5730-80B0-416C-B6F6-C48853952D94}">
            <x14:dataBar minLength="0" maxLength="100" gradient="0">
              <x14:cfvo type="num">
                <xm:f>0</xm:f>
              </x14:cfvo>
              <x14:cfvo type="num">
                <xm:f>1</xm:f>
              </x14:cfvo>
              <x14:negativeFillColor rgb="FFFF0000"/>
              <x14:axisColor rgb="FF000000"/>
            </x14:dataBar>
          </x14:cfRule>
          <x14:cfRule type="dataBar" id="{4CBB9609-5D32-45D8-A6AA-C39BCDB92F3D}">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082B95FB-A5CF-4D3C-9709-ED1D147FC859}">
            <x14:dataBar minLength="0" maxLength="100" gradient="0">
              <x14:cfvo type="num">
                <xm:f>0</xm:f>
              </x14:cfvo>
              <x14:cfvo type="num">
                <xm:f>1</xm:f>
              </x14:cfvo>
              <x14:negativeFillColor rgb="FFFF0000"/>
              <x14:axisColor rgb="FF000000"/>
            </x14:dataBar>
          </x14:cfRule>
          <x14:cfRule type="dataBar" id="{20E36500-ADCF-4658-AAB8-5D450FA7587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BB383DF-02AC-4F58-9BC0-16C62E14C12C}">
            <x14:dataBar minLength="0" maxLength="100" gradient="0">
              <x14:cfvo type="num">
                <xm:f>0</xm:f>
              </x14:cfvo>
              <x14:cfvo type="num">
                <xm:f>1</xm:f>
              </x14:cfvo>
              <x14:negativeFillColor rgb="FFFF0000"/>
              <x14:axisColor rgb="FF000000"/>
            </x14:dataBar>
          </x14:cfRule>
          <x14:cfRule type="dataBar" id="{DBA7FFC6-8E10-4445-9CB6-D70B5A189F7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49B2D78B-6B9D-42C1-A8C0-ACD129CD48F7}">
            <x14:dataBar minLength="0" maxLength="100" gradient="0">
              <x14:cfvo type="num">
                <xm:f>0</xm:f>
              </x14:cfvo>
              <x14:cfvo type="num">
                <xm:f>1</xm:f>
              </x14:cfvo>
              <x14:negativeFillColor rgb="FFFF0000"/>
              <x14:axisColor rgb="FF000000"/>
            </x14:dataBar>
          </x14:cfRule>
          <x14:cfRule type="dataBar" id="{944BD012-C210-4CF8-9173-87254548A98C}">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F4D634C3-4550-42C5-AA60-6E50C5C34944}">
            <x14:dataBar minLength="0" maxLength="100" gradient="0">
              <x14:cfvo type="num">
                <xm:f>0</xm:f>
              </x14:cfvo>
              <x14:cfvo type="num">
                <xm:f>1</xm:f>
              </x14:cfvo>
              <x14:negativeFillColor rgb="FFFF0000"/>
              <x14:axisColor rgb="FF000000"/>
            </x14:dataBar>
          </x14:cfRule>
          <x14:cfRule type="dataBar" id="{C002D7A0-C4F4-4E13-AD60-3A55C315C53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DEA1465A-0919-47A4-93F4-3AEB74BCA9BD}">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D5685C30-6CAF-474E-B0C4-C404D32138FC}">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96EFAA1-4454-4B5A-AEE7-2E0714B8E78C}">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80EBB17-95A2-4207-98F0-2CD8141C8500}">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B2C5DEFD-3499-468B-8348-3F23609AD677}">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90E8E824-5190-40DF-8112-52EE8C0EF05D}">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3E27F4C-0DAA-43DD-8D3A-5E56F1BAD5AF}">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129B556-46F9-4B58-8823-D25619400BF0}">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C57DB4B8-EF20-4B04-80F2-17BF74E36D15}">
            <x14:dataBar minLength="0" maxLength="100" gradient="0">
              <x14:cfvo type="num">
                <xm:f>0</xm:f>
              </x14:cfvo>
              <x14:cfvo type="num">
                <xm:f>1</xm:f>
              </x14:cfvo>
              <x14:negativeFillColor rgb="FFFF0000"/>
              <x14:axisColor rgb="FF000000"/>
            </x14:dataBar>
          </x14:cfRule>
          <x14:cfRule type="dataBar" id="{C05B7A71-8C22-4869-A5A7-781193A3DA9E}">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BC17-686D-4687-9BA3-006D262BAEB4}">
  <sheetPr codeName="Sheet11">
    <pageSetUpPr fitToPage="1"/>
  </sheetPr>
  <dimension ref="A1:AB122"/>
  <sheetViews>
    <sheetView zoomScale="70" zoomScaleNormal="70" workbookViewId="0">
      <selection activeCell="E9" sqref="E9:G9"/>
    </sheetView>
  </sheetViews>
  <sheetFormatPr defaultColWidth="8.7109375" defaultRowHeight="15" x14ac:dyDescent="0.25"/>
  <cols>
    <col min="1" max="2" width="8.7109375" style="185"/>
    <col min="3" max="3" width="13.5703125" style="185" customWidth="1"/>
    <col min="4" max="4" width="22.140625" style="185" customWidth="1"/>
    <col min="5" max="5" width="44.5703125" style="185" customWidth="1"/>
    <col min="6" max="6" width="40.140625" style="185" customWidth="1"/>
    <col min="7" max="7" width="39" style="185" customWidth="1"/>
    <col min="8" max="8" width="38.7109375" style="185" customWidth="1"/>
    <col min="9" max="9" width="10.85546875" style="185" customWidth="1"/>
    <col min="10" max="10" width="4.5703125" style="185" customWidth="1"/>
    <col min="11" max="14" width="35" style="185" customWidth="1"/>
    <col min="15" max="15" width="116.85546875" style="185" customWidth="1"/>
    <col min="16" max="16" width="10.28515625" style="185" customWidth="1"/>
    <col min="17" max="17" width="18.140625" style="185" customWidth="1"/>
    <col min="18" max="18" width="14.85546875" style="185" customWidth="1"/>
    <col min="19" max="19" width="11.5703125" style="185" customWidth="1"/>
    <col min="20" max="16384" width="8.7109375" style="185"/>
  </cols>
  <sheetData>
    <row r="1" spans="1:9" x14ac:dyDescent="0.25">
      <c r="A1" s="184">
        <f ca="1">TODAY()</f>
        <v>45443</v>
      </c>
    </row>
    <row r="2" spans="1:9" x14ac:dyDescent="0.25">
      <c r="A2" s="11"/>
    </row>
    <row r="3" spans="1:9" x14ac:dyDescent="0.25">
      <c r="A3" s="11"/>
      <c r="B3" s="41"/>
      <c r="C3" s="41"/>
      <c r="D3" s="41"/>
      <c r="E3" s="41"/>
      <c r="F3" s="41"/>
      <c r="G3" s="233"/>
      <c r="H3" s="41"/>
      <c r="I3" s="41"/>
    </row>
    <row r="4" spans="1:9" ht="12.75" customHeight="1" x14ac:dyDescent="0.45">
      <c r="A4" s="11"/>
      <c r="B4" s="41"/>
      <c r="C4" s="41"/>
      <c r="D4" s="41"/>
      <c r="E4" s="41"/>
      <c r="F4" s="186"/>
      <c r="G4" s="187"/>
      <c r="H4" s="41"/>
      <c r="I4" s="41"/>
    </row>
    <row r="5" spans="1:9" ht="27.75" x14ac:dyDescent="0.25">
      <c r="A5" s="11"/>
      <c r="B5" s="41"/>
      <c r="C5" s="188" t="s">
        <v>218</v>
      </c>
      <c r="D5" s="189"/>
      <c r="E5" s="189"/>
      <c r="F5" s="41"/>
      <c r="G5" s="233"/>
      <c r="H5" s="41"/>
      <c r="I5" s="41"/>
    </row>
    <row r="6" spans="1:9" ht="15" customHeight="1" x14ac:dyDescent="0.25">
      <c r="A6" s="11"/>
      <c r="B6" s="41"/>
      <c r="C6" s="212" t="s">
        <v>219</v>
      </c>
      <c r="D6" s="189"/>
      <c r="E6" s="189"/>
      <c r="F6" s="41"/>
      <c r="G6" s="233"/>
      <c r="H6" s="41"/>
      <c r="I6" s="41"/>
    </row>
    <row r="7" spans="1:9" ht="19.5" customHeight="1" x14ac:dyDescent="0.25">
      <c r="A7" s="11"/>
      <c r="B7" s="41"/>
      <c r="C7" s="190" t="str">
        <f>'CC 2023'!E2</f>
        <v>Employee Name</v>
      </c>
      <c r="D7" s="189"/>
      <c r="E7" s="189"/>
      <c r="F7" s="41"/>
      <c r="G7" s="233"/>
      <c r="H7" s="41"/>
      <c r="I7" s="41"/>
    </row>
    <row r="8" spans="1:9" ht="30" customHeight="1" x14ac:dyDescent="0.25">
      <c r="A8" s="11"/>
      <c r="B8" s="41"/>
      <c r="C8" s="191">
        <f ca="1">YEAR(A1)</f>
        <v>2024</v>
      </c>
      <c r="D8" s="189"/>
      <c r="E8" s="189"/>
      <c r="F8" s="41"/>
      <c r="G8" s="41"/>
      <c r="H8" s="41"/>
      <c r="I8" s="41"/>
    </row>
    <row r="9" spans="1:9" ht="57" customHeight="1" x14ac:dyDescent="0.25">
      <c r="A9" s="11"/>
      <c r="B9" s="41"/>
      <c r="C9" s="41"/>
      <c r="D9" s="192" t="s">
        <v>220</v>
      </c>
      <c r="E9" s="547" t="s">
        <v>221</v>
      </c>
      <c r="F9" s="548"/>
      <c r="G9" s="549"/>
      <c r="H9" s="41"/>
      <c r="I9" s="41"/>
    </row>
    <row r="10" spans="1:9" ht="57" customHeight="1" x14ac:dyDescent="0.25">
      <c r="A10" s="11"/>
      <c r="B10" s="41"/>
      <c r="C10" s="41"/>
      <c r="D10" s="193" t="s">
        <v>222</v>
      </c>
      <c r="E10" s="547" t="s">
        <v>223</v>
      </c>
      <c r="F10" s="548"/>
      <c r="G10" s="549"/>
      <c r="H10" s="41"/>
      <c r="I10" s="41"/>
    </row>
    <row r="11" spans="1:9" ht="57" customHeight="1" x14ac:dyDescent="0.25">
      <c r="B11" s="41"/>
      <c r="C11" s="41"/>
      <c r="D11" s="194" t="s">
        <v>224</v>
      </c>
      <c r="E11" s="547" t="s">
        <v>225</v>
      </c>
      <c r="F11" s="548"/>
      <c r="G11" s="549"/>
      <c r="H11" s="41"/>
      <c r="I11" s="41"/>
    </row>
    <row r="12" spans="1:9" ht="36" customHeight="1" x14ac:dyDescent="0.25">
      <c r="B12" s="41"/>
      <c r="C12" s="41"/>
      <c r="D12" s="41"/>
      <c r="E12" s="41"/>
      <c r="F12" s="195"/>
      <c r="G12" s="195"/>
      <c r="H12" s="41"/>
      <c r="I12" s="41"/>
    </row>
    <row r="13" spans="1:9" s="196" customFormat="1" ht="54" customHeight="1" x14ac:dyDescent="0.25">
      <c r="B13" s="197"/>
      <c r="C13" s="197"/>
      <c r="D13" s="198" t="s">
        <v>226</v>
      </c>
      <c r="E13" s="552"/>
      <c r="F13" s="553"/>
      <c r="G13" s="554"/>
      <c r="H13" s="41"/>
      <c r="I13" s="197"/>
    </row>
    <row r="14" spans="1:9" ht="21.75" customHeight="1" x14ac:dyDescent="0.25">
      <c r="B14" s="41"/>
      <c r="C14" s="197"/>
      <c r="D14" s="197"/>
      <c r="E14" s="197"/>
      <c r="F14" s="197"/>
      <c r="G14" s="197"/>
      <c r="H14" s="41"/>
      <c r="I14" s="41"/>
    </row>
    <row r="15" spans="1:9" s="199" customFormat="1" ht="18.75" x14ac:dyDescent="0.3">
      <c r="B15" s="200"/>
      <c r="C15" s="200"/>
      <c r="D15" s="200"/>
      <c r="E15" s="200"/>
      <c r="F15" s="200"/>
      <c r="G15" s="200"/>
      <c r="H15" s="41"/>
      <c r="I15" s="200"/>
    </row>
    <row r="16" spans="1:9" s="199" customFormat="1" ht="18.75" x14ac:dyDescent="0.3">
      <c r="B16" s="200"/>
      <c r="C16" s="200"/>
      <c r="D16" s="546" t="s">
        <v>227</v>
      </c>
      <c r="E16" s="546"/>
      <c r="F16" s="546"/>
      <c r="G16" s="546"/>
      <c r="H16" s="41"/>
      <c r="I16" s="200"/>
    </row>
    <row r="17" spans="2:9" s="199" customFormat="1" ht="18.75" x14ac:dyDescent="0.3">
      <c r="B17" s="200"/>
      <c r="C17" s="200"/>
      <c r="D17" s="10"/>
      <c r="E17" s="10"/>
      <c r="F17" s="10"/>
      <c r="G17" s="10"/>
      <c r="H17" s="201"/>
      <c r="I17" s="200"/>
    </row>
    <row r="18" spans="2:9" s="199" customFormat="1" ht="18.75" x14ac:dyDescent="0.3">
      <c r="B18" s="200"/>
      <c r="C18" s="200"/>
      <c r="D18" s="183" t="s">
        <v>228</v>
      </c>
      <c r="E18" s="183" t="s">
        <v>229</v>
      </c>
      <c r="F18" s="183" t="s">
        <v>230</v>
      </c>
      <c r="G18" s="183" t="s">
        <v>231</v>
      </c>
      <c r="H18" s="201"/>
      <c r="I18" s="200"/>
    </row>
    <row r="19" spans="2:9" s="199" customFormat="1" ht="18.75" x14ac:dyDescent="0.3">
      <c r="B19" s="200"/>
      <c r="C19" s="200"/>
      <c r="D19" s="209">
        <v>2023</v>
      </c>
      <c r="E19" s="213" t="str">
        <f>CONCATENATE('CC 2023'!$F$187, " | ", 'CC 2023'!$F$188)</f>
        <v xml:space="preserve"> | </v>
      </c>
      <c r="F19" s="213" t="str">
        <f>CONCATENATE('CC 2023'!$H$187, " | ", 'CC 2023'!$H$188)</f>
        <v xml:space="preserve"> | </v>
      </c>
      <c r="G19" s="213" t="str">
        <f>CONCATENATE('CC 2023'!$K$187, " | ", 'CC 2023'!$K$188)</f>
        <v xml:space="preserve"> | </v>
      </c>
      <c r="H19" s="201"/>
      <c r="I19" s="200"/>
    </row>
    <row r="20" spans="2:9" s="199" customFormat="1" ht="18.75" x14ac:dyDescent="0.3">
      <c r="B20" s="200"/>
      <c r="C20" s="200"/>
      <c r="D20" s="209">
        <v>2024</v>
      </c>
      <c r="E20" s="213" t="str">
        <f>CONCATENATE('CC 2024'!$F$187, " | ", 'CC 2024'!$F$188)</f>
        <v xml:space="preserve"> | </v>
      </c>
      <c r="F20" s="213" t="str">
        <f>CONCATENATE('CC 2024'!$H$187, " | ", 'CC 2024'!$H$188)</f>
        <v xml:space="preserve"> | </v>
      </c>
      <c r="G20" s="213" t="str">
        <f>CONCATENATE('CC 2024'!$K$187, " | ", 'CC 2024'!$K$188)</f>
        <v xml:space="preserve"> | </v>
      </c>
      <c r="H20" s="201"/>
      <c r="I20" s="200"/>
    </row>
    <row r="21" spans="2:9" s="199" customFormat="1" ht="18.75" x14ac:dyDescent="0.3">
      <c r="B21" s="200"/>
      <c r="C21" s="200"/>
      <c r="D21" s="209">
        <v>2025</v>
      </c>
      <c r="E21" s="213" t="str">
        <f>CONCATENATE('CC 2025'!$F$187, " | ", 'CC 2025'!$F$188)</f>
        <v xml:space="preserve"> | </v>
      </c>
      <c r="F21" s="213" t="str">
        <f>CONCATENATE('CC 2025'!$H$187, " | ", 'CC 2025'!$H$188)</f>
        <v xml:space="preserve"> | </v>
      </c>
      <c r="G21" s="213" t="str">
        <f>CONCATENATE('CC 2025'!$K$187, " | ", 'CC 2025'!$K$188)</f>
        <v xml:space="preserve"> | </v>
      </c>
      <c r="H21" s="201"/>
      <c r="I21" s="200"/>
    </row>
    <row r="22" spans="2:9" s="199" customFormat="1" ht="18.75" x14ac:dyDescent="0.3">
      <c r="B22" s="200"/>
      <c r="C22" s="200"/>
      <c r="D22" s="209">
        <v>2026</v>
      </c>
      <c r="E22" s="213" t="str">
        <f>CONCATENATE('CC 2026'!$F$187, " | ", 'CC 2026'!$F$188)</f>
        <v xml:space="preserve"> | </v>
      </c>
      <c r="F22" s="213" t="str">
        <f>CONCATENATE('CC 2026'!$H$187, " | ", 'CC 2026'!$H$188)</f>
        <v xml:space="preserve"> | </v>
      </c>
      <c r="G22" s="213" t="str">
        <f>CONCATENATE('CC 2026'!$K$187, " | ", 'CC 2026'!$K$188)</f>
        <v xml:space="preserve"> | </v>
      </c>
      <c r="H22" s="201"/>
      <c r="I22" s="200"/>
    </row>
    <row r="23" spans="2:9" s="199" customFormat="1" ht="18.75" x14ac:dyDescent="0.3">
      <c r="B23" s="200"/>
      <c r="C23" s="200"/>
      <c r="D23" s="209">
        <v>2027</v>
      </c>
      <c r="E23" s="213" t="str">
        <f>CONCATENATE('CC 2027'!$F$187, " | ", 'CC 2027'!$F$188)</f>
        <v xml:space="preserve"> | </v>
      </c>
      <c r="F23" s="213" t="str">
        <f>CONCATENATE('CC 2027'!$H$187, " | ", 'CC 2027'!$H$188)</f>
        <v xml:space="preserve"> | </v>
      </c>
      <c r="G23" s="213" t="str">
        <f>CONCATENATE('CC 2027'!$K$187, " | ", 'CC 2027'!$K$188)</f>
        <v xml:space="preserve"> | </v>
      </c>
      <c r="H23" s="201"/>
      <c r="I23" s="200"/>
    </row>
    <row r="24" spans="2:9" s="199" customFormat="1" ht="18.75" x14ac:dyDescent="0.3">
      <c r="B24" s="200"/>
      <c r="C24" s="200"/>
      <c r="D24" s="10"/>
      <c r="E24" s="10"/>
      <c r="F24" s="10"/>
      <c r="G24" s="10"/>
      <c r="H24" s="201"/>
      <c r="I24" s="200"/>
    </row>
    <row r="25" spans="2:9" s="199" customFormat="1" ht="18.75" x14ac:dyDescent="0.3">
      <c r="B25" s="200"/>
      <c r="C25" s="200"/>
      <c r="D25" s="201"/>
      <c r="E25" s="201"/>
      <c r="F25" s="201"/>
      <c r="G25" s="201"/>
      <c r="H25" s="201"/>
      <c r="I25" s="200"/>
    </row>
    <row r="26" spans="2:9" s="199" customFormat="1" ht="18.75" x14ac:dyDescent="0.3">
      <c r="B26" s="200"/>
      <c r="C26" s="200"/>
      <c r="D26" s="201"/>
      <c r="E26" s="201"/>
      <c r="F26" s="201"/>
      <c r="G26" s="201"/>
      <c r="H26" s="201"/>
      <c r="I26" s="200"/>
    </row>
    <row r="27" spans="2:9" s="199" customFormat="1" ht="18.75" x14ac:dyDescent="0.3">
      <c r="B27" s="200"/>
      <c r="C27" s="200"/>
      <c r="D27" s="546" t="s">
        <v>232</v>
      </c>
      <c r="E27" s="546"/>
      <c r="F27" s="546"/>
      <c r="G27" s="546"/>
      <c r="H27" s="201"/>
      <c r="I27" s="200"/>
    </row>
    <row r="28" spans="2:9" x14ac:dyDescent="0.25">
      <c r="B28" s="41"/>
      <c r="C28" s="41"/>
      <c r="D28" s="41"/>
      <c r="E28" s="41"/>
      <c r="F28" s="41"/>
      <c r="G28" s="41"/>
      <c r="H28" s="221"/>
      <c r="I28" s="221"/>
    </row>
    <row r="29" spans="2:9" s="203" customFormat="1" ht="15.75" thickBot="1" x14ac:dyDescent="0.3">
      <c r="B29" s="202"/>
      <c r="C29" s="202"/>
      <c r="D29" s="183" t="s">
        <v>228</v>
      </c>
      <c r="E29" s="183" t="s">
        <v>233</v>
      </c>
      <c r="F29" s="183" t="s">
        <v>234</v>
      </c>
      <c r="G29" s="183" t="s">
        <v>235</v>
      </c>
      <c r="H29" s="222"/>
      <c r="I29" s="222"/>
    </row>
    <row r="30" spans="2:9" s="11" customFormat="1" ht="30" hidden="1" customHeight="1" x14ac:dyDescent="0.25">
      <c r="B30" s="10"/>
      <c r="C30" s="10"/>
      <c r="D30" s="182">
        <v>2023</v>
      </c>
      <c r="E30" s="182" t="str">
        <f>'CC 2023'!$F$87</f>
        <v>Talent Acquisition ( 100% fast &amp; successful recruitments ) 2023</v>
      </c>
      <c r="F30" s="179">
        <f>MAX('CC 2023'!$F$92:$G$93)</f>
        <v>0</v>
      </c>
      <c r="G30" s="179">
        <f>MAX('CC 2023'!$F$96:$G$97)</f>
        <v>0</v>
      </c>
      <c r="H30" s="223"/>
      <c r="I30" s="222"/>
    </row>
    <row r="31" spans="2:9" s="11" customFormat="1" ht="30" hidden="1" customHeight="1" x14ac:dyDescent="0.25">
      <c r="B31" s="10"/>
      <c r="C31" s="10"/>
      <c r="D31" s="182">
        <v>2023</v>
      </c>
      <c r="E31" s="182">
        <f>'CC 2023'!$F$99</f>
        <v>0</v>
      </c>
      <c r="F31" s="179">
        <f>MAX('CC 2023'!$F$104:$G$105)</f>
        <v>0</v>
      </c>
      <c r="G31" s="179">
        <f>MAX('CC 2023'!$F$108:$G$109)</f>
        <v>0</v>
      </c>
      <c r="H31" s="223"/>
      <c r="I31" s="222"/>
    </row>
    <row r="32" spans="2:9" s="11" customFormat="1" ht="30" hidden="1" customHeight="1" x14ac:dyDescent="0.25">
      <c r="B32" s="10"/>
      <c r="C32" s="10"/>
      <c r="D32" s="182">
        <v>2023</v>
      </c>
      <c r="E32" s="182">
        <f>'CC 2023'!$F111</f>
        <v>0</v>
      </c>
      <c r="F32" s="179">
        <f>MAX('CC 2023'!$F$116:$G$117)</f>
        <v>0</v>
      </c>
      <c r="G32" s="179">
        <f>MAX('CC 2023'!$F$120:$G$121)</f>
        <v>0</v>
      </c>
      <c r="H32" s="550"/>
      <c r="I32" s="551"/>
    </row>
    <row r="33" spans="2:20" s="11" customFormat="1" ht="30" hidden="1" customHeight="1" x14ac:dyDescent="0.25">
      <c r="B33" s="10"/>
      <c r="C33" s="10"/>
      <c r="D33" s="182">
        <v>2023</v>
      </c>
      <c r="E33" s="182">
        <f>'CC 2023'!$F$123</f>
        <v>0</v>
      </c>
      <c r="F33" s="179">
        <f>MAX('CC 2023'!$F$128:$G$129)</f>
        <v>0</v>
      </c>
      <c r="G33" s="179">
        <f>MAX('CC 2023'!$F$132:$G$133)</f>
        <v>0</v>
      </c>
      <c r="H33" s="223"/>
      <c r="I33" s="223"/>
    </row>
    <row r="34" spans="2:20" s="11" customFormat="1" ht="30" hidden="1" customHeight="1" thickBot="1" x14ac:dyDescent="0.3">
      <c r="B34" s="10"/>
      <c r="C34" s="10"/>
      <c r="D34" s="204">
        <v>2023</v>
      </c>
      <c r="E34" s="204">
        <f>'CC 2023'!$F$135</f>
        <v>0</v>
      </c>
      <c r="F34" s="205">
        <f>MAX('CC 2023'!$F$140:$G$141)</f>
        <v>0</v>
      </c>
      <c r="G34" s="205">
        <f>MAX('CC 2023'!$F$144:$G$145)</f>
        <v>0</v>
      </c>
      <c r="H34" s="223"/>
      <c r="I34" s="223"/>
    </row>
    <row r="35" spans="2:20" s="11" customFormat="1" ht="30" customHeight="1" x14ac:dyDescent="0.25">
      <c r="B35" s="10"/>
      <c r="C35" s="10"/>
      <c r="D35" s="180">
        <v>2024</v>
      </c>
      <c r="E35" s="179"/>
      <c r="F35" s="179">
        <f>MAX('CC 2024'!$F$92:$G$93)</f>
        <v>0</v>
      </c>
      <c r="G35" s="179">
        <f>MAX('CC 2024'!$F$96:$G$97)</f>
        <v>0</v>
      </c>
      <c r="H35" s="223"/>
      <c r="I35" s="223"/>
    </row>
    <row r="36" spans="2:20" s="11" customFormat="1" ht="30" customHeight="1" x14ac:dyDescent="0.25">
      <c r="B36" s="10"/>
      <c r="C36" s="10"/>
      <c r="D36" s="178">
        <v>2024</v>
      </c>
      <c r="E36" s="182" t="str">
        <f>'CC 2024'!$F$99</f>
        <v>Improve NRMS usability</v>
      </c>
      <c r="F36" s="179">
        <f>MAX('CC 2024'!$F$104:$G$105)</f>
        <v>0</v>
      </c>
      <c r="G36" s="179">
        <f>MAX('CC 2024'!$F$108:$G$109)</f>
        <v>0</v>
      </c>
      <c r="H36" s="223"/>
      <c r="I36" s="223"/>
    </row>
    <row r="37" spans="2:20" s="11" customFormat="1" ht="30" customHeight="1" x14ac:dyDescent="0.25">
      <c r="B37" s="10"/>
      <c r="C37" s="10"/>
      <c r="D37" s="178">
        <v>2024</v>
      </c>
      <c r="E37" s="179">
        <f>'CC 2024'!$F116</f>
        <v>0</v>
      </c>
      <c r="F37" s="179">
        <f>MAX('CC 2024'!$F$116:$G$117)</f>
        <v>0</v>
      </c>
      <c r="G37" s="179">
        <f>MAX('CC 2024'!$F$120:$G$121)</f>
        <v>0</v>
      </c>
      <c r="H37" s="223"/>
      <c r="I37" s="223"/>
    </row>
    <row r="38" spans="2:20" s="11" customFormat="1" ht="30" customHeight="1" x14ac:dyDescent="0.25">
      <c r="B38" s="10"/>
      <c r="C38" s="10"/>
      <c r="D38" s="178">
        <v>2024</v>
      </c>
      <c r="E38" s="179" t="str">
        <f>'CC 2024'!$F$123</f>
        <v>Investigate how a chatbot / AI can help NOC operations</v>
      </c>
      <c r="F38" s="179">
        <f>MAX('CC 2024'!$F$128:$G$129)</f>
        <v>0</v>
      </c>
      <c r="G38" s="179">
        <f>MAX('CC 2024'!$F$132:$G$133)</f>
        <v>0</v>
      </c>
      <c r="H38" s="223"/>
      <c r="I38" s="223"/>
    </row>
    <row r="39" spans="2:20" s="11" customFormat="1" ht="30" customHeight="1" x14ac:dyDescent="0.25">
      <c r="B39" s="10"/>
      <c r="C39" s="10"/>
      <c r="D39" s="206">
        <v>2024</v>
      </c>
      <c r="E39" s="204" t="str">
        <f>'CC 2024'!$F$135</f>
        <v xml:space="preserve">Deliver on User Requests </v>
      </c>
      <c r="F39" s="205">
        <f>MAX('CC 2024'!$F$140:$G$141)</f>
        <v>0</v>
      </c>
      <c r="G39" s="205">
        <f>MAX('CC 2024'!$F$144:$G$145)</f>
        <v>0</v>
      </c>
      <c r="H39" s="223"/>
      <c r="I39" s="223"/>
    </row>
    <row r="40" spans="2:20" s="11" customFormat="1" ht="30" hidden="1" customHeight="1" x14ac:dyDescent="0.25">
      <c r="B40" s="10"/>
      <c r="C40" s="10"/>
      <c r="D40" s="180">
        <v>2025</v>
      </c>
      <c r="E40" s="179" t="str">
        <f>'CC 2025'!$F$87</f>
        <v>Support container architecture</v>
      </c>
      <c r="F40" s="179">
        <f>MAX('CC 2025'!$F$92:$G$93)</f>
        <v>0</v>
      </c>
      <c r="G40" s="179">
        <f>MAX('CC 2025'!$F$96:$G$97)</f>
        <v>0</v>
      </c>
      <c r="H40" s="223"/>
      <c r="I40" s="223"/>
      <c r="R40" s="207"/>
    </row>
    <row r="41" spans="2:20" s="11" customFormat="1" ht="30" hidden="1" customHeight="1" x14ac:dyDescent="0.25">
      <c r="B41" s="10"/>
      <c r="C41" s="10"/>
      <c r="D41" s="178">
        <v>2025</v>
      </c>
      <c r="E41" s="182" t="str">
        <f>'CC 2025'!$F$99</f>
        <v>Improve NRMS usability</v>
      </c>
      <c r="F41" s="179">
        <f>MAX('CC 2025'!$F$104:$G$105)</f>
        <v>0</v>
      </c>
      <c r="G41" s="179">
        <f>MAX('CC 2025'!$F$108:$G$109)</f>
        <v>0</v>
      </c>
      <c r="H41" s="223"/>
      <c r="I41" s="223"/>
    </row>
    <row r="42" spans="2:20" s="11" customFormat="1" ht="30" hidden="1" customHeight="1" x14ac:dyDescent="0.25">
      <c r="B42" s="10"/>
      <c r="C42" s="10"/>
      <c r="D42" s="178">
        <v>2025</v>
      </c>
      <c r="E42" s="179">
        <f>'CC 2025'!$F121</f>
        <v>0</v>
      </c>
      <c r="F42" s="179">
        <f>MAX('CC 2025'!$F$116:$G$117)</f>
        <v>0</v>
      </c>
      <c r="G42" s="179">
        <f>MAX('CC 2025'!$F$120:$G$121)</f>
        <v>0</v>
      </c>
      <c r="H42" s="223"/>
      <c r="I42" s="223"/>
    </row>
    <row r="43" spans="2:20" s="11" customFormat="1" ht="30" hidden="1" customHeight="1" x14ac:dyDescent="0.25">
      <c r="B43" s="10"/>
      <c r="C43" s="10"/>
      <c r="D43" s="178">
        <v>2025</v>
      </c>
      <c r="E43" s="179" t="str">
        <f>'CC 2025'!$F$123</f>
        <v>Investigate how a chatbot / AI can help NOC operations</v>
      </c>
      <c r="F43" s="179">
        <f>MAX('CC 2025'!$F$128:$G$129)</f>
        <v>0</v>
      </c>
      <c r="G43" s="179">
        <f>MAX('CC 2025'!$F$132:$G$133)</f>
        <v>0</v>
      </c>
      <c r="H43" s="223"/>
      <c r="I43" s="223"/>
    </row>
    <row r="44" spans="2:20" s="11" customFormat="1" ht="30" hidden="1" customHeight="1" thickBot="1" x14ac:dyDescent="0.3">
      <c r="B44" s="10"/>
      <c r="C44" s="10"/>
      <c r="D44" s="181">
        <v>2025</v>
      </c>
      <c r="E44" s="204" t="str">
        <f>'CC 2025'!$F$135</f>
        <v xml:space="preserve">Deliver on User Requests </v>
      </c>
      <c r="F44" s="205">
        <f>MAX('CC 2025'!$F$140:$G$141)</f>
        <v>0</v>
      </c>
      <c r="G44" s="205">
        <f>MAX('CC 2025'!$F$144:$G$145)</f>
        <v>0</v>
      </c>
      <c r="H44" s="223"/>
      <c r="I44" s="223"/>
    </row>
    <row r="45" spans="2:20" s="11" customFormat="1" ht="30" hidden="1" customHeight="1" x14ac:dyDescent="0.25">
      <c r="B45" s="10"/>
      <c r="C45" s="10"/>
      <c r="D45" s="180">
        <v>2026</v>
      </c>
      <c r="E45" s="179" t="str">
        <f>'CC 2026'!$F$87</f>
        <v>Support container architecture</v>
      </c>
      <c r="F45" s="179">
        <f>MAX('CC 2026'!$F$92:$G$93)</f>
        <v>0</v>
      </c>
      <c r="G45" s="179">
        <f>MAX('CC 2026'!$F$96:$G$97)</f>
        <v>0</v>
      </c>
      <c r="H45" s="223"/>
      <c r="I45" s="223"/>
    </row>
    <row r="46" spans="2:20" s="11" customFormat="1" ht="30" hidden="1" customHeight="1" x14ac:dyDescent="0.25">
      <c r="B46" s="10"/>
      <c r="C46" s="10"/>
      <c r="D46" s="178">
        <v>2026</v>
      </c>
      <c r="E46" s="182" t="str">
        <f>'CC 2026'!$F$99</f>
        <v>Improve NRMS usability</v>
      </c>
      <c r="F46" s="179">
        <f>MAX('CC 2026'!$F$104:$G$105)</f>
        <v>0</v>
      </c>
      <c r="G46" s="179">
        <f>MAX('CC 2026'!$F$108:$G$109)</f>
        <v>0</v>
      </c>
      <c r="H46" s="223"/>
      <c r="I46" s="223"/>
    </row>
    <row r="47" spans="2:20" s="11" customFormat="1" ht="30" hidden="1" customHeight="1" x14ac:dyDescent="0.25">
      <c r="B47" s="10"/>
      <c r="C47" s="10"/>
      <c r="D47" s="178">
        <v>2026</v>
      </c>
      <c r="E47" s="179" t="str">
        <f>'CC 2026'!$F126</f>
        <v>Employee Name</v>
      </c>
      <c r="F47" s="179">
        <f>MAX('CC 2026'!$F$116:$G$117)</f>
        <v>0</v>
      </c>
      <c r="G47" s="179">
        <f>MAX('CC 2026'!$F$120:$G$121)</f>
        <v>0</v>
      </c>
      <c r="H47" s="223"/>
      <c r="I47" s="223"/>
      <c r="N47" s="217"/>
      <c r="O47" s="217"/>
      <c r="T47" s="217"/>
    </row>
    <row r="48" spans="2:20" s="11" customFormat="1" ht="30" hidden="1" customHeight="1" x14ac:dyDescent="0.25">
      <c r="B48" s="10"/>
      <c r="C48" s="10"/>
      <c r="D48" s="178">
        <v>2026</v>
      </c>
      <c r="E48" s="179" t="str">
        <f>'CC 2026'!$F$123</f>
        <v>Investigate how a chatbot / AI can help NOC operations</v>
      </c>
      <c r="F48" s="179">
        <f>MAX('CC 2026'!$F$128:$G$129)</f>
        <v>0</v>
      </c>
      <c r="G48" s="179">
        <f>MAX('CC 2026'!$F$132:$G$133)</f>
        <v>0</v>
      </c>
      <c r="H48" s="223"/>
      <c r="I48" s="223"/>
      <c r="N48" s="217"/>
      <c r="O48" s="217"/>
      <c r="T48" s="217"/>
    </row>
    <row r="49" spans="2:28" s="11" customFormat="1" ht="30" hidden="1" customHeight="1" thickBot="1" x14ac:dyDescent="0.3">
      <c r="B49" s="10"/>
      <c r="C49" s="10"/>
      <c r="D49" s="181">
        <v>2026</v>
      </c>
      <c r="E49" s="204" t="str">
        <f>'CC 2026'!$F$135</f>
        <v xml:space="preserve">Deliver on User Requests </v>
      </c>
      <c r="F49" s="205">
        <f>MAX('CC 2026'!$F$140:$G$141)</f>
        <v>0</v>
      </c>
      <c r="G49" s="205">
        <f>MAX('CC 2026'!$F$144:$G$145)</f>
        <v>0</v>
      </c>
      <c r="H49" s="223"/>
      <c r="I49" s="223"/>
      <c r="N49" s="217"/>
      <c r="O49" s="217"/>
      <c r="T49" s="217"/>
    </row>
    <row r="50" spans="2:28" s="11" customFormat="1" ht="30" hidden="1" customHeight="1" x14ac:dyDescent="0.25">
      <c r="B50" s="10"/>
      <c r="C50" s="10"/>
      <c r="D50" s="208">
        <v>2027</v>
      </c>
      <c r="E50" s="179">
        <f>'CC 2027'!$F$87</f>
        <v>0</v>
      </c>
      <c r="F50" s="179">
        <f>MAX('CC 2027'!$F$92:$G$93)</f>
        <v>0</v>
      </c>
      <c r="G50" s="179">
        <f>MAX('CC 2027'!$F$96:$G$97)</f>
        <v>0</v>
      </c>
      <c r="H50" s="223"/>
      <c r="I50" s="223"/>
      <c r="N50" s="217"/>
      <c r="O50" s="217"/>
      <c r="T50" s="217"/>
    </row>
    <row r="51" spans="2:28" s="11" customFormat="1" ht="30" hidden="1" customHeight="1" x14ac:dyDescent="0.25">
      <c r="B51" s="10"/>
      <c r="C51" s="10"/>
      <c r="D51" s="182">
        <v>2027</v>
      </c>
      <c r="E51" s="182">
        <f>'CC 2027'!$F$99</f>
        <v>0</v>
      </c>
      <c r="F51" s="179">
        <f>MAX('CC 2027'!$F$104:$G$105)</f>
        <v>0</v>
      </c>
      <c r="G51" s="179">
        <f>MAX('CC 2027'!$F$108:$G$109)</f>
        <v>0</v>
      </c>
      <c r="H51" s="223"/>
      <c r="I51" s="223"/>
      <c r="N51" s="217"/>
      <c r="O51" s="217"/>
      <c r="T51" s="217"/>
    </row>
    <row r="52" spans="2:28" s="11" customFormat="1" ht="30" hidden="1" customHeight="1" x14ac:dyDescent="0.25">
      <c r="B52" s="10"/>
      <c r="C52" s="10"/>
      <c r="D52" s="182">
        <v>2027</v>
      </c>
      <c r="E52" s="179" t="str">
        <f>'CC 2027'!$F131</f>
        <v>% accomplished</v>
      </c>
      <c r="F52" s="179">
        <f>MAX('CC 2027'!$F$116:$G$117)</f>
        <v>0</v>
      </c>
      <c r="G52" s="179">
        <f>MAX('CC 2027'!$F$120:$G$121)</f>
        <v>0</v>
      </c>
      <c r="H52" s="223"/>
      <c r="I52" s="223"/>
      <c r="N52" s="217"/>
      <c r="O52" s="217"/>
      <c r="T52" s="217"/>
    </row>
    <row r="53" spans="2:28" s="11" customFormat="1" ht="30" hidden="1" customHeight="1" x14ac:dyDescent="0.25">
      <c r="B53" s="10"/>
      <c r="C53" s="10"/>
      <c r="D53" s="182">
        <v>2027</v>
      </c>
      <c r="E53" s="179">
        <f>'CC 2027'!$F$123</f>
        <v>0</v>
      </c>
      <c r="F53" s="179">
        <f>MAX('CC 2027'!$F$128:$G$129)</f>
        <v>0</v>
      </c>
      <c r="G53" s="179">
        <f>MAX('CC 2027'!$F$132:$G$133)</f>
        <v>0</v>
      </c>
      <c r="H53" s="223"/>
      <c r="I53" s="223"/>
      <c r="N53" s="217"/>
      <c r="O53" s="217"/>
      <c r="T53" s="217"/>
    </row>
    <row r="54" spans="2:28" s="11" customFormat="1" ht="30" hidden="1" customHeight="1" x14ac:dyDescent="0.25">
      <c r="B54" s="10"/>
      <c r="C54" s="10"/>
      <c r="D54" s="182">
        <v>2027</v>
      </c>
      <c r="E54" s="204">
        <f>'CC 2027'!$F$135</f>
        <v>0</v>
      </c>
      <c r="F54" s="205">
        <f>MAX('CC 2027'!$F$140:$G$141)</f>
        <v>0</v>
      </c>
      <c r="G54" s="205">
        <f>MAX('CC 2027'!$F$144:$G$145)</f>
        <v>0</v>
      </c>
      <c r="H54" s="223"/>
      <c r="I54" s="223"/>
      <c r="N54" s="217"/>
      <c r="O54" s="217"/>
      <c r="T54" s="217"/>
    </row>
    <row r="55" spans="2:28" s="11" customFormat="1" ht="30" customHeight="1" x14ac:dyDescent="0.25">
      <c r="B55" s="10"/>
      <c r="C55" s="10"/>
      <c r="D55" s="10"/>
      <c r="E55" s="10"/>
      <c r="F55" s="10"/>
      <c r="G55" s="10"/>
      <c r="H55" s="223"/>
      <c r="I55" s="223"/>
      <c r="N55" s="217"/>
      <c r="O55" s="217"/>
      <c r="T55" s="217"/>
    </row>
    <row r="56" spans="2:28" s="11" customFormat="1" ht="30" customHeight="1" x14ac:dyDescent="0.25">
      <c r="B56" s="10"/>
      <c r="C56" s="10"/>
      <c r="D56" s="10"/>
      <c r="E56" s="10"/>
      <c r="F56" s="10"/>
      <c r="G56" s="10"/>
      <c r="H56" s="222"/>
      <c r="I56" s="223"/>
      <c r="N56" s="217"/>
      <c r="O56" s="217"/>
      <c r="P56" s="217"/>
      <c r="Q56" s="217"/>
      <c r="R56" s="217"/>
      <c r="S56" s="217"/>
      <c r="T56" s="217"/>
      <c r="U56" s="217"/>
      <c r="V56" s="217"/>
      <c r="W56" s="217"/>
      <c r="X56" s="217"/>
      <c r="Y56" s="217"/>
      <c r="Z56" s="217"/>
      <c r="AA56" s="217"/>
      <c r="AB56" s="217"/>
    </row>
    <row r="57" spans="2:28" s="11" customFormat="1" ht="66.75" customHeight="1" x14ac:dyDescent="0.25">
      <c r="B57" s="10"/>
      <c r="C57" s="10"/>
      <c r="D57" s="10"/>
      <c r="E57" s="10"/>
      <c r="F57" s="216" t="s">
        <v>236</v>
      </c>
      <c r="G57" s="10"/>
      <c r="H57" s="223"/>
      <c r="I57" s="223"/>
      <c r="N57" s="217"/>
      <c r="O57" s="217"/>
      <c r="P57" s="217"/>
      <c r="Q57" s="217"/>
      <c r="R57" s="217"/>
      <c r="S57" s="217"/>
      <c r="T57" s="217"/>
      <c r="U57" s="217"/>
      <c r="V57" s="217"/>
      <c r="W57" s="217"/>
      <c r="X57" s="217"/>
      <c r="Y57" s="217"/>
      <c r="Z57" s="217"/>
      <c r="AA57" s="217"/>
      <c r="AB57" s="217"/>
    </row>
    <row r="58" spans="2:28" s="11" customFormat="1" ht="13.5" customHeight="1" x14ac:dyDescent="0.25">
      <c r="B58" s="10"/>
      <c r="C58" s="10"/>
      <c r="D58" s="10"/>
      <c r="E58" s="10"/>
      <c r="F58" s="220" t="s">
        <v>237</v>
      </c>
      <c r="G58" s="10"/>
      <c r="H58" s="10"/>
      <c r="I58" s="10"/>
      <c r="N58" s="217"/>
      <c r="O58" s="217"/>
      <c r="P58" s="217" t="s">
        <v>238</v>
      </c>
      <c r="Q58" s="217">
        <v>33.33</v>
      </c>
      <c r="R58" s="217"/>
      <c r="S58" s="217"/>
      <c r="T58" s="217"/>
      <c r="U58" s="217"/>
      <c r="V58" s="217"/>
      <c r="W58" s="217"/>
      <c r="X58" s="217"/>
      <c r="Y58" s="217"/>
      <c r="Z58" s="217"/>
      <c r="AA58" s="217"/>
      <c r="AB58" s="217"/>
    </row>
    <row r="59" spans="2:28" s="11" customFormat="1" ht="13.5" customHeight="1" x14ac:dyDescent="0.25">
      <c r="B59" s="10"/>
      <c r="C59" s="10"/>
      <c r="D59" s="10"/>
      <c r="E59" s="10"/>
      <c r="F59" s="10"/>
      <c r="G59" s="10"/>
      <c r="H59" s="10"/>
      <c r="I59" s="10"/>
      <c r="N59" s="217"/>
      <c r="O59" s="217"/>
      <c r="P59" s="217" t="s">
        <v>239</v>
      </c>
      <c r="Q59" s="217">
        <v>33.33</v>
      </c>
      <c r="R59" s="217"/>
      <c r="S59" s="217"/>
      <c r="T59" s="217"/>
      <c r="U59" s="217"/>
      <c r="V59" s="217"/>
      <c r="W59" s="217"/>
      <c r="X59" s="217"/>
      <c r="Y59" s="217"/>
      <c r="Z59" s="217"/>
      <c r="AA59" s="217"/>
      <c r="AB59" s="217"/>
    </row>
    <row r="60" spans="2:28" s="11" customFormat="1" ht="13.5" customHeight="1" x14ac:dyDescent="0.25">
      <c r="B60" s="10"/>
      <c r="C60" s="10"/>
      <c r="D60" s="10"/>
      <c r="E60" s="10"/>
      <c r="F60" s="10"/>
      <c r="G60" s="10"/>
      <c r="H60" s="10"/>
      <c r="I60" s="10"/>
      <c r="N60" s="217"/>
      <c r="O60" s="217"/>
      <c r="P60" s="217" t="s">
        <v>240</v>
      </c>
      <c r="Q60" s="217">
        <v>33.33</v>
      </c>
      <c r="R60" s="217"/>
      <c r="S60" s="217"/>
      <c r="T60" s="217"/>
      <c r="U60" s="217" t="e">
        <f ca="1">INDEX(Table4[Manager], MATCH(YEAR(TODAY()), Table4[Year], 0))</f>
        <v>#DIV/0!</v>
      </c>
      <c r="V60" s="217"/>
      <c r="W60" s="217"/>
      <c r="X60" s="217"/>
      <c r="Y60" s="217"/>
      <c r="Z60" s="217"/>
      <c r="AA60" s="217"/>
      <c r="AB60" s="217"/>
    </row>
    <row r="61" spans="2:28" s="11" customFormat="1" ht="13.5" customHeight="1" x14ac:dyDescent="0.25">
      <c r="B61" s="10"/>
      <c r="C61" s="10"/>
      <c r="D61" s="10"/>
      <c r="E61" s="10"/>
      <c r="F61" s="10"/>
      <c r="G61" s="10"/>
      <c r="H61" s="10"/>
      <c r="I61" s="10"/>
      <c r="N61" s="217"/>
      <c r="O61" s="217"/>
      <c r="P61" s="217" t="s">
        <v>241</v>
      </c>
      <c r="Q61" s="217">
        <v>100</v>
      </c>
      <c r="R61" s="217"/>
      <c r="S61" s="217"/>
      <c r="T61" s="217"/>
      <c r="U61" s="217" t="s">
        <v>242</v>
      </c>
      <c r="V61" s="217" t="s">
        <v>106</v>
      </c>
      <c r="W61" s="217" t="s">
        <v>107</v>
      </c>
      <c r="X61" s="217"/>
      <c r="Y61" s="217"/>
      <c r="Z61" s="217"/>
      <c r="AA61" s="217"/>
      <c r="AB61" s="217"/>
    </row>
    <row r="62" spans="2:28" ht="13.5" customHeight="1" x14ac:dyDescent="0.25">
      <c r="B62" s="10"/>
      <c r="C62" s="10"/>
      <c r="D62" s="41"/>
      <c r="E62" s="10"/>
      <c r="F62" s="10"/>
      <c r="G62" s="10"/>
      <c r="H62" s="41"/>
      <c r="I62" s="41"/>
      <c r="N62" s="184"/>
      <c r="O62" s="184"/>
      <c r="P62" s="217"/>
      <c r="Q62" s="217"/>
      <c r="R62" s="217"/>
      <c r="S62" s="184"/>
      <c r="T62" s="184"/>
      <c r="U62" s="217">
        <v>2023</v>
      </c>
      <c r="V62" s="217" t="e">
        <f>AVERAGEIF(F30:F34,"&lt;&gt;0")</f>
        <v>#DIV/0!</v>
      </c>
      <c r="W62" s="217" t="e">
        <f>AVERAGEIF(G30:G34,"&lt;&gt;0")</f>
        <v>#DIV/0!</v>
      </c>
      <c r="X62" s="184"/>
      <c r="Y62" s="184"/>
      <c r="Z62" s="184"/>
      <c r="AA62" s="184"/>
      <c r="AB62" s="184"/>
    </row>
    <row r="63" spans="2:28" ht="13.5" customHeight="1" x14ac:dyDescent="0.25">
      <c r="B63" s="10"/>
      <c r="C63" s="10"/>
      <c r="D63" s="41"/>
      <c r="E63" s="10"/>
      <c r="F63" s="10"/>
      <c r="G63" s="10"/>
      <c r="H63" s="41"/>
      <c r="I63" s="41"/>
      <c r="N63" s="184"/>
      <c r="O63" s="184"/>
      <c r="P63" s="217" t="s">
        <v>243</v>
      </c>
      <c r="Q63" s="217" t="e">
        <f ca="1">120*U60</f>
        <v>#DIV/0!</v>
      </c>
      <c r="R63" s="217"/>
      <c r="S63" s="184"/>
      <c r="T63" s="184"/>
      <c r="U63" s="217">
        <v>2024</v>
      </c>
      <c r="V63" s="217" t="e">
        <f>AVERAGEIF(F35:F39,"&lt;&gt;0")</f>
        <v>#DIV/0!</v>
      </c>
      <c r="W63" s="217" t="e">
        <f>AVERAGEIF(G35:G39,"&lt;&gt;0")</f>
        <v>#DIV/0!</v>
      </c>
      <c r="X63" s="184"/>
      <c r="Y63" s="184"/>
      <c r="Z63" s="184"/>
      <c r="AA63" s="184"/>
      <c r="AB63" s="184"/>
    </row>
    <row r="64" spans="2:28" ht="12" customHeight="1" x14ac:dyDescent="0.25">
      <c r="B64" s="10"/>
      <c r="C64" s="10"/>
      <c r="D64" s="41"/>
      <c r="E64" s="41"/>
      <c r="F64" s="41"/>
      <c r="G64" s="41"/>
      <c r="H64" s="41"/>
      <c r="I64" s="41"/>
      <c r="N64" s="184"/>
      <c r="O64" s="184"/>
      <c r="P64" s="217" t="s">
        <v>243</v>
      </c>
      <c r="Q64" s="217">
        <v>2</v>
      </c>
      <c r="R64" s="217"/>
      <c r="S64" s="184"/>
      <c r="T64" s="184"/>
      <c r="U64" s="217">
        <v>2025</v>
      </c>
      <c r="V64" s="217" t="e">
        <f>AVERAGEIF(F40:F44,"&lt;&gt;0")</f>
        <v>#DIV/0!</v>
      </c>
      <c r="W64" s="217" t="e">
        <f>AVERAGEIF(G40:G44,"&lt;&gt;0")</f>
        <v>#DIV/0!</v>
      </c>
      <c r="X64" s="184"/>
      <c r="Y64" s="184"/>
      <c r="Z64" s="184"/>
      <c r="AA64" s="184"/>
      <c r="AB64" s="184"/>
    </row>
    <row r="65" spans="2:28" x14ac:dyDescent="0.25">
      <c r="B65" s="10"/>
      <c r="C65" s="10"/>
      <c r="D65" s="41"/>
      <c r="E65" s="41"/>
      <c r="F65" s="41"/>
      <c r="G65" s="41"/>
      <c r="H65" s="41"/>
      <c r="I65" s="41"/>
      <c r="N65" s="184"/>
      <c r="O65" s="184"/>
      <c r="P65" s="217" t="s">
        <v>244</v>
      </c>
      <c r="Q65" s="217">
        <v>123</v>
      </c>
      <c r="R65" s="217"/>
      <c r="S65" s="184"/>
      <c r="T65" s="184"/>
      <c r="U65" s="217">
        <v>2026</v>
      </c>
      <c r="V65" s="217" t="e">
        <f>AVERAGEIF(F45:F49,"&lt;&gt;0")</f>
        <v>#DIV/0!</v>
      </c>
      <c r="W65" s="217" t="e">
        <f>AVERAGEIF(G45:G49,"&lt;&gt;0")</f>
        <v>#DIV/0!</v>
      </c>
      <c r="X65" s="184"/>
      <c r="Y65" s="184"/>
      <c r="Z65" s="184"/>
      <c r="AA65" s="184"/>
      <c r="AB65" s="184"/>
    </row>
    <row r="66" spans="2:28" x14ac:dyDescent="0.25">
      <c r="B66" s="41"/>
      <c r="C66" s="41"/>
      <c r="D66" s="41"/>
      <c r="E66" s="41"/>
      <c r="F66" s="41"/>
      <c r="G66" s="41"/>
      <c r="H66" s="41"/>
      <c r="I66" s="41"/>
      <c r="N66" s="184"/>
      <c r="O66" s="184"/>
      <c r="P66" s="217"/>
      <c r="Q66" s="217"/>
      <c r="R66" s="217"/>
      <c r="S66" s="184"/>
      <c r="T66" s="184"/>
      <c r="U66" s="217">
        <v>2027</v>
      </c>
      <c r="V66" s="217" t="e">
        <f>AVERAGEIF(F50:F54,"&lt;&gt;0")</f>
        <v>#DIV/0!</v>
      </c>
      <c r="W66" s="217" t="e">
        <f>AVERAGEIF(G50:G54,"&lt;&gt;0")</f>
        <v>#DIV/0!</v>
      </c>
      <c r="X66" s="184"/>
      <c r="Y66" s="184"/>
      <c r="Z66" s="184"/>
      <c r="AA66" s="184"/>
      <c r="AB66" s="184"/>
    </row>
    <row r="67" spans="2:28" ht="18.75" x14ac:dyDescent="0.3">
      <c r="B67" s="41"/>
      <c r="C67" s="41"/>
      <c r="D67" s="546" t="s">
        <v>245</v>
      </c>
      <c r="E67" s="546"/>
      <c r="F67" s="546"/>
      <c r="G67" s="546"/>
      <c r="H67" s="546"/>
      <c r="I67" s="41"/>
      <c r="O67" s="184"/>
      <c r="P67" s="184"/>
      <c r="Q67" s="184"/>
      <c r="R67" s="184"/>
      <c r="S67" s="184"/>
      <c r="T67" s="184"/>
      <c r="U67" s="184"/>
      <c r="V67" s="184"/>
      <c r="W67" s="184"/>
      <c r="X67" s="184"/>
      <c r="Y67" s="184"/>
      <c r="Z67" s="184"/>
      <c r="AA67" s="184"/>
      <c r="AB67" s="184"/>
    </row>
    <row r="68" spans="2:28" x14ac:dyDescent="0.25">
      <c r="B68" s="41"/>
      <c r="C68" s="41"/>
      <c r="D68" s="41"/>
      <c r="E68" s="41"/>
      <c r="F68" s="41"/>
      <c r="G68" s="41"/>
      <c r="H68" s="41"/>
      <c r="I68" s="41"/>
      <c r="O68" s="184"/>
      <c r="P68" s="184"/>
      <c r="Q68" s="184"/>
      <c r="R68" s="184"/>
      <c r="S68" s="184"/>
      <c r="T68" s="184"/>
      <c r="U68" s="184"/>
      <c r="V68" s="184"/>
      <c r="W68" s="184"/>
      <c r="X68" s="184"/>
      <c r="Y68" s="184"/>
      <c r="Z68" s="184"/>
      <c r="AA68" s="184"/>
      <c r="AB68" s="184"/>
    </row>
    <row r="69" spans="2:28" x14ac:dyDescent="0.25">
      <c r="B69" s="41"/>
      <c r="C69" s="41"/>
      <c r="D69" s="183" t="s">
        <v>228</v>
      </c>
      <c r="E69" s="183" t="s">
        <v>62</v>
      </c>
      <c r="F69" s="183" t="s">
        <v>65</v>
      </c>
      <c r="G69" s="183" t="s">
        <v>246</v>
      </c>
      <c r="H69" s="183" t="s">
        <v>247</v>
      </c>
      <c r="I69" s="41"/>
      <c r="O69" s="184"/>
      <c r="P69" s="184"/>
      <c r="Q69" s="184"/>
      <c r="R69" s="184"/>
      <c r="S69" s="184"/>
      <c r="T69" s="184"/>
      <c r="U69" s="184"/>
      <c r="V69" s="184"/>
      <c r="W69" s="184"/>
      <c r="X69" s="184"/>
      <c r="Y69" s="184"/>
      <c r="Z69" s="184"/>
      <c r="AA69" s="184"/>
      <c r="AB69" s="184"/>
    </row>
    <row r="70" spans="2:28" x14ac:dyDescent="0.25">
      <c r="B70" s="41"/>
      <c r="C70" s="41"/>
      <c r="D70" s="209">
        <v>2023</v>
      </c>
      <c r="E70" s="210">
        <f>MAX('CC 2023'!$F$155:$F$157)</f>
        <v>0</v>
      </c>
      <c r="F70" s="210">
        <f>MAX('CC 2023'!$F$160:$F$162)</f>
        <v>0</v>
      </c>
      <c r="G70" s="210">
        <f>MAX('CC 2023'!$F$165:$F$167)</f>
        <v>0</v>
      </c>
      <c r="H70" s="210">
        <f>MAX('CC 2023'!$F$170:$F$172)</f>
        <v>0</v>
      </c>
      <c r="I70" s="41"/>
      <c r="O70" s="184"/>
      <c r="P70" s="184"/>
      <c r="Q70" s="184"/>
      <c r="R70" s="184"/>
      <c r="S70" s="184"/>
      <c r="T70" s="184"/>
      <c r="U70" s="184"/>
      <c r="V70" s="184"/>
      <c r="W70" s="184"/>
      <c r="X70" s="184"/>
      <c r="Y70" s="184"/>
      <c r="Z70" s="184"/>
      <c r="AA70" s="184"/>
      <c r="AB70" s="184"/>
    </row>
    <row r="71" spans="2:28" x14ac:dyDescent="0.25">
      <c r="B71" s="41"/>
      <c r="C71" s="41"/>
      <c r="D71" s="209">
        <v>2024</v>
      </c>
      <c r="E71" s="210">
        <f>MAX('CC 2024'!$F$155:$F$157)</f>
        <v>0</v>
      </c>
      <c r="F71" s="210">
        <f>MAX('CC 2024'!$F$160:$F$162)</f>
        <v>0</v>
      </c>
      <c r="G71" s="210">
        <f>MAX('CC 2024'!$F$165:$F$167)</f>
        <v>0</v>
      </c>
      <c r="H71" s="210">
        <f>MAX('CC 2024'!$F$170:$F$172)</f>
        <v>0</v>
      </c>
      <c r="I71" s="41"/>
      <c r="O71" s="184"/>
      <c r="P71" s="184"/>
      <c r="Q71" s="184"/>
      <c r="R71" s="184"/>
      <c r="S71" s="184"/>
      <c r="T71" s="184"/>
      <c r="U71" s="184"/>
      <c r="V71" s="184"/>
      <c r="W71" s="184"/>
      <c r="X71" s="184"/>
      <c r="Y71" s="184"/>
      <c r="Z71" s="184"/>
      <c r="AA71" s="184"/>
      <c r="AB71" s="184"/>
    </row>
    <row r="72" spans="2:28" x14ac:dyDescent="0.25">
      <c r="B72" s="41"/>
      <c r="C72" s="41"/>
      <c r="D72" s="209">
        <v>2025</v>
      </c>
      <c r="E72" s="210">
        <f>MAX('CC 2025'!$F$155:$F$157)</f>
        <v>0</v>
      </c>
      <c r="F72" s="210">
        <f>MAX('CC 2025'!$F$160:$F$162)</f>
        <v>0</v>
      </c>
      <c r="G72" s="210">
        <f>MAX('CC 2025'!$F$165:$F$167)</f>
        <v>0</v>
      </c>
      <c r="H72" s="210">
        <f>MAX('CC 2025'!$F$170:$F$172)</f>
        <v>0</v>
      </c>
      <c r="I72" s="41"/>
      <c r="O72" s="184"/>
      <c r="P72" s="184"/>
      <c r="Q72" s="184"/>
      <c r="R72" s="184"/>
      <c r="S72" s="184"/>
      <c r="T72" s="184"/>
      <c r="U72" s="184"/>
      <c r="V72" s="184"/>
      <c r="W72" s="184"/>
      <c r="X72" s="184"/>
      <c r="Y72" s="184"/>
      <c r="Z72" s="184"/>
      <c r="AA72" s="184"/>
      <c r="AB72" s="184"/>
    </row>
    <row r="73" spans="2:28" x14ac:dyDescent="0.25">
      <c r="B73" s="41"/>
      <c r="C73" s="41"/>
      <c r="D73" s="209">
        <v>2026</v>
      </c>
      <c r="E73" s="210">
        <f>MAX('CC 2026'!$F$155:$F$157)</f>
        <v>0</v>
      </c>
      <c r="F73" s="210">
        <f>MAX('CC 2026'!$F$160:$F$162)</f>
        <v>0</v>
      </c>
      <c r="G73" s="210">
        <f>MAX('CC 2026'!$F$165:$F$167)</f>
        <v>0</v>
      </c>
      <c r="H73" s="210">
        <f>MAX('CC 2026'!$F$170:$F$172)</f>
        <v>0</v>
      </c>
      <c r="I73" s="41"/>
      <c r="O73" s="184"/>
      <c r="P73" s="184"/>
      <c r="Q73" s="184"/>
      <c r="R73" s="184"/>
      <c r="S73" s="184"/>
      <c r="T73" s="184"/>
      <c r="U73" s="184"/>
      <c r="V73" s="184"/>
      <c r="W73" s="184"/>
      <c r="X73" s="184"/>
      <c r="Y73" s="184"/>
      <c r="Z73" s="184"/>
      <c r="AA73" s="184"/>
      <c r="AB73" s="184"/>
    </row>
    <row r="74" spans="2:28" x14ac:dyDescent="0.25">
      <c r="B74" s="41"/>
      <c r="C74" s="41"/>
      <c r="D74" s="209">
        <v>2027</v>
      </c>
      <c r="E74" s="210">
        <f>MAX('CC 2027'!$F$155:$F$157)</f>
        <v>0</v>
      </c>
      <c r="F74" s="210">
        <f>MAX('CC 2027'!$F$160:$F$162)</f>
        <v>0</v>
      </c>
      <c r="G74" s="210">
        <f>MAX('CC 2027'!$F$165:$F$167)</f>
        <v>0</v>
      </c>
      <c r="H74" s="210">
        <f>MAX('CC 2027'!$F$170:$F$172)</f>
        <v>0</v>
      </c>
      <c r="I74" s="41"/>
      <c r="O74" s="184"/>
      <c r="P74" s="184"/>
      <c r="Q74" s="184"/>
      <c r="R74" s="184"/>
      <c r="S74" s="184"/>
      <c r="T74" s="184"/>
      <c r="U74" s="184"/>
      <c r="V74" s="184"/>
      <c r="W74" s="184"/>
      <c r="X74" s="184"/>
      <c r="Y74" s="184"/>
      <c r="Z74" s="184"/>
      <c r="AA74" s="184"/>
      <c r="AB74" s="184"/>
    </row>
    <row r="75" spans="2:28" x14ac:dyDescent="0.25">
      <c r="B75" s="41"/>
      <c r="C75" s="41"/>
      <c r="D75" s="41"/>
      <c r="E75" s="41"/>
      <c r="F75" s="41"/>
      <c r="G75" s="41"/>
      <c r="H75" s="41"/>
      <c r="I75" s="41"/>
      <c r="O75" s="184"/>
      <c r="P75" s="184"/>
      <c r="Q75" s="184"/>
      <c r="R75" s="184"/>
      <c r="S75" s="184"/>
      <c r="T75" s="184"/>
      <c r="U75" s="184"/>
      <c r="V75" s="184"/>
      <c r="W75" s="184"/>
      <c r="X75" s="184"/>
      <c r="Y75" s="184"/>
      <c r="Z75" s="184"/>
      <c r="AA75" s="184"/>
      <c r="AB75" s="184"/>
    </row>
    <row r="76" spans="2:28" x14ac:dyDescent="0.25">
      <c r="B76" s="41"/>
      <c r="C76" s="41"/>
      <c r="D76" s="41"/>
      <c r="E76" s="41"/>
      <c r="F76" s="41"/>
      <c r="G76" s="41"/>
      <c r="H76" s="221"/>
      <c r="I76" s="41"/>
      <c r="O76" s="184"/>
      <c r="P76" s="184"/>
      <c r="Q76" s="184"/>
      <c r="R76" s="184"/>
      <c r="S76" s="184"/>
      <c r="T76" s="184"/>
      <c r="U76" s="184"/>
      <c r="V76" s="184"/>
      <c r="W76" s="184"/>
      <c r="X76" s="184"/>
      <c r="Y76" s="184"/>
      <c r="Z76" s="184"/>
      <c r="AA76" s="184"/>
      <c r="AB76" s="184"/>
    </row>
    <row r="77" spans="2:28" x14ac:dyDescent="0.25">
      <c r="B77" s="41"/>
      <c r="C77" s="41"/>
      <c r="D77" s="41"/>
      <c r="E77" s="41"/>
      <c r="F77" s="41"/>
      <c r="G77" s="41"/>
      <c r="H77" s="41"/>
      <c r="I77" s="41"/>
    </row>
    <row r="78" spans="2:28" x14ac:dyDescent="0.25">
      <c r="B78" s="41"/>
      <c r="C78" s="41"/>
      <c r="D78" s="41"/>
      <c r="E78" s="41"/>
      <c r="F78" s="41"/>
      <c r="G78" s="41"/>
      <c r="H78" s="41"/>
      <c r="I78" s="41"/>
    </row>
    <row r="79" spans="2:28" x14ac:dyDescent="0.25">
      <c r="B79" s="41"/>
      <c r="C79" s="41"/>
      <c r="D79" s="41"/>
      <c r="E79" s="41"/>
      <c r="F79" s="41"/>
      <c r="G79" s="41"/>
      <c r="H79" s="41"/>
      <c r="I79" s="41"/>
    </row>
    <row r="80" spans="2:28" ht="18.75" x14ac:dyDescent="0.3">
      <c r="B80" s="41"/>
      <c r="C80" s="41"/>
      <c r="D80" s="546" t="s">
        <v>248</v>
      </c>
      <c r="E80" s="546"/>
      <c r="F80" s="546"/>
      <c r="G80" s="41"/>
      <c r="H80" s="41"/>
      <c r="I80" s="41"/>
    </row>
    <row r="81" spans="2:9" x14ac:dyDescent="0.25">
      <c r="B81" s="41"/>
      <c r="C81" s="41"/>
      <c r="D81" s="41"/>
      <c r="E81" s="41"/>
      <c r="F81" s="41"/>
      <c r="G81" s="41"/>
      <c r="H81" s="41"/>
      <c r="I81" s="41"/>
    </row>
    <row r="82" spans="2:9" x14ac:dyDescent="0.25">
      <c r="B82" s="41"/>
      <c r="C82" s="41"/>
      <c r="D82" s="183" t="s">
        <v>228</v>
      </c>
      <c r="E82" s="183" t="s">
        <v>249</v>
      </c>
      <c r="F82" s="183" t="s">
        <v>250</v>
      </c>
      <c r="G82" s="41"/>
      <c r="H82" s="41"/>
      <c r="I82" s="41"/>
    </row>
    <row r="83" spans="2:9" ht="20.100000000000001" customHeight="1" x14ac:dyDescent="0.25">
      <c r="B83" s="41"/>
      <c r="C83" s="41"/>
      <c r="D83" s="209">
        <v>2023</v>
      </c>
      <c r="E83" s="209">
        <f>'CC 2023'!$E$73</f>
        <v>0</v>
      </c>
      <c r="F83" s="211">
        <f>'CC 2023'!$K$73</f>
        <v>0</v>
      </c>
      <c r="G83" s="41"/>
      <c r="H83" s="221"/>
      <c r="I83" s="41"/>
    </row>
    <row r="84" spans="2:9" ht="20.100000000000001" customHeight="1" x14ac:dyDescent="0.25">
      <c r="B84" s="41"/>
      <c r="C84" s="41"/>
      <c r="D84" s="209">
        <v>2023</v>
      </c>
      <c r="E84" s="209">
        <f>'CC 2023'!$E$74</f>
        <v>0</v>
      </c>
      <c r="F84" s="211">
        <f>'CC 2023'!$J$74</f>
        <v>0</v>
      </c>
      <c r="G84" s="41"/>
      <c r="H84" s="41"/>
      <c r="I84" s="41"/>
    </row>
    <row r="85" spans="2:9" ht="20.100000000000001" customHeight="1" x14ac:dyDescent="0.25">
      <c r="B85" s="41"/>
      <c r="C85" s="41"/>
      <c r="D85" s="209">
        <v>2023</v>
      </c>
      <c r="E85" s="209">
        <f>'CC 2023'!$E$75</f>
        <v>0</v>
      </c>
      <c r="F85" s="211">
        <f>'CC 2023'!$K$75</f>
        <v>0</v>
      </c>
      <c r="G85" s="41"/>
      <c r="H85" s="41"/>
      <c r="I85" s="41"/>
    </row>
    <row r="86" spans="2:9" ht="20.100000000000001" customHeight="1" x14ac:dyDescent="0.25">
      <c r="B86" s="41"/>
      <c r="C86" s="41"/>
      <c r="D86" s="209">
        <v>2023</v>
      </c>
      <c r="E86" s="209">
        <f>'CC 2023'!$E$76</f>
        <v>0</v>
      </c>
      <c r="F86" s="211">
        <f>'CC 2023'!$K$76</f>
        <v>0</v>
      </c>
      <c r="G86" s="41"/>
      <c r="H86" s="41"/>
      <c r="I86" s="41"/>
    </row>
    <row r="87" spans="2:9" ht="20.100000000000001" customHeight="1" x14ac:dyDescent="0.25">
      <c r="B87" s="41"/>
      <c r="C87" s="41"/>
      <c r="D87" s="209">
        <v>2023</v>
      </c>
      <c r="E87" s="209">
        <f>'CC 2023'!$E$77</f>
        <v>0</v>
      </c>
      <c r="F87" s="211">
        <f>'CC 2023'!$K$77</f>
        <v>0</v>
      </c>
      <c r="G87" s="41"/>
      <c r="H87" s="41"/>
      <c r="I87" s="41"/>
    </row>
    <row r="88" spans="2:9" ht="20.100000000000001" customHeight="1" x14ac:dyDescent="0.25">
      <c r="B88" s="41"/>
      <c r="C88" s="41"/>
      <c r="D88" s="209">
        <v>2023</v>
      </c>
      <c r="E88" s="209">
        <f>'CC 2023'!$E$78</f>
        <v>0</v>
      </c>
      <c r="F88" s="211">
        <f>'CC 2023'!$K$78</f>
        <v>0</v>
      </c>
      <c r="G88" s="41"/>
      <c r="H88" s="41"/>
      <c r="I88" s="41"/>
    </row>
    <row r="89" spans="2:9" ht="20.100000000000001" customHeight="1" x14ac:dyDescent="0.25">
      <c r="B89" s="41"/>
      <c r="C89" s="41"/>
      <c r="D89" s="209">
        <v>2023</v>
      </c>
      <c r="E89" s="209">
        <f>'CC 2023'!$E$79</f>
        <v>0</v>
      </c>
      <c r="F89" s="211">
        <f>'CC 2023'!$K$79</f>
        <v>0</v>
      </c>
      <c r="G89" s="41"/>
      <c r="H89" s="41"/>
      <c r="I89" s="41"/>
    </row>
    <row r="90" spans="2:9" ht="20.100000000000001" customHeight="1" x14ac:dyDescent="0.25">
      <c r="B90" s="41"/>
      <c r="C90" s="41"/>
      <c r="D90" s="209">
        <v>2023</v>
      </c>
      <c r="E90" s="209">
        <f>'CC 2023'!$E$80</f>
        <v>0</v>
      </c>
      <c r="F90" s="211">
        <f>'CC 2023'!$K$80</f>
        <v>0</v>
      </c>
      <c r="G90" s="41"/>
      <c r="H90" s="41"/>
      <c r="I90" s="41"/>
    </row>
    <row r="91" spans="2:9" ht="20.100000000000001" customHeight="1" x14ac:dyDescent="0.25">
      <c r="B91" s="41"/>
      <c r="C91" s="41"/>
      <c r="D91" s="209">
        <v>2024</v>
      </c>
      <c r="E91" s="209">
        <f>'CC 2024'!$E$73</f>
        <v>0</v>
      </c>
      <c r="F91" s="211">
        <f>'CC 2024'!$K$73</f>
        <v>0</v>
      </c>
      <c r="G91" s="41"/>
      <c r="H91" s="41"/>
      <c r="I91" s="41"/>
    </row>
    <row r="92" spans="2:9" ht="20.100000000000001" customHeight="1" x14ac:dyDescent="0.25">
      <c r="B92" s="41"/>
      <c r="C92" s="41"/>
      <c r="D92" s="209">
        <v>2024</v>
      </c>
      <c r="E92" s="209">
        <f>'CC 2024'!$E$74</f>
        <v>0</v>
      </c>
      <c r="F92" s="211">
        <f>'CC 2024'!$K$74</f>
        <v>0</v>
      </c>
      <c r="G92" s="41"/>
      <c r="H92" s="41"/>
      <c r="I92" s="41"/>
    </row>
    <row r="93" spans="2:9" ht="20.100000000000001" customHeight="1" x14ac:dyDescent="0.25">
      <c r="B93" s="41"/>
      <c r="C93" s="41"/>
      <c r="D93" s="209">
        <v>2024</v>
      </c>
      <c r="E93" s="209">
        <f>'CC 2024'!$E$75</f>
        <v>0</v>
      </c>
      <c r="F93" s="211">
        <f>'CC 2024'!$K$75</f>
        <v>0</v>
      </c>
      <c r="G93" s="41"/>
      <c r="H93" s="41"/>
      <c r="I93" s="41"/>
    </row>
    <row r="94" spans="2:9" ht="20.100000000000001" customHeight="1" x14ac:dyDescent="0.25">
      <c r="B94" s="41"/>
      <c r="C94" s="41"/>
      <c r="D94" s="209">
        <v>2024</v>
      </c>
      <c r="E94" s="209">
        <f>'CC 2024'!$E$76</f>
        <v>0</v>
      </c>
      <c r="F94" s="211">
        <f>'CC 2024'!$K$76</f>
        <v>0</v>
      </c>
      <c r="G94" s="41"/>
      <c r="H94" s="41"/>
      <c r="I94" s="41"/>
    </row>
    <row r="95" spans="2:9" ht="20.100000000000001" customHeight="1" x14ac:dyDescent="0.25">
      <c r="B95" s="41"/>
      <c r="C95" s="41"/>
      <c r="D95" s="209">
        <v>2024</v>
      </c>
      <c r="E95" s="209">
        <f>'CC 2024'!$E$77</f>
        <v>0</v>
      </c>
      <c r="F95" s="211">
        <f>'CC 2024'!$K$77</f>
        <v>0</v>
      </c>
      <c r="G95" s="41"/>
      <c r="H95" s="41"/>
      <c r="I95" s="41"/>
    </row>
    <row r="96" spans="2:9" ht="20.100000000000001" customHeight="1" x14ac:dyDescent="0.25">
      <c r="B96" s="41"/>
      <c r="C96" s="41"/>
      <c r="D96" s="209">
        <v>2024</v>
      </c>
      <c r="E96" s="209">
        <f>'CC 2024'!$E$78</f>
        <v>0</v>
      </c>
      <c r="F96" s="211">
        <f>'CC 2024'!$K$78</f>
        <v>0</v>
      </c>
      <c r="G96" s="41"/>
      <c r="H96" s="41"/>
      <c r="I96" s="41"/>
    </row>
    <row r="97" spans="2:9" ht="20.100000000000001" customHeight="1" x14ac:dyDescent="0.25">
      <c r="B97" s="41"/>
      <c r="C97" s="41"/>
      <c r="D97" s="209">
        <v>2024</v>
      </c>
      <c r="E97" s="209">
        <f>'CC 2024'!$E$79</f>
        <v>0</v>
      </c>
      <c r="F97" s="211">
        <f>'CC 2024'!$K$79</f>
        <v>0</v>
      </c>
      <c r="G97" s="41"/>
      <c r="H97" s="41"/>
      <c r="I97" s="41"/>
    </row>
    <row r="98" spans="2:9" ht="20.100000000000001" customHeight="1" x14ac:dyDescent="0.25">
      <c r="B98" s="41"/>
      <c r="C98" s="41"/>
      <c r="D98" s="209">
        <v>2024</v>
      </c>
      <c r="E98" s="209">
        <f>'CC 2024'!$E$80</f>
        <v>0</v>
      </c>
      <c r="F98" s="211">
        <f>'CC 2024'!$K$80</f>
        <v>0</v>
      </c>
      <c r="G98" s="41"/>
      <c r="H98" s="41"/>
      <c r="I98" s="41"/>
    </row>
    <row r="99" spans="2:9" ht="20.100000000000001" hidden="1" customHeight="1" x14ac:dyDescent="0.25">
      <c r="B99" s="41"/>
      <c r="C99" s="41"/>
      <c r="D99" s="209">
        <v>2025</v>
      </c>
      <c r="E99" s="209">
        <f>'CC 2025'!$E$73</f>
        <v>0</v>
      </c>
      <c r="F99" s="211">
        <f>'CC 2025'!$K$73</f>
        <v>0</v>
      </c>
      <c r="G99" s="41"/>
      <c r="H99" s="41"/>
      <c r="I99" s="41"/>
    </row>
    <row r="100" spans="2:9" ht="20.100000000000001" hidden="1" customHeight="1" x14ac:dyDescent="0.25">
      <c r="B100" s="41"/>
      <c r="C100" s="41"/>
      <c r="D100" s="209">
        <v>2025</v>
      </c>
      <c r="E100" s="209">
        <f>'CC 2025'!$E$74</f>
        <v>0</v>
      </c>
      <c r="F100" s="211">
        <f>'CC 2025'!$K$74</f>
        <v>0</v>
      </c>
      <c r="G100" s="41"/>
      <c r="H100" s="41"/>
      <c r="I100" s="41"/>
    </row>
    <row r="101" spans="2:9" ht="20.100000000000001" hidden="1" customHeight="1" x14ac:dyDescent="0.25">
      <c r="B101" s="41"/>
      <c r="C101" s="41"/>
      <c r="D101" s="209">
        <v>2025</v>
      </c>
      <c r="E101" s="209">
        <f>'CC 2025'!$E$75</f>
        <v>0</v>
      </c>
      <c r="F101" s="211">
        <f>'CC 2025'!$K$75</f>
        <v>0</v>
      </c>
      <c r="G101" s="41"/>
      <c r="H101" s="41"/>
      <c r="I101" s="41"/>
    </row>
    <row r="102" spans="2:9" ht="20.100000000000001" hidden="1" customHeight="1" x14ac:dyDescent="0.25">
      <c r="B102" s="41"/>
      <c r="C102" s="41"/>
      <c r="D102" s="209">
        <v>2025</v>
      </c>
      <c r="E102" s="209">
        <f>'CC 2025'!$E$76</f>
        <v>0</v>
      </c>
      <c r="F102" s="211">
        <f>'CC 2025'!$K$76</f>
        <v>0</v>
      </c>
      <c r="G102" s="41"/>
      <c r="H102" s="41"/>
      <c r="I102" s="41"/>
    </row>
    <row r="103" spans="2:9" ht="20.100000000000001" hidden="1" customHeight="1" x14ac:dyDescent="0.25">
      <c r="B103" s="41"/>
      <c r="C103" s="41"/>
      <c r="D103" s="209">
        <v>2025</v>
      </c>
      <c r="E103" s="209">
        <f>'CC 2025'!$E$77</f>
        <v>0</v>
      </c>
      <c r="F103" s="211">
        <f>'CC 2025'!$K$77</f>
        <v>0</v>
      </c>
      <c r="G103" s="41"/>
      <c r="H103" s="41"/>
      <c r="I103" s="41"/>
    </row>
    <row r="104" spans="2:9" ht="20.100000000000001" hidden="1" customHeight="1" x14ac:dyDescent="0.25">
      <c r="B104" s="41"/>
      <c r="C104" s="41"/>
      <c r="D104" s="209">
        <v>2025</v>
      </c>
      <c r="E104" s="209">
        <f>'CC 2025'!$E$78</f>
        <v>0</v>
      </c>
      <c r="F104" s="211">
        <f>'CC 2025'!$K$78</f>
        <v>0</v>
      </c>
      <c r="G104" s="41"/>
      <c r="H104" s="41"/>
      <c r="I104" s="41"/>
    </row>
    <row r="105" spans="2:9" ht="20.100000000000001" hidden="1" customHeight="1" x14ac:dyDescent="0.25">
      <c r="B105" s="41"/>
      <c r="C105" s="41"/>
      <c r="D105" s="209">
        <v>2025</v>
      </c>
      <c r="E105" s="209">
        <f>'CC 2025'!$E$79</f>
        <v>0</v>
      </c>
      <c r="F105" s="211">
        <f>'CC 2025'!$K$79</f>
        <v>0</v>
      </c>
      <c r="G105" s="41"/>
      <c r="H105" s="41"/>
      <c r="I105" s="41"/>
    </row>
    <row r="106" spans="2:9" ht="20.100000000000001" hidden="1" customHeight="1" x14ac:dyDescent="0.25">
      <c r="B106" s="41"/>
      <c r="C106" s="41"/>
      <c r="D106" s="209">
        <v>2025</v>
      </c>
      <c r="E106" s="209">
        <f>'CC 2025'!$E$80</f>
        <v>0</v>
      </c>
      <c r="F106" s="211">
        <f>'CC 2025'!$K$80</f>
        <v>0</v>
      </c>
      <c r="G106" s="41"/>
      <c r="H106" s="41"/>
      <c r="I106" s="41"/>
    </row>
    <row r="107" spans="2:9" ht="20.100000000000001" hidden="1" customHeight="1" x14ac:dyDescent="0.25">
      <c r="B107" s="41"/>
      <c r="C107" s="41"/>
      <c r="D107" s="209">
        <v>2026</v>
      </c>
      <c r="E107" s="209">
        <f>'CC 2026'!$E$73</f>
        <v>0</v>
      </c>
      <c r="F107" s="211">
        <f>'CC 2026'!$K$73</f>
        <v>0</v>
      </c>
      <c r="G107" s="41"/>
      <c r="H107" s="41"/>
      <c r="I107" s="41"/>
    </row>
    <row r="108" spans="2:9" ht="20.100000000000001" hidden="1" customHeight="1" x14ac:dyDescent="0.25">
      <c r="B108" s="41"/>
      <c r="C108" s="41"/>
      <c r="D108" s="209">
        <v>2026</v>
      </c>
      <c r="E108" s="209">
        <f>'CC 2026'!$E$74</f>
        <v>0</v>
      </c>
      <c r="F108" s="211">
        <f>'CC 2026'!$K$74</f>
        <v>0</v>
      </c>
      <c r="G108" s="41"/>
      <c r="H108" s="41"/>
      <c r="I108" s="41"/>
    </row>
    <row r="109" spans="2:9" ht="20.100000000000001" hidden="1" customHeight="1" x14ac:dyDescent="0.25">
      <c r="B109" s="41"/>
      <c r="C109" s="41"/>
      <c r="D109" s="209">
        <v>2026</v>
      </c>
      <c r="E109" s="209">
        <f>'CC 2026'!$E$75</f>
        <v>0</v>
      </c>
      <c r="F109" s="211">
        <f>'CC 2026'!$K$75</f>
        <v>0</v>
      </c>
      <c r="G109" s="41"/>
      <c r="H109" s="41"/>
      <c r="I109" s="41"/>
    </row>
    <row r="110" spans="2:9" ht="20.100000000000001" hidden="1" customHeight="1" x14ac:dyDescent="0.25">
      <c r="B110" s="41"/>
      <c r="C110" s="41"/>
      <c r="D110" s="209">
        <v>2026</v>
      </c>
      <c r="E110" s="209">
        <f>'CC 2026'!$E$76</f>
        <v>0</v>
      </c>
      <c r="F110" s="211">
        <f>'CC 2026'!$K$76</f>
        <v>0</v>
      </c>
      <c r="G110" s="41"/>
      <c r="H110" s="41"/>
      <c r="I110" s="41"/>
    </row>
    <row r="111" spans="2:9" ht="20.100000000000001" hidden="1" customHeight="1" x14ac:dyDescent="0.25">
      <c r="B111" s="41"/>
      <c r="C111" s="41"/>
      <c r="D111" s="209">
        <v>2026</v>
      </c>
      <c r="E111" s="209">
        <f>'CC 2026'!$E$77</f>
        <v>0</v>
      </c>
      <c r="F111" s="211">
        <f>'CC 2026'!$K$77</f>
        <v>0</v>
      </c>
      <c r="G111" s="41"/>
      <c r="H111" s="41"/>
      <c r="I111" s="41"/>
    </row>
    <row r="112" spans="2:9" ht="20.100000000000001" hidden="1" customHeight="1" x14ac:dyDescent="0.25">
      <c r="B112" s="41"/>
      <c r="C112" s="41"/>
      <c r="D112" s="209">
        <v>2026</v>
      </c>
      <c r="E112" s="209">
        <f>'CC 2026'!$E$78</f>
        <v>0</v>
      </c>
      <c r="F112" s="211">
        <f>'CC 2026'!$K$78</f>
        <v>0</v>
      </c>
      <c r="G112" s="41"/>
      <c r="H112" s="41"/>
      <c r="I112" s="41"/>
    </row>
    <row r="113" spans="2:9" ht="20.100000000000001" hidden="1" customHeight="1" x14ac:dyDescent="0.25">
      <c r="B113" s="41"/>
      <c r="C113" s="41"/>
      <c r="D113" s="209">
        <v>2026</v>
      </c>
      <c r="E113" s="209">
        <f>'CC 2026'!$E$79</f>
        <v>0</v>
      </c>
      <c r="F113" s="211">
        <f>'CC 2026'!$K$79</f>
        <v>0</v>
      </c>
      <c r="G113" s="41"/>
      <c r="H113" s="41"/>
      <c r="I113" s="41"/>
    </row>
    <row r="114" spans="2:9" ht="20.100000000000001" hidden="1" customHeight="1" x14ac:dyDescent="0.25">
      <c r="B114" s="41"/>
      <c r="C114" s="41"/>
      <c r="D114" s="209">
        <v>2026</v>
      </c>
      <c r="E114" s="209">
        <f>'CC 2026'!$E$80</f>
        <v>0</v>
      </c>
      <c r="F114" s="211">
        <f>'CC 2026'!$K$80</f>
        <v>0</v>
      </c>
      <c r="G114" s="41"/>
      <c r="H114" s="41"/>
      <c r="I114" s="41"/>
    </row>
    <row r="115" spans="2:9" x14ac:dyDescent="0.25">
      <c r="B115" s="41"/>
      <c r="C115" s="41"/>
      <c r="D115" s="41"/>
      <c r="E115" s="41"/>
      <c r="F115" s="41"/>
      <c r="G115" s="41"/>
      <c r="H115" s="41"/>
      <c r="I115" s="41"/>
    </row>
    <row r="116" spans="2:9" x14ac:dyDescent="0.25">
      <c r="B116" s="41"/>
      <c r="C116" s="41"/>
      <c r="D116" s="41"/>
      <c r="E116" s="41"/>
      <c r="F116" s="41"/>
      <c r="G116" s="41"/>
      <c r="H116" s="41"/>
      <c r="I116" s="41"/>
    </row>
    <row r="117" spans="2:9" x14ac:dyDescent="0.25">
      <c r="B117" s="41"/>
      <c r="C117" s="41"/>
      <c r="D117" s="41"/>
      <c r="E117" s="41"/>
      <c r="F117" s="41"/>
      <c r="G117" s="41"/>
      <c r="H117" s="41"/>
      <c r="I117" s="41"/>
    </row>
    <row r="118" spans="2:9" x14ac:dyDescent="0.25">
      <c r="B118" s="41"/>
      <c r="C118" s="41"/>
      <c r="D118" s="41"/>
      <c r="E118" s="41"/>
      <c r="F118" s="41"/>
      <c r="G118" s="41"/>
      <c r="H118" s="41"/>
      <c r="I118" s="41"/>
    </row>
    <row r="119" spans="2:9" x14ac:dyDescent="0.25">
      <c r="B119" s="41"/>
      <c r="C119" s="41"/>
      <c r="D119" s="41"/>
      <c r="E119" s="41"/>
      <c r="F119" s="41"/>
      <c r="G119" s="41"/>
      <c r="H119" s="41"/>
      <c r="I119" s="41"/>
    </row>
    <row r="120" spans="2:9" x14ac:dyDescent="0.25">
      <c r="B120" s="41"/>
      <c r="C120" s="41"/>
      <c r="D120" s="41"/>
      <c r="E120" s="41"/>
      <c r="F120" s="41"/>
      <c r="G120" s="41"/>
      <c r="H120" s="41"/>
      <c r="I120" s="41"/>
    </row>
    <row r="121" spans="2:9" x14ac:dyDescent="0.25">
      <c r="B121" s="41"/>
      <c r="C121" s="41"/>
      <c r="D121" s="41"/>
      <c r="E121" s="41"/>
      <c r="F121" s="41"/>
      <c r="G121" s="41"/>
      <c r="H121" s="41"/>
      <c r="I121" s="41"/>
    </row>
    <row r="122" spans="2:9" x14ac:dyDescent="0.25">
      <c r="B122" s="41"/>
      <c r="C122" s="41"/>
      <c r="D122" s="41"/>
      <c r="E122" s="41"/>
      <c r="F122" s="41"/>
      <c r="G122" s="41"/>
      <c r="H122" s="41"/>
      <c r="I122" s="41"/>
    </row>
  </sheetData>
  <sheetProtection formatCells="0" formatColumns="0" formatRows="0" insertColumns="0" insertRows="0" sort="0" autoFilter="0"/>
  <autoFilter ref="D82:F107" xr:uid="{3DA7BC17-686D-4687-9BA3-006D262BAEB4}"/>
  <mergeCells count="9">
    <mergeCell ref="D80:F80"/>
    <mergeCell ref="E9:G9"/>
    <mergeCell ref="E10:G10"/>
    <mergeCell ref="E11:G11"/>
    <mergeCell ref="D16:G16"/>
    <mergeCell ref="D67:H67"/>
    <mergeCell ref="D27:G27"/>
    <mergeCell ref="H32:I32"/>
    <mergeCell ref="E13:G13"/>
  </mergeCells>
  <conditionalFormatting sqref="D19:G23 D70:H74 D83:F114">
    <cfRule type="expression" dxfId="2" priority="3397">
      <formula>$D19&gt;$C$8</formula>
    </cfRule>
  </conditionalFormatting>
  <conditionalFormatting sqref="D30:H31 D32:G32 D33:H54">
    <cfRule type="expression" dxfId="1" priority="3394">
      <formula>$D30&gt;$C$8</formula>
    </cfRule>
  </conditionalFormatting>
  <conditionalFormatting sqref="E70:H74">
    <cfRule type="dataBar" priority="1">
      <dataBar>
        <cfvo type="num" val="0"/>
        <cfvo type="num" val="1"/>
        <color theme="0" tint="-0.249977111117893"/>
      </dataBar>
      <extLst>
        <ext xmlns:x14="http://schemas.microsoft.com/office/spreadsheetml/2009/9/main" uri="{B025F937-C7B1-47D3-B67F-A62EFF666E3E}">
          <x14:id>{66D68713-745F-4481-8B3E-39EBFB228635}</x14:id>
        </ext>
      </extLst>
    </cfRule>
  </conditionalFormatting>
  <conditionalFormatting sqref="F30:G54 F83:F114">
    <cfRule type="dataBar" priority="3">
      <dataBar>
        <cfvo type="num" val="0"/>
        <cfvo type="num" val="1"/>
        <color theme="0" tint="-0.14999847407452621"/>
      </dataBar>
      <extLst>
        <ext xmlns:x14="http://schemas.microsoft.com/office/spreadsheetml/2009/9/main" uri="{B025F937-C7B1-47D3-B67F-A62EFF666E3E}">
          <x14:id>{070CD312-0313-41BC-94DA-82D18385F758}</x14:id>
        </ext>
      </extLst>
    </cfRule>
  </conditionalFormatting>
  <conditionalFormatting sqref="H57">
    <cfRule type="expression" dxfId="0" priority="3398">
      <formula>$D58&gt;$C$8</formula>
    </cfRule>
  </conditionalFormatting>
  <pageMargins left="0.70866141732283472" right="0.70866141732283472" top="0.74803149606299213" bottom="0.74803149606299213" header="0.31496062992125984" footer="0.31496062992125984"/>
  <pageSetup scale="30" orientation="portrait" r:id="rId1"/>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66D68713-745F-4481-8B3E-39EBFB228635}">
            <x14:dataBar minLength="0" maxLength="100" gradient="0">
              <x14:cfvo type="num">
                <xm:f>0</xm:f>
              </x14:cfvo>
              <x14:cfvo type="num">
                <xm:f>1</xm:f>
              </x14:cfvo>
              <x14:negativeFillColor rgb="FFFF0000"/>
              <x14:axisColor rgb="FF000000"/>
            </x14:dataBar>
          </x14:cfRule>
          <xm:sqref>E70:H74</xm:sqref>
        </x14:conditionalFormatting>
        <x14:conditionalFormatting xmlns:xm="http://schemas.microsoft.com/office/excel/2006/main">
          <x14:cfRule type="dataBar" id="{070CD312-0313-41BC-94DA-82D18385F758}">
            <x14:dataBar minLength="0" maxLength="100" border="1" gradient="0" negativeBarBorderColorSameAsPositive="0">
              <x14:cfvo type="num">
                <xm:f>0</xm:f>
              </x14:cfvo>
              <x14:cfvo type="num">
                <xm:f>1</xm:f>
              </x14:cfvo>
              <x14:borderColor theme="0" tint="-0.249977111117893"/>
              <x14:negativeFillColor rgb="FFFF0000"/>
              <x14:negativeBorderColor rgb="FFFF0000"/>
              <x14:axisColor rgb="FF000000"/>
            </x14:dataBar>
          </x14:cfRule>
          <xm:sqref>F30:G54 F83:F114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4aec0e4-37bb-4314-bb44-5b1dceb9bf9e">
      <UserInfo>
        <DisplayName>Margaux Faurie</DisplayName>
        <AccountId>12</AccountId>
        <AccountType/>
      </UserInfo>
      <UserInfo>
        <DisplayName>Everyone</DisplayName>
        <AccountId>9</AccountId>
        <AccountType/>
      </UserInfo>
      <UserInfo>
        <DisplayName>Anaël Greiveldinger</DisplayName>
        <AccountId>21</AccountId>
        <AccountType/>
      </UserInfo>
      <UserInfo>
        <DisplayName>Akshat Tandon</DisplayName>
        <AccountId>20</AccountId>
        <AccountType/>
      </UserInfo>
      <UserInfo>
        <DisplayName>Oscar Yip</DisplayName>
        <AccountId>91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6" ma:contentTypeDescription="Create a new document." ma:contentTypeScope="" ma:versionID="593e848a3bbef08c4e0daf969cf4f5a5">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06bbb9bfa5874d1e4fe641b2ca825b21"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F9CFB1-360A-4795-AB29-20A6F29F80FB}">
  <ds:schemaRefs>
    <ds:schemaRef ds:uri="http://schemas.microsoft.com/office/2006/metadata/properties"/>
    <ds:schemaRef ds:uri="http://schemas.microsoft.com/office/infopath/2007/PartnerControls"/>
    <ds:schemaRef ds:uri="14aec0e4-37bb-4314-bb44-5b1dceb9bf9e"/>
  </ds:schemaRefs>
</ds:datastoreItem>
</file>

<file path=customXml/itemProps2.xml><?xml version="1.0" encoding="utf-8"?>
<ds:datastoreItem xmlns:ds="http://schemas.openxmlformats.org/officeDocument/2006/customXml" ds:itemID="{76A6508F-56DD-407D-852B-88ABE3B170E5}">
  <ds:schemaRefs>
    <ds:schemaRef ds:uri="http://schemas.microsoft.com/sharepoint/v3/contenttype/forms"/>
  </ds:schemaRefs>
</ds:datastoreItem>
</file>

<file path=customXml/itemProps3.xml><?xml version="1.0" encoding="utf-8"?>
<ds:datastoreItem xmlns:ds="http://schemas.openxmlformats.org/officeDocument/2006/customXml" ds:itemID="{47551726-F295-49DC-ACFD-244C02A51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a6dae-35e7-4bb9-9857-1ce4b15e8123"/>
    <ds:schemaRef ds:uri="14aec0e4-37bb-4314-bb44-5b1dceb9b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fcb40f8-0b03-406c-bbc7-21d55793edc1}" enabled="1" method="Privileged" siteId="{11168e9d-8339-4497-a4a0-a9213624f2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CC 2023</vt:lpstr>
      <vt:lpstr>Ramp Up Model</vt:lpstr>
      <vt:lpstr>CC 2024</vt:lpstr>
      <vt:lpstr>CC 2025</vt:lpstr>
      <vt:lpstr>CC 2026</vt:lpstr>
      <vt:lpstr>CC Model</vt:lpstr>
      <vt:lpstr>CC 2027</vt:lpstr>
      <vt:lpstr>Dashboard</vt:lpstr>
      <vt:lpstr>'CC 2023'!Print_Area</vt:lpstr>
      <vt:lpstr>'CC 2024'!Print_Area</vt:lpstr>
      <vt:lpstr>'CC 2025'!Print_Area</vt:lpstr>
      <vt:lpstr>'CC 2026'!Print_Area</vt:lpstr>
      <vt:lpstr>'CC 2027'!Print_Area</vt:lpstr>
      <vt:lpstr>'CC Model'!Print_Area</vt:lpstr>
      <vt:lpstr>'Ramp Up Model'!Print_Area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Margaux Faurie</dc:creator>
  <cp:keywords/>
  <dc:description/>
  <cp:lastModifiedBy>Oscar Yip</cp:lastModifiedBy>
  <cp:revision/>
  <dcterms:created xsi:type="dcterms:W3CDTF">2023-08-03T00:43:43Z</dcterms:created>
  <dcterms:modified xsi:type="dcterms:W3CDTF">2024-05-31T00:16:36Z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SharedWithUsers">
    <vt:lpwstr>12;#Marie Leclerc;#9;#Margaux Faurie</vt:lpwstr>
  </property>
  <property fmtid="{D5CDD505-2E9C-101B-9397-08002B2CF9AE}" pid="4" name="MSIP_Label_3fcb40f8-0b03-406c-bbc7-21d55793edc1_Enabled">
    <vt:lpwstr>true</vt:lpwstr>
  </property>
  <property fmtid="{D5CDD505-2E9C-101B-9397-08002B2CF9AE}" pid="5" name="MSIP_Label_3fcb40f8-0b03-406c-bbc7-21d55793edc1_SetDate">
    <vt:lpwstr>2023-10-30T03:22:42Z</vt:lpwstr>
  </property>
  <property fmtid="{D5CDD505-2E9C-101B-9397-08002B2CF9AE}" pid="6" name="MSIP_Label_3fcb40f8-0b03-406c-bbc7-21d55793edc1_Method">
    <vt:lpwstr>Privileged</vt:lpwstr>
  </property>
  <property fmtid="{D5CDD505-2E9C-101B-9397-08002B2CF9AE}" pid="7" name="MSIP_Label_3fcb40f8-0b03-406c-bbc7-21d55793edc1_Name">
    <vt:lpwstr>defa4170-0d19-0005-0000-bc88714345d2</vt:lpwstr>
  </property>
  <property fmtid="{D5CDD505-2E9C-101B-9397-08002B2CF9AE}" pid="8" name="MSIP_Label_3fcb40f8-0b03-406c-bbc7-21d55793edc1_SiteId">
    <vt:lpwstr>11168e9d-8339-4497-a4a0-a9213624f2cd</vt:lpwstr>
  </property>
  <property fmtid="{D5CDD505-2E9C-101B-9397-08002B2CF9AE}" pid="9" name="MSIP_Label_3fcb40f8-0b03-406c-bbc7-21d55793edc1_ActionId">
    <vt:lpwstr>52a53e61-0572-49ce-8d42-fde7f7a95f3b</vt:lpwstr>
  </property>
  <property fmtid="{D5CDD505-2E9C-101B-9397-08002B2CF9AE}" pid="10" name="MSIP_Label_3fcb40f8-0b03-406c-bbc7-21d55793edc1_ContentBits">
    <vt:lpwstr>0</vt:lpwstr>
  </property>
</Properties>
</file>